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表" sheetId="1" state="visible" r:id="rId1"/>
    <sheet xmlns:r="http://schemas.openxmlformats.org/officeDocument/2006/relationships" name="1星期" sheetId="2" state="visible" r:id="rId2"/>
    <sheet xmlns:r="http://schemas.openxmlformats.org/officeDocument/2006/relationships" name="2星期" sheetId="3" state="visible" r:id="rId3"/>
    <sheet xmlns:r="http://schemas.openxmlformats.org/officeDocument/2006/relationships" name="1個月" sheetId="4" state="visible" r:id="rId4"/>
    <sheet xmlns:r="http://schemas.openxmlformats.org/officeDocument/2006/relationships" name="2個月" sheetId="5" state="visible" r:id="rId5"/>
    <sheet xmlns:r="http://schemas.openxmlformats.org/officeDocument/2006/relationships" name="新上榜同跌出" sheetId="6" state="visible" r:id="rId6"/>
    <sheet xmlns:r="http://schemas.openxmlformats.org/officeDocument/2006/relationships" name="審視標記" sheetId="7" state="visible" r:id="rId7"/>
    <sheet xmlns:r="http://schemas.openxmlformats.org/officeDocument/2006/relationships" name="凍結測試" sheetId="8" state="visible" r:id="rId8"/>
    <sheet xmlns:r="http://schemas.openxmlformats.org/officeDocument/2006/relationships" name="數據核對" sheetId="9" state="visible" r:id="rId9"/>
    <sheet xmlns:r="http://schemas.openxmlformats.org/officeDocument/2006/relationships" name="本版更新" sheetId="10" state="visible" r:id="rId10"/>
    <sheet xmlns:r="http://schemas.openxmlformats.org/officeDocument/2006/relationships" name="催化劑同研究" sheetId="11" state="visible" r:id="rId11"/>
  </sheets>
  <definedNames>
    <definedName name="_xlnm._FilterDatabase" localSheetId="0" hidden="1">'總表'!$A$1:$AH$1</definedName>
    <definedName name="_xlnm._FilterDatabase" localSheetId="1" hidden="1">'1星期'!$A$1:$M$1</definedName>
    <definedName name="_xlnm._FilterDatabase" localSheetId="2" hidden="1">'2星期'!$A$1:$M$1</definedName>
    <definedName name="_xlnm._FilterDatabase" localSheetId="3" hidden="1">'1個月'!$A$1:$M$1</definedName>
    <definedName name="_xlnm._FilterDatabase" localSheetId="4" hidden="1">'2個月'!$A$1:$M$1</definedName>
    <definedName name="_xlnm._FilterDatabase" localSheetId="5" hidden="1">'新上榜同跌出'!$A$1:$L$1</definedName>
    <definedName name="_xlnm._FilterDatabase" localSheetId="6" hidden="1">'審視標記'!$A$1:$E$1</definedName>
    <definedName name="_xlnm._FilterDatabase" localSheetId="7" hidden="1">'凍結測試'!$A$35:$J$35</definedName>
    <definedName name="_xlnm._FilterDatabase" localSheetId="8" hidden="1">'數據核對'!$A$3:$C$3</definedName>
    <definedName name="_xlnm._FilterDatabase" localSheetId="9" hidden="1">'本版更新'!$A$5:$B$5</definedName>
    <definedName name="_xlnm._FilterDatabase" localSheetId="10" hidden="1">'催化劑同研究'!$A$1:$I$1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##"/>
    <numFmt numFmtId="165" formatCode="0.00%;[Red](0.00%);-"/>
    <numFmt numFmtId="166" formatCode="0.0"/>
    <numFmt numFmtId="167" formatCode="0.000"/>
    <numFmt numFmtId="168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563C1"/>
      <sz val="10"/>
      <u val="single"/>
    </font>
    <font>
      <name val="Arial"/>
      <b val="1"/>
      <sz val="10"/>
    </font>
    <font>
      <name val="Arial"/>
      <i val="1"/>
      <sz val="9"/>
    </font>
    <font>
      <name val="Arial"/>
      <i val="1"/>
      <color rgb="00666666"/>
      <sz val="9"/>
    </font>
    <font>
      <name val="Arial"/>
      <b val="1"/>
      <color rgb="001F3864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3" borderId="1" pivotButton="0" quotePrefix="0" xfId="0"/>
    <xf numFmtId="4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166" fontId="2" fillId="3" borderId="1" pivotButton="0" quotePrefix="0" xfId="0"/>
    <xf numFmtId="167" fontId="2" fillId="3" borderId="1" pivotButton="0" quotePrefix="0" xfId="0"/>
    <xf numFmtId="0" fontId="2" fillId="3" borderId="1" applyAlignment="1" pivotButton="0" quotePrefix="0" xfId="0">
      <alignment/>
    </xf>
    <xf numFmtId="0" fontId="2" fillId="4" borderId="1" pivotButton="0" quotePrefix="0" xfId="0"/>
    <xf numFmtId="0" fontId="3" fillId="4" borderId="1" pivotButton="0" quotePrefix="0" xfId="0"/>
    <xf numFmtId="4" fontId="2" fillId="4" borderId="1" pivotButton="0" quotePrefix="0" xfId="0"/>
    <xf numFmtId="164" fontId="2" fillId="4" borderId="1" pivotButton="0" quotePrefix="0" xfId="0"/>
    <xf numFmtId="165" fontId="2" fillId="4" borderId="1" pivotButton="0" quotePrefix="0" xfId="0"/>
    <xf numFmtId="166" fontId="2" fillId="4" borderId="1" pivotButton="0" quotePrefix="0" xfId="0"/>
    <xf numFmtId="167" fontId="2" fillId="4" borderId="1" pivotButton="0" quotePrefix="0" xfId="0"/>
    <xf numFmtId="0" fontId="2" fillId="4" borderId="1" applyAlignment="1" pivotButton="0" quotePrefix="0" xfId="0">
      <alignment/>
    </xf>
    <xf numFmtId="0" fontId="2" fillId="0" borderId="1" pivotButton="0" quotePrefix="0" xfId="0"/>
    <xf numFmtId="0" fontId="3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  <xf numFmtId="0" fontId="2" fillId="0" borderId="1" applyAlignment="1" pivotButton="0" quotePrefix="0" xfId="0">
      <alignment/>
    </xf>
    <xf numFmtId="0" fontId="4" fillId="0" borderId="0" pivotButton="0" quotePrefix="0" xfId="0"/>
    <xf numFmtId="0" fontId="5" fillId="0" borderId="0" pivotButton="0" quotePrefix="0" xfId="0"/>
    <xf numFmtId="0" fontId="4" fillId="5" borderId="1" pivotButton="0" quotePrefix="0" xfId="0"/>
    <xf numFmtId="10" fontId="4" fillId="5" borderId="1" pivotButton="0" quotePrefix="0" xfId="0"/>
    <xf numFmtId="166" fontId="4" fillId="5" borderId="1" pivotButton="0" quotePrefix="0" xfId="0"/>
    <xf numFmtId="0" fontId="6" fillId="0" borderId="0" pivotButton="0" quotePrefix="0" xfId="0"/>
    <xf numFmtId="165" fontId="4" fillId="5" borderId="0" pivotButton="0" quotePrefix="0" xfId="0"/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7" fillId="0" borderId="0" pivotButton="0" quotePrefix="0" xfId="0"/>
    <xf numFmtId="168" fontId="2" fillId="0" borderId="1" pivotButton="0" quotePrefix="0" xfId="0"/>
    <xf numFmtId="0" fontId="4" fillId="0" borderId="1" pivotButton="0" quotePrefix="0" xfId="0"/>
    <xf numFmtId="9" fontId="2" fillId="0" borderId="1" pivotButton="0" quotePrefix="0" xfId="0"/>
    <xf numFmtId="0" fontId="4" fillId="0" borderId="1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10MA review</author>
  </authors>
  <commentList>
    <comment ref="AG2" authorId="0" shapeId="0">
      <text>
        <t>現金作價 $127，現價 $126.33（剩餘升幅只有 +0.5%）；VCP 98.7，呢個「收縮」係交易釘價所致，唔係蓄勢突破，VCP／確定性高分屬機械假象。</t>
      </text>
    </comment>
    <comment ref="AE3" authorId="0" shapeId="0">
      <text>
        <t>08/06 係盤後公布：當日 −2.3% 係公布前嘅跌幅，市場反應係翌日 +12.8%。</t>
      </text>
    </comment>
    <comment ref="AG3" authorId="0" shapeId="0">
      <text>
        <t>現金作價 $13.6，現價 $13.47（剩餘升幅只有 +1.0%）；VCP 83.9，呢個「收縮」係交易釘價所致，唔係蓄勢突破，VCP／確定性高分屬機械假象。</t>
      </text>
    </comment>
    <comment ref="AG6" authorId="0" shapeId="0">
      <text>
        <t>作價係每股 $33 現金 ＋ 0.4735 股 MDXG，唔係固定現金價：以 MDXG 收 $4.69 計，作價值 $35.22，現價 $34.98（低過作價 0.69%）。股價跟 MDXG 走，VCP 97.5，呢個「收縮」係交易釘價所致，VCP／確定性量度緊套利價差而唔係蓄勢突破。</t>
      </text>
    </comment>
    <comment ref="AG14" authorId="0" shapeId="0">
      <text>
        <t>現金作價 $167，現價 $163.32（剩餘升幅只有 +2.3%）；VCP 98.8，呢個「收縮」係交易釘價所致，唔係蓄勢突破，VCP／確定性高分屬機械假象。</t>
      </text>
    </comment>
    <comment ref="AE16" authorId="0" shapeId="0">
      <text>
        <t>催化欄所指嘅 08/06 收市跌 5.3%：事件當日被市場沽售，回升係其後嘅事，所以呢一句解釋唔到由底回升嘅起點。</t>
      </text>
    </comment>
    <comment ref="AE21" authorId="0" shapeId="0">
      <text>
        <t>Q2 業績翌日（07/31）收市跌 6.0%：badge 所指嘅事件當日被市場沽售，回升係其後嘅事；催化劑同下跌原因係同一件事。</t>
      </text>
    </comment>
    <comment ref="AE28" authorId="0" shapeId="0">
      <text>
        <t>催化欄所指嘅 08/06 收市跌 3.4%：事件當日被市場沽售，回升係其後嘅事，所以呢一句解釋唔到由底回升嘅起點。</t>
      </text>
    </comment>
    <comment ref="AG30" authorId="0" shapeId="0">
      <text>
        <t>收市 $315.55 已低過最後一個底 $315.7（09-09），連續 1 日收喺底下；規則要三個之後嘅交易日先認得出一個新底，所以未落榜，但「守底」已經名存實亡；收市亦低過 MA10；「突破」項仍然滿分。</t>
      </text>
    </comment>
    <comment ref="AG57" authorId="0" shapeId="0">
      <text>
        <t>現金作價 $102，現價 $97.94（剩餘升幅只有 +4.1%）；VCP 64.0，呢個「收縮」係交易釘價所致，唔係蓄勢突破，VCP／確定性高分屬機械假象。</t>
      </text>
    </comment>
    <comment ref="AG58" authorId="0" shapeId="0">
      <text>
        <t>作價係每股 $32.5 現金 ＋ 0.96 股 SWKS，唔係固定現金價：以 SWKS 收 $91.32 計，作價值 $120.17，現價 $119.51（低過作價 0.55%）。股價跟 SWKS 走，VCP 只有 7.8，即係連收縮都冇：佢嘅波幅係 SWKS 帶嚟嘅，確定性同 VCP 量度緊套利價差而唔係蓄勢突破。</t>
      </text>
    </comment>
    <comment ref="AE59" authorId="0" shapeId="0">
      <text>
        <t>催化欄所指嘅 07/30 收市跌 8.5%：事件當日被市場沽售，回升係其後嘅事，所以呢一句解釋唔到由底回升嘅起點。</t>
      </text>
    </comment>
    <comment ref="AE61" authorId="0" shapeId="0">
      <text>
        <t>09/10 係盤後公布：當日 −2.5% 係公布前嘅跌幅，市場反應係翌日 +4.0%。</t>
      </text>
    </comment>
    <comment ref="AG66" authorId="0" shapeId="0">
      <text>
        <t>收市 $154.65 已低過最後一個底 $155.87（09-10），連續 1 日收喺底下；規則要三個之後嘅交易日先認得出一個新底，所以未落榜，但「守底」已經名存實亡；收市亦低過 MA10；「突破」項仍然滿分。</t>
      </text>
    </comment>
    <comment ref="AG68" authorId="0" shapeId="0">
      <text>
        <t>SWKS 係 QRVO 嘅收購方（QRVO 作價 = $32.5 現金 ＋ 0.96 股 SWKS），兩隻同時上榜（SWKS #67、QRVO #57），等於用兩個名額買同一單交易。最近三個交易日（收購方／目標）：09-15 +13.55%／+9.34%、09-16 -4.90%／-3.46%、09-17 +6.69%／+4.86% —— 走勢由同一單交易帶動。SWKS 自己嘅 VCP 只有 5.1，波幅根本冇收縮。</t>
      </text>
    </comment>
    <comment ref="AE74" authorId="0" shapeId="0">
      <text>
        <t>催化欄所指嘅 07/22 收市跌 6.5%：事件當日被市場沽售，回升係其後嘅事，所以呢一句解釋唔到由底回升嘅起點。</t>
      </text>
    </comment>
    <comment ref="AE75" authorId="0" shapeId="0">
      <text>
        <t>08/06 係盤後公布：當日 −5.1% 係公布前嘅跌幅，市場反應係翌日 +26.3%，09-17 已回吐 4.0%。</t>
      </text>
    </comment>
    <comment ref="AE78" authorId="0" shapeId="0">
      <text>
        <t>09/10 係盤後公布：當日 −2.5% 係公布前嘅跌幅，市場反應係翌日 +42.4%。</t>
      </text>
    </comment>
    <comment ref="AG81" authorId="0" shapeId="0">
      <text>
        <t>作價係每股 2.0 股 JMSB 全股票，冇現金部分，所以作價唔係固定數：以 JMSB 收 $23.12 計，作價值 $46.24，現價 $45.89（低過作價 0.76%）。股價跟 JMSB 走，VCP 只有 18.0，即係連收縮都冇：佢嘅波幅係 JMSB 帶嚟嘅，確定性同 VCP 量度緊套利價差而唔係蓄勢突破。</t>
      </text>
    </comment>
    <comment ref="AG82" authorId="0" shapeId="0">
      <text>
        <t>收市 $223.29 已低過最後一個底 $224.45（09-09），連續 2 日收喺底下；規則要三個之後嘅交易日先認得出一個新底，所以未落榜，但「守底」已經名存實亡；收市亦低過 MA10；「突破」項已經唔滿分。</t>
      </text>
    </comment>
  </commentList>
</comments>
</file>

<file path=xl/comments/comment2.xml><?xml version="1.0" encoding="utf-8"?>
<comments xmlns="http://schemas.openxmlformats.org/spreadsheetml/2006/main">
  <authors>
    <author>10MA review</author>
  </authors>
  <commentList>
    <comment ref="E3" authorId="0" shapeId="0">
      <text>
        <t>08/06 係盤後公布：當日 −2.3% 係公布前嘅跌幅，市場反應係翌日 +12.8%。</t>
      </text>
    </comment>
    <comment ref="E16" authorId="0" shapeId="0">
      <text>
        <t>催化欄所指嘅 08/06 收市跌 5.3%：事件當日被市場沽售，回升係其後嘅事，所以呢一句解釋唔到由底回升嘅起點。</t>
      </text>
    </comment>
    <comment ref="E21" authorId="0" shapeId="0">
      <text>
        <t>Q2 業績翌日（07/31）收市跌 6.0%：badge 所指嘅事件當日被市場沽售，回升係其後嘅事；催化劑同下跌原因係同一件事。</t>
      </text>
    </comment>
    <comment ref="E28" authorId="0" shapeId="0">
      <text>
        <t>催化欄所指嘅 08/06 收市跌 3.4%：事件當日被市場沽售，回升係其後嘅事，所以呢一句解釋唔到由底回升嘅起點。</t>
      </text>
    </comment>
    <comment ref="E59" authorId="0" shapeId="0">
      <text>
        <t>催化欄所指嘅 07/30 收市跌 8.5%：事件當日被市場沽售，回升係其後嘅事，所以呢一句解釋唔到由底回升嘅起點。</t>
      </text>
    </comment>
    <comment ref="E61" authorId="0" shapeId="0">
      <text>
        <t>09/10 係盤後公布：當日 −2.5% 係公布前嘅跌幅，市場反應係翌日 +4.0%。</t>
      </text>
    </comment>
    <comment ref="E74" authorId="0" shapeId="0">
      <text>
        <t>催化欄所指嘅 07/22 收市跌 6.5%：事件當日被市場沽售，回升係其後嘅事，所以呢一句解釋唔到由底回升嘅起點。</t>
      </text>
    </comment>
    <comment ref="E75" authorId="0" shapeId="0">
      <text>
        <t>08/06 係盤後公布：當日 −5.1% 係公布前嘅跌幅，市場反應係翌日 +26.3%，09-17 已回吐 4.0%。</t>
      </text>
    </comment>
    <comment ref="E78" authorId="0" shapeId="0">
      <text>
        <t>09/10 係盤後公布：當日 −2.5% 係公布前嘅跌幅，市場反應係翌日 +42.4%。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Q1c5VWwD/?symbol=nyse%3Aitgr" TargetMode="External" Id="rId1"/><Relationship Type="http://schemas.openxmlformats.org/officeDocument/2006/relationships/hyperlink" Target="https://www.tradingview.com/chart/Q1c5VWwD/?symbol=nyse%3Adv" TargetMode="External" Id="rId2"/><Relationship Type="http://schemas.openxmlformats.org/officeDocument/2006/relationships/hyperlink" Target="https://www.tradingview.com/chart/Q1c5VWwD/?symbol=nyse%3Ahrtg" TargetMode="External" Id="rId3"/><Relationship Type="http://schemas.openxmlformats.org/officeDocument/2006/relationships/hyperlink" Target="https://www.tradingview.com/chart/Q1c5VWwD/?symbol=nasdaq%3Afmao" TargetMode="External" Id="rId4"/><Relationship Type="http://schemas.openxmlformats.org/officeDocument/2006/relationships/hyperlink" Target="https://www.tradingview.com/chart/Q1c5VWwD/?symbol=nasdaq%3Asmti" TargetMode="External" Id="rId5"/><Relationship Type="http://schemas.openxmlformats.org/officeDocument/2006/relationships/hyperlink" Target="https://www.tradingview.com/chart/Q1c5VWwD/?symbol=nyse%3Aavtr" TargetMode="External" Id="rId6"/><Relationship Type="http://schemas.openxmlformats.org/officeDocument/2006/relationships/hyperlink" Target="https://www.tradingview.com/chart/Q1c5VWwD/?symbol=nasdaq%3Acdna" TargetMode="External" Id="rId7"/><Relationship Type="http://schemas.openxmlformats.org/officeDocument/2006/relationships/hyperlink" Target="https://www.tradingview.com/chart/Q1c5VWwD/?symbol=nasdaq%3Ardvt" TargetMode="External" Id="rId8"/><Relationship Type="http://schemas.openxmlformats.org/officeDocument/2006/relationships/hyperlink" Target="https://www.tradingview.com/chart/Q1c5VWwD/?symbol=nasdaq%3Admlp" TargetMode="External" Id="rId9"/><Relationship Type="http://schemas.openxmlformats.org/officeDocument/2006/relationships/hyperlink" Target="https://www.tradingview.com/chart/Q1c5VWwD/?symbol=nasdaq%3Aiova" TargetMode="External" Id="rId10"/><Relationship Type="http://schemas.openxmlformats.org/officeDocument/2006/relationships/hyperlink" Target="https://www.tradingview.com/chart/Q1c5VWwD/?symbol=nasdaq%3Asaic" TargetMode="External" Id="rId11"/><Relationship Type="http://schemas.openxmlformats.org/officeDocument/2006/relationships/hyperlink" Target="https://www.tradingview.com/chart/Q1c5VWwD/?symbol=nyse%3Ahgty" TargetMode="External" Id="rId12"/><Relationship Type="http://schemas.openxmlformats.org/officeDocument/2006/relationships/hyperlink" Target="https://www.tradingview.com/chart/Q1c5VWwD/?symbol=nasdaq%3Amktx" TargetMode="External" Id="rId13"/><Relationship Type="http://schemas.openxmlformats.org/officeDocument/2006/relationships/hyperlink" Target="https://www.tradingview.com/chart/Q1c5VWwD/?symbol=nasdaq%3Ahalo" TargetMode="External" Id="rId14"/><Relationship Type="http://schemas.openxmlformats.org/officeDocument/2006/relationships/hyperlink" Target="https://www.tradingview.com/chart/Q1c5VWwD/?symbol=nasdaq%3Acrsr" TargetMode="External" Id="rId15"/><Relationship Type="http://schemas.openxmlformats.org/officeDocument/2006/relationships/hyperlink" Target="https://www.tradingview.com/chart/Q1c5VWwD/?symbol=nasdaq%3Afbla" TargetMode="External" Id="rId16"/><Relationship Type="http://schemas.openxmlformats.org/officeDocument/2006/relationships/hyperlink" Target="https://www.tradingview.com/chart/Q1c5VWwD/?symbol=nyse%3Apd" TargetMode="External" Id="rId17"/><Relationship Type="http://schemas.openxmlformats.org/officeDocument/2006/relationships/hyperlink" Target="https://www.tradingview.com/chart/Q1c5VWwD/?symbol=nasdaq%3Aamph" TargetMode="External" Id="rId18"/><Relationship Type="http://schemas.openxmlformats.org/officeDocument/2006/relationships/hyperlink" Target="https://www.tradingview.com/chart/Q1c5VWwD/?symbol=nasdaq%3Abdsx" TargetMode="External" Id="rId19"/><Relationship Type="http://schemas.openxmlformats.org/officeDocument/2006/relationships/hyperlink" Target="https://www.tradingview.com/chart/Q1c5VWwD/?symbol=nasdaq%3Aatrc" TargetMode="External" Id="rId20"/><Relationship Type="http://schemas.openxmlformats.org/officeDocument/2006/relationships/hyperlink" Target="https://www.tradingview.com/chart/Q1c5VWwD/?symbol=nyse%3Anue" TargetMode="External" Id="rId21"/><Relationship Type="http://schemas.openxmlformats.org/officeDocument/2006/relationships/hyperlink" Target="https://www.tradingview.com/chart/Q1c5VWwD/?symbol=nyse%3Ainsp" TargetMode="External" Id="rId22"/><Relationship Type="http://schemas.openxmlformats.org/officeDocument/2006/relationships/hyperlink" Target="https://www.tradingview.com/chart/Q1c5VWwD/?symbol=nyse%3Afpi" TargetMode="External" Id="rId23"/><Relationship Type="http://schemas.openxmlformats.org/officeDocument/2006/relationships/hyperlink" Target="https://www.tradingview.com/chart/Q1c5VWwD/?symbol=nasdaq%3Amygn" TargetMode="External" Id="rId24"/><Relationship Type="http://schemas.openxmlformats.org/officeDocument/2006/relationships/hyperlink" Target="https://www.tradingview.com/chart/Q1c5VWwD/?symbol=nyse%3Afet" TargetMode="External" Id="rId25"/><Relationship Type="http://schemas.openxmlformats.org/officeDocument/2006/relationships/hyperlink" Target="https://www.tradingview.com/chart/Q1c5VWwD/?symbol=nyse%3Arng" TargetMode="External" Id="rId26"/><Relationship Type="http://schemas.openxmlformats.org/officeDocument/2006/relationships/hyperlink" Target="https://www.tradingview.com/chart/Q1c5VWwD/?symbol=nasdaq%3Anutx" TargetMode="External" Id="rId27"/><Relationship Type="http://schemas.openxmlformats.org/officeDocument/2006/relationships/hyperlink" Target="https://www.tradingview.com/chart/Q1c5VWwD/?symbol=nasdaq%3Adocu" TargetMode="External" Id="rId28"/><Relationship Type="http://schemas.openxmlformats.org/officeDocument/2006/relationships/hyperlink" Target="https://www.tradingview.com/chart/Q1c5VWwD/?symbol=nyse%3Aclh" TargetMode="External" Id="rId29"/><Relationship Type="http://schemas.openxmlformats.org/officeDocument/2006/relationships/hyperlink" Target="https://www.tradingview.com/chart/Q1c5VWwD/?symbol=nasdaq%3Aaugo" TargetMode="External" Id="rId30"/><Relationship Type="http://schemas.openxmlformats.org/officeDocument/2006/relationships/hyperlink" Target="https://www.tradingview.com/chart/Q1c5VWwD/?symbol=nyse%3Adt" TargetMode="External" Id="rId31"/><Relationship Type="http://schemas.openxmlformats.org/officeDocument/2006/relationships/hyperlink" Target="https://www.tradingview.com/chart/Q1c5VWwD/?symbol=nasdaq%3Aintg" TargetMode="External" Id="rId32"/><Relationship Type="http://schemas.openxmlformats.org/officeDocument/2006/relationships/hyperlink" Target="https://www.tradingview.com/chart/Q1c5VWwD/?symbol=nasdaq%3Arefi" TargetMode="External" Id="rId33"/><Relationship Type="http://schemas.openxmlformats.org/officeDocument/2006/relationships/hyperlink" Target="https://www.tradingview.com/chart/Q1c5VWwD/?symbol=nyse%3Ainsw" TargetMode="External" Id="rId34"/><Relationship Type="http://schemas.openxmlformats.org/officeDocument/2006/relationships/hyperlink" Target="https://www.tradingview.com/chart/Q1c5VWwD/?symbol=nyse%3Aexpd" TargetMode="External" Id="rId35"/><Relationship Type="http://schemas.openxmlformats.org/officeDocument/2006/relationships/hyperlink" Target="https://www.tradingview.com/chart/Q1c5VWwD/?symbol=nasdaq%3Axrx" TargetMode="External" Id="rId36"/><Relationship Type="http://schemas.openxmlformats.org/officeDocument/2006/relationships/hyperlink" Target="https://www.tradingview.com/chart/Q1c5VWwD/?symbol=nyse%3Aadm" TargetMode="External" Id="rId37"/><Relationship Type="http://schemas.openxmlformats.org/officeDocument/2006/relationships/hyperlink" Target="https://www.tradingview.com/chart/Q1c5VWwD/?symbol=nyse%3Abrk.b" TargetMode="External" Id="rId38"/><Relationship Type="http://schemas.openxmlformats.org/officeDocument/2006/relationships/hyperlink" Target="https://www.tradingview.com/chart/Q1c5VWwD/?symbol=nasdaq%3Aslde" TargetMode="External" Id="rId39"/><Relationship Type="http://schemas.openxmlformats.org/officeDocument/2006/relationships/hyperlink" Target="https://www.tradingview.com/chart/Q1c5VWwD/?symbol=nasdaq%3Anaka" TargetMode="External" Id="rId40"/><Relationship Type="http://schemas.openxmlformats.org/officeDocument/2006/relationships/hyperlink" Target="https://www.tradingview.com/chart/Q1c5VWwD/?symbol=nyse%3Abrk.a" TargetMode="External" Id="rId41"/><Relationship Type="http://schemas.openxmlformats.org/officeDocument/2006/relationships/hyperlink" Target="https://www.tradingview.com/chart/Q1c5VWwD/?symbol=nasdaq%3Asgp" TargetMode="External" Id="rId42"/><Relationship Type="http://schemas.openxmlformats.org/officeDocument/2006/relationships/hyperlink" Target="https://www.tradingview.com/chart/Q1c5VWwD/?symbol=nyse%3Atwlo" TargetMode="External" Id="rId43"/><Relationship Type="http://schemas.openxmlformats.org/officeDocument/2006/relationships/hyperlink" Target="https://www.tradingview.com/chart/Q1c5VWwD/?symbol=nyse%3Aohi" TargetMode="External" Id="rId44"/><Relationship Type="http://schemas.openxmlformats.org/officeDocument/2006/relationships/hyperlink" Target="https://www.tradingview.com/chart/Q1c5VWwD/?symbol=nasdaq%3Acoke" TargetMode="External" Id="rId45"/><Relationship Type="http://schemas.openxmlformats.org/officeDocument/2006/relationships/hyperlink" Target="https://www.tradingview.com/chart/Q1c5VWwD/?symbol=nasdaq%3Asmci" TargetMode="External" Id="rId46"/><Relationship Type="http://schemas.openxmlformats.org/officeDocument/2006/relationships/hyperlink" Target="https://www.tradingview.com/chart/Q1c5VWwD/?symbol=nyse%3Aepam" TargetMode="External" Id="rId47"/><Relationship Type="http://schemas.openxmlformats.org/officeDocument/2006/relationships/hyperlink" Target="https://www.tradingview.com/chart/Q1c5VWwD/?symbol=nasdaq%3Akopn" TargetMode="External" Id="rId48"/><Relationship Type="http://schemas.openxmlformats.org/officeDocument/2006/relationships/hyperlink" Target="https://www.tradingview.com/chart/Q1c5VWwD/?symbol=nasdaq%3Ameta" TargetMode="External" Id="rId49"/><Relationship Type="http://schemas.openxmlformats.org/officeDocument/2006/relationships/hyperlink" Target="https://www.tradingview.com/chart/Q1c5VWwD/?symbol=nasdaq%3Acrct" TargetMode="External" Id="rId50"/><Relationship Type="http://schemas.openxmlformats.org/officeDocument/2006/relationships/hyperlink" Target="https://www.tradingview.com/chart/Q1c5VWwD/?symbol=amex%3Arepx" TargetMode="External" Id="rId51"/><Relationship Type="http://schemas.openxmlformats.org/officeDocument/2006/relationships/hyperlink" Target="https://www.tradingview.com/chart/Q1c5VWwD/?symbol=nasdaq%3Aospn" TargetMode="External" Id="rId52"/><Relationship Type="http://schemas.openxmlformats.org/officeDocument/2006/relationships/hyperlink" Target="https://www.tradingview.com/chart/Q1c5VWwD/?symbol=nasdaq%3Axhld" TargetMode="External" Id="rId53"/><Relationship Type="http://schemas.openxmlformats.org/officeDocument/2006/relationships/hyperlink" Target="https://www.tradingview.com/chart/Q1c5VWwD/?symbol=nasdaq%3Acnxn" TargetMode="External" Id="rId54"/><Relationship Type="http://schemas.openxmlformats.org/officeDocument/2006/relationships/hyperlink" Target="https://www.tradingview.com/chart/Q1c5VWwD/?symbol=nyse%3Ahpq" TargetMode="External" Id="rId55"/><Relationship Type="http://schemas.openxmlformats.org/officeDocument/2006/relationships/hyperlink" Target="https://www.tradingview.com/chart/Q1c5VWwD/?symbol=nasdaq%3Anath" TargetMode="External" Id="rId56"/><Relationship Type="http://schemas.openxmlformats.org/officeDocument/2006/relationships/hyperlink" Target="https://www.tradingview.com/chart/Q1c5VWwD/?symbol=nasdaq%3Aqrvo" TargetMode="External" Id="rId57"/><Relationship Type="http://schemas.openxmlformats.org/officeDocument/2006/relationships/hyperlink" Target="https://www.tradingview.com/chart/Q1c5VWwD/?symbol=nyse%3Adfin" TargetMode="External" Id="rId58"/><Relationship Type="http://schemas.openxmlformats.org/officeDocument/2006/relationships/hyperlink" Target="https://www.tradingview.com/chart/Q1c5VWwD/?symbol=nasdaq%3Atsla" TargetMode="External" Id="rId59"/><Relationship Type="http://schemas.openxmlformats.org/officeDocument/2006/relationships/hyperlink" Target="https://www.tradingview.com/chart/Q1c5VWwD/?symbol=nyse%3Aibm" TargetMode="External" Id="rId60"/><Relationship Type="http://schemas.openxmlformats.org/officeDocument/2006/relationships/hyperlink" Target="https://www.tradingview.com/chart/Q1c5VWwD/?symbol=nyse%3Amdt" TargetMode="External" Id="rId61"/><Relationship Type="http://schemas.openxmlformats.org/officeDocument/2006/relationships/hyperlink" Target="https://www.tradingview.com/chart/Q1c5VWwD/?symbol=nyse%3Atmo" TargetMode="External" Id="rId62"/><Relationship Type="http://schemas.openxmlformats.org/officeDocument/2006/relationships/hyperlink" Target="https://www.tradingview.com/chart/Q1c5VWwD/?symbol=nasdaq%3Acuri" TargetMode="External" Id="rId63"/><Relationship Type="http://schemas.openxmlformats.org/officeDocument/2006/relationships/hyperlink" Target="https://www.tradingview.com/chart/Q1c5VWwD/?symbol=nasdaq%3Acrwd" TargetMode="External" Id="rId64"/><Relationship Type="http://schemas.openxmlformats.org/officeDocument/2006/relationships/hyperlink" Target="https://www.tradingview.com/chart/Q1c5VWwD/?symbol=nasdaq%3Ansit" TargetMode="External" Id="rId65"/><Relationship Type="http://schemas.openxmlformats.org/officeDocument/2006/relationships/hyperlink" Target="https://www.tradingview.com/chart/Q1c5VWwD/?symbol=nasdaq%3Ahypd" TargetMode="External" Id="rId66"/><Relationship Type="http://schemas.openxmlformats.org/officeDocument/2006/relationships/hyperlink" Target="https://www.tradingview.com/chart/Q1c5VWwD/?symbol=nasdaq%3Aswks" TargetMode="External" Id="rId67"/><Relationship Type="http://schemas.openxmlformats.org/officeDocument/2006/relationships/hyperlink" Target="https://www.tradingview.com/chart/Q1c5VWwD/?symbol=nasdaq%3Aobio" TargetMode="External" Id="rId68"/><Relationship Type="http://schemas.openxmlformats.org/officeDocument/2006/relationships/hyperlink" Target="https://www.tradingview.com/chart/Q1c5VWwD/?symbol=nyse%3Anpk" TargetMode="External" Id="rId69"/><Relationship Type="http://schemas.openxmlformats.org/officeDocument/2006/relationships/hyperlink" Target="https://www.tradingview.com/chart/Q1c5VWwD/?symbol=nyse%3Aunm" TargetMode="External" Id="rId70"/><Relationship Type="http://schemas.openxmlformats.org/officeDocument/2006/relationships/hyperlink" Target="https://www.tradingview.com/chart/Q1c5VWwD/?symbol=nasdaq%3Antsk" TargetMode="External" Id="rId71"/><Relationship Type="http://schemas.openxmlformats.org/officeDocument/2006/relationships/hyperlink" Target="https://www.tradingview.com/chart/Q1c5VWwD/?symbol=nasdaq%3Aoesx" TargetMode="External" Id="rId72"/><Relationship Type="http://schemas.openxmlformats.org/officeDocument/2006/relationships/hyperlink" Target="https://www.tradingview.com/chart/Q1c5VWwD/?symbol=nyse%3Anow" TargetMode="External" Id="rId73"/><Relationship Type="http://schemas.openxmlformats.org/officeDocument/2006/relationships/hyperlink" Target="https://www.tradingview.com/chart/Q1c5VWwD/?symbol=nasdaq%3Aspt" TargetMode="External" Id="rId74"/><Relationship Type="http://schemas.openxmlformats.org/officeDocument/2006/relationships/hyperlink" Target="https://www.tradingview.com/chart/Q1c5VWwD/?symbol=nyse%3Aaesi" TargetMode="External" Id="rId75"/><Relationship Type="http://schemas.openxmlformats.org/officeDocument/2006/relationships/hyperlink" Target="https://www.tradingview.com/chart/Q1c5VWwD/?symbol=nasdaq%3Acyph" TargetMode="External" Id="rId76"/><Relationship Type="http://schemas.openxmlformats.org/officeDocument/2006/relationships/hyperlink" Target="https://www.tradingview.com/chart/Q1c5VWwD/?symbol=nasdaq%3Afeim" TargetMode="External" Id="rId77"/><Relationship Type="http://schemas.openxmlformats.org/officeDocument/2006/relationships/hyperlink" Target="https://www.tradingview.com/chart/Q1c5VWwD/?symbol=nasdaq%3Apega" TargetMode="External" Id="rId78"/><Relationship Type="http://schemas.openxmlformats.org/officeDocument/2006/relationships/hyperlink" Target="https://www.tradingview.com/chart/Q1c5VWwD/?symbol=nasdaq%3Actkb" TargetMode="External" Id="rId79"/><Relationship Type="http://schemas.openxmlformats.org/officeDocument/2006/relationships/hyperlink" Target="https://www.tradingview.com/chart/Q1c5VWwD/?symbol=nasdaq%3Aefsi" TargetMode="External" Id="rId80"/><Relationship Type="http://schemas.openxmlformats.org/officeDocument/2006/relationships/hyperlink" Target="https://www.tradingview.com/chart/Q1c5VWwD/?symbol=nyse%3Aagm" TargetMode="External" Id="rId81"/><Relationship Type="http://schemas.openxmlformats.org/officeDocument/2006/relationships/hyperlink" Target="https://www.tradingview.com/chart/Q1c5VWwD/?symbol=nasdaq%3Aabtc" TargetMode="External" Id="rId82"/><Relationship Type="http://schemas.openxmlformats.org/officeDocument/2006/relationships/hyperlink" Target="https://www.tradingview.com/chart/Q1c5VWwD/?symbol=nasdaq%3Acrvl" TargetMode="External" Id="rId83"/><Relationship Type="http://schemas.openxmlformats.org/officeDocument/2006/relationships/hyperlink" Target="https://www.tradingview.com/chart/Q1c5VWwD/?symbol=nasdaq%3Anwsa" TargetMode="External" Id="rId84"/><Relationship Type="http://schemas.openxmlformats.org/officeDocument/2006/relationships/hyperlink" Target="https://www.tradingview.com/chart/Q1c5VWwD/?symbol=nasdaq%3Aappf" TargetMode="External" Id="rId85"/><Relationship Type="http://schemas.openxmlformats.org/officeDocument/2006/relationships/hyperlink" Target="https://www.tradingview.com/chart/Q1c5VWwD/?symbol=nasdaq%3Actsh" TargetMode="External" Id="rId86"/><Relationship Type="http://schemas.openxmlformats.org/officeDocument/2006/relationships/hyperlink" Target="https://www.tradingview.com/chart/Q1c5VWwD/?symbol=nasdaq%3Aitic" TargetMode="External" Id="rId87"/><Relationship Type="http://schemas.openxmlformats.org/officeDocument/2006/relationships/hyperlink" Target="https://www.tradingview.com/chart/Q1c5VWwD/?symbol=nasdaq%3Aiesc" TargetMode="External" Id="rId88"/><Relationship Type="http://schemas.openxmlformats.org/officeDocument/2006/relationships/hyperlink" Target="https://www.tradingview.com/chart/Q1c5VWwD/?symbol=nasdaq%3Anktx" TargetMode="External" Id="rId8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nyse%3Aavtr" TargetMode="External" Id="rId1"/><Relationship Type="http://schemas.openxmlformats.org/officeDocument/2006/relationships/hyperlink" Target="https://www.tradingview.com/chart/Q1c5VWwD/?symbol=nyse%3Abrk.b" TargetMode="External" Id="rId2"/><Relationship Type="http://schemas.openxmlformats.org/officeDocument/2006/relationships/hyperlink" Target="https://www.tradingview.com/chart/Q1c5VWwD/?symbol=nyse%3Adt" TargetMode="External" Id="rId3"/><Relationship Type="http://schemas.openxmlformats.org/officeDocument/2006/relationships/hyperlink" Target="https://www.tradingview.com/chart/Q1c5VWwD/?symbol=nyse%3Abrk.a" TargetMode="External" Id="rId4"/><Relationship Type="http://schemas.openxmlformats.org/officeDocument/2006/relationships/hyperlink" Target="https://www.tradingview.com/chart/Q1c5VWwD/?symbol=nasdaq%3Adocu" TargetMode="External" Id="rId5"/><Relationship Type="http://schemas.openxmlformats.org/officeDocument/2006/relationships/hyperlink" Target="https://www.tradingview.com/chart/Q1c5VWwD/?symbol=nasdaq%3Ameta" TargetMode="External" Id="rId6"/><Relationship Type="http://schemas.openxmlformats.org/officeDocument/2006/relationships/hyperlink" Target="https://www.tradingview.com/chart/Q1c5VWwD/?symbol=nasdaq%3Acoke" TargetMode="External" Id="rId7"/><Relationship Type="http://schemas.openxmlformats.org/officeDocument/2006/relationships/hyperlink" Target="https://www.tradingview.com/chart/Q1c5VWwD/?symbol=nyse%3Anow" TargetMode="External" Id="rId8"/><Relationship Type="http://schemas.openxmlformats.org/officeDocument/2006/relationships/hyperlink" Target="https://www.tradingview.com/chart/Q1c5VWwD/?symbol=nasdaq%3Acrwd" TargetMode="External" Id="rId9"/><Relationship Type="http://schemas.openxmlformats.org/officeDocument/2006/relationships/hyperlink" Target="https://www.tradingview.com/chart/Q1c5VWwD/?symbol=nasdaq%3Anwsa" TargetMode="External" Id="rId10"/><Relationship Type="http://schemas.openxmlformats.org/officeDocument/2006/relationships/hyperlink" Target="https://www.tradingview.com/chart/Q1c5VWwD/?symbol=nyse%3Ahpq" TargetMode="External" Id="rId11"/><Relationship Type="http://schemas.openxmlformats.org/officeDocument/2006/relationships/hyperlink" Target="https://www.tradingview.com/chart/Q1c5VWwD/?symbol=nasdaq%3Aswks" TargetMode="External" Id="rId12"/><Relationship Type="http://schemas.openxmlformats.org/officeDocument/2006/relationships/hyperlink" Target="https://www.tradingview.com/chart/Q1c5VWwD/?symbol=nasdaq%3Aqrvo" TargetMode="External" Id="rId13"/><Relationship Type="http://schemas.openxmlformats.org/officeDocument/2006/relationships/hyperlink" Target="https://www.tradingview.com/chart/Q1c5VWwD/?symbol=nasdaq%3Actsh" TargetMode="External" Id="rId14"/><Relationship Type="http://schemas.openxmlformats.org/officeDocument/2006/relationships/hyperlink" Target="https://www.tradingview.com/chart/Q1c5VWwD/?symbol=nyse%3Aitgr" TargetMode="External" Id="rId15"/><Relationship Type="http://schemas.openxmlformats.org/officeDocument/2006/relationships/hyperlink" Target="https://www.tradingview.com/chart/Q1c5VWwD/?symbol=nyse%3Adv" TargetMode="External" Id="rId16"/><Relationship Type="http://schemas.openxmlformats.org/officeDocument/2006/relationships/hyperlink" Target="https://www.tradingview.com/chart/Q1c5VWwD/?symbol=nyse%3Ahgty" TargetMode="External" Id="rId17"/><Relationship Type="http://schemas.openxmlformats.org/officeDocument/2006/relationships/hyperlink" Target="https://www.tradingview.com/chart/Q1c5VWwD/?symbol=nasdaq%3Acdna" TargetMode="External" Id="rId18"/><Relationship Type="http://schemas.openxmlformats.org/officeDocument/2006/relationships/hyperlink" Target="https://www.tradingview.com/chart/Q1c5VWwD/?symbol=nasdaq%3Aiova" TargetMode="External" Id="rId19"/><Relationship Type="http://schemas.openxmlformats.org/officeDocument/2006/relationships/hyperlink" Target="https://www.tradingview.com/chart/Q1c5VWwD/?symbol=nasdaq%3Asaic" TargetMode="External" Id="rId20"/><Relationship Type="http://schemas.openxmlformats.org/officeDocument/2006/relationships/hyperlink" Target="https://www.tradingview.com/chart/Q1c5VWwD/?symbol=nyse%3Aepam" TargetMode="External" Id="rId21"/><Relationship Type="http://schemas.openxmlformats.org/officeDocument/2006/relationships/hyperlink" Target="https://www.tradingview.com/chart/Q1c5VWwD/?symbol=nasdaq%3Aaugo" TargetMode="External" Id="rId22"/><Relationship Type="http://schemas.openxmlformats.org/officeDocument/2006/relationships/hyperlink" Target="https://www.tradingview.com/chart/Q1c5VWwD/?symbol=nasdaq%3Aatrc" TargetMode="External" Id="rId23"/><Relationship Type="http://schemas.openxmlformats.org/officeDocument/2006/relationships/hyperlink" Target="https://www.tradingview.com/chart/Q1c5VWwD/?symbol=nyse%3Ainsp" TargetMode="External" Id="rId24"/><Relationship Type="http://schemas.openxmlformats.org/officeDocument/2006/relationships/hyperlink" Target="https://www.tradingview.com/chart/Q1c5VWwD/?symbol=nasdaq%3Acnxn" TargetMode="External" Id="rId25"/><Relationship Type="http://schemas.openxmlformats.org/officeDocument/2006/relationships/hyperlink" Target="https://www.tradingview.com/chart/Q1c5VWwD/?symbol=nyse%3Ainsw" TargetMode="External" Id="rId26"/><Relationship Type="http://schemas.openxmlformats.org/officeDocument/2006/relationships/hyperlink" Target="https://www.tradingview.com/chart/Q1c5VWwD/?symbol=nasdaq%3Aslde" TargetMode="External" Id="rId27"/><Relationship Type="http://schemas.openxmlformats.org/officeDocument/2006/relationships/hyperlink" Target="https://www.tradingview.com/chart/Q1c5VWwD/?symbol=nasdaq%3Apega" TargetMode="External" Id="rId28"/><Relationship Type="http://schemas.openxmlformats.org/officeDocument/2006/relationships/hyperlink" Target="https://www.tradingview.com/chart/Q1c5VWwD/?symbol=nasdaq%3Acrvl" TargetMode="External" Id="rId29"/><Relationship Type="http://schemas.openxmlformats.org/officeDocument/2006/relationships/hyperlink" Target="https://www.tradingview.com/chart/Q1c5VWwD/?symbol=nasdaq%3Antsk" TargetMode="External" Id="rId30"/><Relationship Type="http://schemas.openxmlformats.org/officeDocument/2006/relationships/hyperlink" Target="https://www.tradingview.com/chart/Q1c5VWwD/?symbol=nasdaq%3Aappf" TargetMode="External" Id="rId31"/><Relationship Type="http://schemas.openxmlformats.org/officeDocument/2006/relationships/hyperlink" Target="https://www.tradingview.com/chart/Q1c5VWwD/?symbol=nasdaq%3Afmao" TargetMode="External" Id="rId32"/><Relationship Type="http://schemas.openxmlformats.org/officeDocument/2006/relationships/hyperlink" Target="https://www.tradingview.com/chart/Q1c5VWwD/?symbol=nyse%3Ahrtg" TargetMode="External" Id="rId33"/><Relationship Type="http://schemas.openxmlformats.org/officeDocument/2006/relationships/hyperlink" Target="https://www.tradingview.com/chart/Q1c5VWwD/?symbol=nyse%3Afet" TargetMode="External" Id="rId34"/><Relationship Type="http://schemas.openxmlformats.org/officeDocument/2006/relationships/hyperlink" Target="https://www.tradingview.com/chart/Q1c5VWwD/?symbol=nasdaq%3Ardvt" TargetMode="External" Id="rId35"/><Relationship Type="http://schemas.openxmlformats.org/officeDocument/2006/relationships/hyperlink" Target="https://www.tradingview.com/chart/Q1c5VWwD/?symbol=nasdaq%3Acrsr" TargetMode="External" Id="rId36"/><Relationship Type="http://schemas.openxmlformats.org/officeDocument/2006/relationships/hyperlink" Target="https://www.tradingview.com/chart/Q1c5VWwD/?symbol=nasdaq%3Abdsx" TargetMode="External" Id="rId37"/><Relationship Type="http://schemas.openxmlformats.org/officeDocument/2006/relationships/hyperlink" Target="https://www.tradingview.com/chart/Q1c5VWwD/?symbol=nasdaq%3Axrx" TargetMode="External" Id="rId38"/><Relationship Type="http://schemas.openxmlformats.org/officeDocument/2006/relationships/hyperlink" Target="https://www.tradingview.com/chart/Q1c5VWwD/?symbol=nasdaq%3Amygn" TargetMode="External" Id="rId39"/><Relationship Type="http://schemas.openxmlformats.org/officeDocument/2006/relationships/hyperlink" Target="https://www.tradingview.com/chart/Q1c5VWwD/?symbol=nasdaq%3Akopn" TargetMode="External" Id="rId40"/><Relationship Type="http://schemas.openxmlformats.org/officeDocument/2006/relationships/hyperlink" Target="https://www.tradingview.com/chart/Q1c5VWwD/?symbol=nasdaq%3Anutx" TargetMode="External" Id="rId41"/><Relationship Type="http://schemas.openxmlformats.org/officeDocument/2006/relationships/hyperlink" Target="https://www.tradingview.com/chart/Q1c5VWwD/?symbol=nasdaq%3Acrct" TargetMode="External" Id="rId42"/><Relationship Type="http://schemas.openxmlformats.org/officeDocument/2006/relationships/hyperlink" Target="https://www.tradingview.com/chart/Q1c5VWwD/?symbol=nasdaq%3Afbla" TargetMode="External" Id="rId43"/><Relationship Type="http://schemas.openxmlformats.org/officeDocument/2006/relationships/hyperlink" Target="https://www.tradingview.com/chart/Q1c5VWwD/?symbol=nyse%3Apd" TargetMode="External" Id="rId44"/><Relationship Type="http://schemas.openxmlformats.org/officeDocument/2006/relationships/hyperlink" Target="https://www.tradingview.com/chart/Q1c5VWwD/?symbol=nasdaq%3Aamph" TargetMode="External" Id="rId45"/><Relationship Type="http://schemas.openxmlformats.org/officeDocument/2006/relationships/hyperlink" Target="https://www.tradingview.com/chart/Q1c5VWwD/?symbol=nyse%3Afpi" TargetMode="External" Id="rId46"/><Relationship Type="http://schemas.openxmlformats.org/officeDocument/2006/relationships/hyperlink" Target="https://www.tradingview.com/chart/Q1c5VWwD/?symbol=nasdaq%3Acuri" TargetMode="External" Id="rId47"/><Relationship Type="http://schemas.openxmlformats.org/officeDocument/2006/relationships/hyperlink" Target="https://www.tradingview.com/chart/Q1c5VWwD/?symbol=nyse%3Anpk" TargetMode="External" Id="rId48"/><Relationship Type="http://schemas.openxmlformats.org/officeDocument/2006/relationships/hyperlink" Target="https://www.tradingview.com/chart/Q1c5VWwD/?symbol=nasdaq%3Aospn" TargetMode="External" Id="rId49"/><Relationship Type="http://schemas.openxmlformats.org/officeDocument/2006/relationships/hyperlink" Target="https://www.tradingview.com/chart/Q1c5VWwD/?symbol=nasdaq%3Aspt" TargetMode="External" Id="rId50"/><Relationship Type="http://schemas.openxmlformats.org/officeDocument/2006/relationships/hyperlink" Target="https://www.tradingview.com/chart/Q1c5VWwD/?symbol=nasdaq%3Afeim" TargetMode="External" Id="rId51"/><Relationship Type="http://schemas.openxmlformats.org/officeDocument/2006/relationships/hyperlink" Target="https://www.tradingview.com/chart/Q1c5VWwD/?symbol=nasdaq%3Actkb" TargetMode="External" Id="rId52"/><Relationship Type="http://schemas.openxmlformats.org/officeDocument/2006/relationships/hyperlink" Target="https://www.tradingview.com/chart/Q1c5VWwD/?symbol=nasdaq%3Aefsi" TargetMode="External" Id="rId5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nyse%3Aavtr" TargetMode="External" Id="rId1"/><Relationship Type="http://schemas.openxmlformats.org/officeDocument/2006/relationships/hyperlink" Target="https://www.tradingview.com/chart/Q1c5VWwD/?symbol=nyse%3Anue" TargetMode="External" Id="rId2"/><Relationship Type="http://schemas.openxmlformats.org/officeDocument/2006/relationships/hyperlink" Target="https://www.tradingview.com/chart/Q1c5VWwD/?symbol=nyse%3Aclh" TargetMode="External" Id="rId3"/><Relationship Type="http://schemas.openxmlformats.org/officeDocument/2006/relationships/hyperlink" Target="https://www.tradingview.com/chart/Q1c5VWwD/?symbol=nyse%3Atwlo" TargetMode="External" Id="rId4"/><Relationship Type="http://schemas.openxmlformats.org/officeDocument/2006/relationships/hyperlink" Target="https://www.tradingview.com/chart/Q1c5VWwD/?symbol=nyse%3Aohi" TargetMode="External" Id="rId5"/><Relationship Type="http://schemas.openxmlformats.org/officeDocument/2006/relationships/hyperlink" Target="https://www.tradingview.com/chart/Q1c5VWwD/?symbol=nyse%3Aadm" TargetMode="External" Id="rId6"/><Relationship Type="http://schemas.openxmlformats.org/officeDocument/2006/relationships/hyperlink" Target="https://www.tradingview.com/chart/Q1c5VWwD/?symbol=nyse%3Abrk.b" TargetMode="External" Id="rId7"/><Relationship Type="http://schemas.openxmlformats.org/officeDocument/2006/relationships/hyperlink" Target="https://www.tradingview.com/chart/Q1c5VWwD/?symbol=nyse%3Adt" TargetMode="External" Id="rId8"/><Relationship Type="http://schemas.openxmlformats.org/officeDocument/2006/relationships/hyperlink" Target="https://www.tradingview.com/chart/Q1c5VWwD/?symbol=nyse%3Abrk.a" TargetMode="External" Id="rId9"/><Relationship Type="http://schemas.openxmlformats.org/officeDocument/2006/relationships/hyperlink" Target="https://www.tradingview.com/chart/Q1c5VWwD/?symbol=nyse%3Aexpd" TargetMode="External" Id="rId10"/><Relationship Type="http://schemas.openxmlformats.org/officeDocument/2006/relationships/hyperlink" Target="https://www.tradingview.com/chart/Q1c5VWwD/?symbol=nasdaq%3Asmci" TargetMode="External" Id="rId11"/><Relationship Type="http://schemas.openxmlformats.org/officeDocument/2006/relationships/hyperlink" Target="https://www.tradingview.com/chart/Q1c5VWwD/?symbol=nyse%3Aibm" TargetMode="External" Id="rId12"/><Relationship Type="http://schemas.openxmlformats.org/officeDocument/2006/relationships/hyperlink" Target="https://www.tradingview.com/chart/Q1c5VWwD/?symbol=nasdaq%3Adocu" TargetMode="External" Id="rId13"/><Relationship Type="http://schemas.openxmlformats.org/officeDocument/2006/relationships/hyperlink" Target="https://www.tradingview.com/chart/Q1c5VWwD/?symbol=nasdaq%3Ameta" TargetMode="External" Id="rId14"/><Relationship Type="http://schemas.openxmlformats.org/officeDocument/2006/relationships/hyperlink" Target="https://www.tradingview.com/chart/Q1c5VWwD/?symbol=nasdaq%3Atsla" TargetMode="External" Id="rId15"/><Relationship Type="http://schemas.openxmlformats.org/officeDocument/2006/relationships/hyperlink" Target="https://www.tradingview.com/chart/Q1c5VWwD/?symbol=nyse%3Aunm" TargetMode="External" Id="rId16"/><Relationship Type="http://schemas.openxmlformats.org/officeDocument/2006/relationships/hyperlink" Target="https://www.tradingview.com/chart/Q1c5VWwD/?symbol=nasdaq%3Acrwd" TargetMode="External" Id="rId17"/><Relationship Type="http://schemas.openxmlformats.org/officeDocument/2006/relationships/hyperlink" Target="https://www.tradingview.com/chart/Q1c5VWwD/?symbol=nyse%3Amdt" TargetMode="External" Id="rId18"/><Relationship Type="http://schemas.openxmlformats.org/officeDocument/2006/relationships/hyperlink" Target="https://www.tradingview.com/chart/Q1c5VWwD/?symbol=nyse%3Ahpq" TargetMode="External" Id="rId19"/><Relationship Type="http://schemas.openxmlformats.org/officeDocument/2006/relationships/hyperlink" Target="https://www.tradingview.com/chart/Q1c5VWwD/?symbol=nasdaq%3Aswks" TargetMode="External" Id="rId20"/><Relationship Type="http://schemas.openxmlformats.org/officeDocument/2006/relationships/hyperlink" Target="https://www.tradingview.com/chart/Q1c5VWwD/?symbol=nasdaq%3Aqrvo" TargetMode="External" Id="rId21"/><Relationship Type="http://schemas.openxmlformats.org/officeDocument/2006/relationships/hyperlink" Target="https://www.tradingview.com/chart/Q1c5VWwD/?symbol=nasdaq%3Aiesc" TargetMode="External" Id="rId22"/><Relationship Type="http://schemas.openxmlformats.org/officeDocument/2006/relationships/hyperlink" Target="https://www.tradingview.com/chart/Q1c5VWwD/?symbol=nyse%3Aitgr" TargetMode="External" Id="rId23"/><Relationship Type="http://schemas.openxmlformats.org/officeDocument/2006/relationships/hyperlink" Target="https://www.tradingview.com/chart/Q1c5VWwD/?symbol=nyse%3Adv" TargetMode="External" Id="rId24"/><Relationship Type="http://schemas.openxmlformats.org/officeDocument/2006/relationships/hyperlink" Target="https://www.tradingview.com/chart/Q1c5VWwD/?symbol=nasdaq%3Amktx" TargetMode="External" Id="rId25"/><Relationship Type="http://schemas.openxmlformats.org/officeDocument/2006/relationships/hyperlink" Target="https://www.tradingview.com/chart/Q1c5VWwD/?symbol=nyse%3Ahgty" TargetMode="External" Id="rId26"/><Relationship Type="http://schemas.openxmlformats.org/officeDocument/2006/relationships/hyperlink" Target="https://www.tradingview.com/chart/Q1c5VWwD/?symbol=nasdaq%3Acdna" TargetMode="External" Id="rId27"/><Relationship Type="http://schemas.openxmlformats.org/officeDocument/2006/relationships/hyperlink" Target="https://www.tradingview.com/chart/Q1c5VWwD/?symbol=nasdaq%3Aiova" TargetMode="External" Id="rId28"/><Relationship Type="http://schemas.openxmlformats.org/officeDocument/2006/relationships/hyperlink" Target="https://www.tradingview.com/chart/Q1c5VWwD/?symbol=nasdaq%3Asaic" TargetMode="External" Id="rId29"/><Relationship Type="http://schemas.openxmlformats.org/officeDocument/2006/relationships/hyperlink" Target="https://www.tradingview.com/chart/Q1c5VWwD/?symbol=nyse%3Arng" TargetMode="External" Id="rId30"/><Relationship Type="http://schemas.openxmlformats.org/officeDocument/2006/relationships/hyperlink" Target="https://www.tradingview.com/chart/Q1c5VWwD/?symbol=nasdaq%3Aatrc" TargetMode="External" Id="rId31"/><Relationship Type="http://schemas.openxmlformats.org/officeDocument/2006/relationships/hyperlink" Target="https://www.tradingview.com/chart/Q1c5VWwD/?symbol=nyse%3Ainsp" TargetMode="External" Id="rId32"/><Relationship Type="http://schemas.openxmlformats.org/officeDocument/2006/relationships/hyperlink" Target="https://www.tradingview.com/chart/Q1c5VWwD/?symbol=nasdaq%3Acnxn" TargetMode="External" Id="rId33"/><Relationship Type="http://schemas.openxmlformats.org/officeDocument/2006/relationships/hyperlink" Target="https://www.tradingview.com/chart/Q1c5VWwD/?symbol=nyse%3Ainsw" TargetMode="External" Id="rId34"/><Relationship Type="http://schemas.openxmlformats.org/officeDocument/2006/relationships/hyperlink" Target="https://www.tradingview.com/chart/Q1c5VWwD/?symbol=nasdaq%3Aslde" TargetMode="External" Id="rId35"/><Relationship Type="http://schemas.openxmlformats.org/officeDocument/2006/relationships/hyperlink" Target="https://www.tradingview.com/chart/Q1c5VWwD/?symbol=nyse%3Aagm" TargetMode="External" Id="rId36"/><Relationship Type="http://schemas.openxmlformats.org/officeDocument/2006/relationships/hyperlink" Target="https://www.tradingview.com/chart/Q1c5VWwD/?symbol=nasdaq%3Antsk" TargetMode="External" Id="rId37"/><Relationship Type="http://schemas.openxmlformats.org/officeDocument/2006/relationships/hyperlink" Target="https://www.tradingview.com/chart/Q1c5VWwD/?symbol=nasdaq%3Ansit" TargetMode="External" Id="rId38"/><Relationship Type="http://schemas.openxmlformats.org/officeDocument/2006/relationships/hyperlink" Target="https://www.tradingview.com/chart/Q1c5VWwD/?symbol=nasdaq%3Afmao" TargetMode="External" Id="rId39"/><Relationship Type="http://schemas.openxmlformats.org/officeDocument/2006/relationships/hyperlink" Target="https://www.tradingview.com/chart/Q1c5VWwD/?symbol=nasdaq%3Asmti" TargetMode="External" Id="rId40"/><Relationship Type="http://schemas.openxmlformats.org/officeDocument/2006/relationships/hyperlink" Target="https://www.tradingview.com/chart/Q1c5VWwD/?symbol=nyse%3Ahrtg" TargetMode="External" Id="rId41"/><Relationship Type="http://schemas.openxmlformats.org/officeDocument/2006/relationships/hyperlink" Target="https://www.tradingview.com/chart/Q1c5VWwD/?symbol=nasdaq%3Admlp" TargetMode="External" Id="rId42"/><Relationship Type="http://schemas.openxmlformats.org/officeDocument/2006/relationships/hyperlink" Target="https://www.tradingview.com/chart/Q1c5VWwD/?symbol=nasdaq%3Ardvt" TargetMode="External" Id="rId43"/><Relationship Type="http://schemas.openxmlformats.org/officeDocument/2006/relationships/hyperlink" Target="https://www.tradingview.com/chart/Q1c5VWwD/?symbol=nasdaq%3Aintg" TargetMode="External" Id="rId44"/><Relationship Type="http://schemas.openxmlformats.org/officeDocument/2006/relationships/hyperlink" Target="https://www.tradingview.com/chart/Q1c5VWwD/?symbol=nasdaq%3Acrsr" TargetMode="External" Id="rId45"/><Relationship Type="http://schemas.openxmlformats.org/officeDocument/2006/relationships/hyperlink" Target="https://www.tradingview.com/chart/Q1c5VWwD/?symbol=nasdaq%3Arefi" TargetMode="External" Id="rId46"/><Relationship Type="http://schemas.openxmlformats.org/officeDocument/2006/relationships/hyperlink" Target="https://www.tradingview.com/chart/Q1c5VWwD/?symbol=nasdaq%3Axrx" TargetMode="External" Id="rId47"/><Relationship Type="http://schemas.openxmlformats.org/officeDocument/2006/relationships/hyperlink" Target="https://www.tradingview.com/chart/Q1c5VWwD/?symbol=nasdaq%3Amygn" TargetMode="External" Id="rId48"/><Relationship Type="http://schemas.openxmlformats.org/officeDocument/2006/relationships/hyperlink" Target="https://www.tradingview.com/chart/Q1c5VWwD/?symbol=nasdaq%3Anutx" TargetMode="External" Id="rId49"/><Relationship Type="http://schemas.openxmlformats.org/officeDocument/2006/relationships/hyperlink" Target="https://www.tradingview.com/chart/Q1c5VWwD/?symbol=nasdaq%3Afbla" TargetMode="External" Id="rId50"/><Relationship Type="http://schemas.openxmlformats.org/officeDocument/2006/relationships/hyperlink" Target="https://www.tradingview.com/chart/Q1c5VWwD/?symbol=nyse%3Apd" TargetMode="External" Id="rId51"/><Relationship Type="http://schemas.openxmlformats.org/officeDocument/2006/relationships/hyperlink" Target="https://www.tradingview.com/chart/Q1c5VWwD/?symbol=nasdaq%3Aamph" TargetMode="External" Id="rId52"/><Relationship Type="http://schemas.openxmlformats.org/officeDocument/2006/relationships/hyperlink" Target="https://www.tradingview.com/chart/Q1c5VWwD/?symbol=nyse%3Adfin" TargetMode="External" Id="rId53"/><Relationship Type="http://schemas.openxmlformats.org/officeDocument/2006/relationships/hyperlink" Target="https://www.tradingview.com/chart/Q1c5VWwD/?symbol=nyse%3Afpi" TargetMode="External" Id="rId54"/><Relationship Type="http://schemas.openxmlformats.org/officeDocument/2006/relationships/hyperlink" Target="https://www.tradingview.com/chart/Q1c5VWwD/?symbol=nasdaq%3Anaka" TargetMode="External" Id="rId55"/><Relationship Type="http://schemas.openxmlformats.org/officeDocument/2006/relationships/hyperlink" Target="https://www.tradingview.com/chart/Q1c5VWwD/?symbol=nasdaq%3Asgp" TargetMode="External" Id="rId56"/><Relationship Type="http://schemas.openxmlformats.org/officeDocument/2006/relationships/hyperlink" Target="https://www.tradingview.com/chart/Q1c5VWwD/?symbol=nasdaq%3Anath" TargetMode="External" Id="rId57"/><Relationship Type="http://schemas.openxmlformats.org/officeDocument/2006/relationships/hyperlink" Target="https://www.tradingview.com/chart/Q1c5VWwD/?symbol=amex%3Arepx" TargetMode="External" Id="rId58"/><Relationship Type="http://schemas.openxmlformats.org/officeDocument/2006/relationships/hyperlink" Target="https://www.tradingview.com/chart/Q1c5VWwD/?symbol=nasdaq%3Aospn" TargetMode="External" Id="rId59"/><Relationship Type="http://schemas.openxmlformats.org/officeDocument/2006/relationships/hyperlink" Target="https://www.tradingview.com/chart/Q1c5VWwD/?symbol=nasdaq%3Axhld" TargetMode="External" Id="rId60"/><Relationship Type="http://schemas.openxmlformats.org/officeDocument/2006/relationships/hyperlink" Target="https://www.tradingview.com/chart/Q1c5VWwD/?symbol=nasdaq%3Ahypd" TargetMode="External" Id="rId61"/><Relationship Type="http://schemas.openxmlformats.org/officeDocument/2006/relationships/hyperlink" Target="https://www.tradingview.com/chart/Q1c5VWwD/?symbol=nyse%3Aaesi" TargetMode="External" Id="rId62"/><Relationship Type="http://schemas.openxmlformats.org/officeDocument/2006/relationships/hyperlink" Target="https://www.tradingview.com/chart/Q1c5VWwD/?symbol=nasdaq%3Afeim" TargetMode="External" Id="rId63"/><Relationship Type="http://schemas.openxmlformats.org/officeDocument/2006/relationships/hyperlink" Target="https://www.tradingview.com/chart/Q1c5VWwD/?symbol=nasdaq%3Actkb" TargetMode="External" Id="rId64"/><Relationship Type="http://schemas.openxmlformats.org/officeDocument/2006/relationships/hyperlink" Target="https://www.tradingview.com/chart/Q1c5VWwD/?symbol=nasdaq%3Aefsi" TargetMode="External" Id="rId65"/><Relationship Type="http://schemas.openxmlformats.org/officeDocument/2006/relationships/hyperlink" Target="https://www.tradingview.com/chart/Q1c5VWwD/?symbol=nasdaq%3Aobio" TargetMode="External" Id="rId66"/><Relationship Type="http://schemas.openxmlformats.org/officeDocument/2006/relationships/hyperlink" Target="https://www.tradingview.com/chart/Q1c5VWwD/?symbol=nasdaq%3Aoesx" TargetMode="External" Id="rId67"/><Relationship Type="http://schemas.openxmlformats.org/officeDocument/2006/relationships/hyperlink" Target="https://www.tradingview.com/chart/Q1c5VWwD/?symbol=nasdaq%3Acyph" TargetMode="External" Id="rId68"/><Relationship Type="http://schemas.openxmlformats.org/officeDocument/2006/relationships/hyperlink" Target="https://www.tradingview.com/chart/Q1c5VWwD/?symbol=nasdaq%3Anktx" TargetMode="External" Id="rId69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nasdaq%3Ahalo" TargetMode="External" Id="rId1"/><Relationship Type="http://schemas.openxmlformats.org/officeDocument/2006/relationships/hyperlink" Target="https://www.tradingview.com/chart/Q1c5VWwD/?symbol=nyse%3Aavtr" TargetMode="External" Id="rId2"/><Relationship Type="http://schemas.openxmlformats.org/officeDocument/2006/relationships/hyperlink" Target="https://www.tradingview.com/chart/Q1c5VWwD/?symbol=nyse%3Aadm" TargetMode="External" Id="rId3"/><Relationship Type="http://schemas.openxmlformats.org/officeDocument/2006/relationships/hyperlink" Target="https://www.tradingview.com/chart/Q1c5VWwD/?symbol=nyse%3Adt" TargetMode="External" Id="rId4"/><Relationship Type="http://schemas.openxmlformats.org/officeDocument/2006/relationships/hyperlink" Target="https://www.tradingview.com/chart/Q1c5VWwD/?symbol=nyse%3Aexpd" TargetMode="External" Id="rId5"/><Relationship Type="http://schemas.openxmlformats.org/officeDocument/2006/relationships/hyperlink" Target="https://www.tradingview.com/chart/Q1c5VWwD/?symbol=nasdaq%3Adocu" TargetMode="External" Id="rId6"/><Relationship Type="http://schemas.openxmlformats.org/officeDocument/2006/relationships/hyperlink" Target="https://www.tradingview.com/chart/Q1c5VWwD/?symbol=nasdaq%3Acoke" TargetMode="External" Id="rId7"/><Relationship Type="http://schemas.openxmlformats.org/officeDocument/2006/relationships/hyperlink" Target="https://www.tradingview.com/chart/Q1c5VWwD/?symbol=nasdaq%3Atsla" TargetMode="External" Id="rId8"/><Relationship Type="http://schemas.openxmlformats.org/officeDocument/2006/relationships/hyperlink" Target="https://www.tradingview.com/chart/Q1c5VWwD/?symbol=nyse%3Amdt" TargetMode="External" Id="rId9"/><Relationship Type="http://schemas.openxmlformats.org/officeDocument/2006/relationships/hyperlink" Target="https://www.tradingview.com/chart/Q1c5VWwD/?symbol=nyse%3Ahpq" TargetMode="External" Id="rId10"/><Relationship Type="http://schemas.openxmlformats.org/officeDocument/2006/relationships/hyperlink" Target="https://www.tradingview.com/chart/Q1c5VWwD/?symbol=nasdaq%3Aqrvo" TargetMode="External" Id="rId11"/><Relationship Type="http://schemas.openxmlformats.org/officeDocument/2006/relationships/hyperlink" Target="https://www.tradingview.com/chart/Q1c5VWwD/?symbol=nyse%3Aitgr" TargetMode="External" Id="rId12"/><Relationship Type="http://schemas.openxmlformats.org/officeDocument/2006/relationships/hyperlink" Target="https://www.tradingview.com/chart/Q1c5VWwD/?symbol=nyse%3Adv" TargetMode="External" Id="rId13"/><Relationship Type="http://schemas.openxmlformats.org/officeDocument/2006/relationships/hyperlink" Target="https://www.tradingview.com/chart/Q1c5VWwD/?symbol=nyse%3Ahgty" TargetMode="External" Id="rId14"/><Relationship Type="http://schemas.openxmlformats.org/officeDocument/2006/relationships/hyperlink" Target="https://www.tradingview.com/chart/Q1c5VWwD/?symbol=nasdaq%3Acdna" TargetMode="External" Id="rId15"/><Relationship Type="http://schemas.openxmlformats.org/officeDocument/2006/relationships/hyperlink" Target="https://www.tradingview.com/chart/Q1c5VWwD/?symbol=nasdaq%3Aiova" TargetMode="External" Id="rId16"/><Relationship Type="http://schemas.openxmlformats.org/officeDocument/2006/relationships/hyperlink" Target="https://www.tradingview.com/chart/Q1c5VWwD/?symbol=nasdaq%3Asaic" TargetMode="External" Id="rId17"/><Relationship Type="http://schemas.openxmlformats.org/officeDocument/2006/relationships/hyperlink" Target="https://www.tradingview.com/chart/Q1c5VWwD/?symbol=nyse%3Arng" TargetMode="External" Id="rId18"/><Relationship Type="http://schemas.openxmlformats.org/officeDocument/2006/relationships/hyperlink" Target="https://www.tradingview.com/chart/Q1c5VWwD/?symbol=nasdaq%3Aaugo" TargetMode="External" Id="rId19"/><Relationship Type="http://schemas.openxmlformats.org/officeDocument/2006/relationships/hyperlink" Target="https://www.tradingview.com/chart/Q1c5VWwD/?symbol=nasdaq%3Aatrc" TargetMode="External" Id="rId20"/><Relationship Type="http://schemas.openxmlformats.org/officeDocument/2006/relationships/hyperlink" Target="https://www.tradingview.com/chart/Q1c5VWwD/?symbol=nyse%3Ainsp" TargetMode="External" Id="rId21"/><Relationship Type="http://schemas.openxmlformats.org/officeDocument/2006/relationships/hyperlink" Target="https://www.tradingview.com/chart/Q1c5VWwD/?symbol=nyse%3Ainsw" TargetMode="External" Id="rId22"/><Relationship Type="http://schemas.openxmlformats.org/officeDocument/2006/relationships/hyperlink" Target="https://www.tradingview.com/chart/Q1c5VWwD/?symbol=nasdaq%3Aslde" TargetMode="External" Id="rId23"/><Relationship Type="http://schemas.openxmlformats.org/officeDocument/2006/relationships/hyperlink" Target="https://www.tradingview.com/chart/Q1c5VWwD/?symbol=nasdaq%3Ansit" TargetMode="External" Id="rId24"/><Relationship Type="http://schemas.openxmlformats.org/officeDocument/2006/relationships/hyperlink" Target="https://www.tradingview.com/chart/Q1c5VWwD/?symbol=nasdaq%3Asmti" TargetMode="External" Id="rId25"/><Relationship Type="http://schemas.openxmlformats.org/officeDocument/2006/relationships/hyperlink" Target="https://www.tradingview.com/chart/Q1c5VWwD/?symbol=nyse%3Ahrtg" TargetMode="External" Id="rId26"/><Relationship Type="http://schemas.openxmlformats.org/officeDocument/2006/relationships/hyperlink" Target="https://www.tradingview.com/chart/Q1c5VWwD/?symbol=nasdaq%3Admlp" TargetMode="External" Id="rId27"/><Relationship Type="http://schemas.openxmlformats.org/officeDocument/2006/relationships/hyperlink" Target="https://www.tradingview.com/chart/Q1c5VWwD/?symbol=nasdaq%3Ardvt" TargetMode="External" Id="rId28"/><Relationship Type="http://schemas.openxmlformats.org/officeDocument/2006/relationships/hyperlink" Target="https://www.tradingview.com/chart/Q1c5VWwD/?symbol=nasdaq%3Aintg" TargetMode="External" Id="rId29"/><Relationship Type="http://schemas.openxmlformats.org/officeDocument/2006/relationships/hyperlink" Target="https://www.tradingview.com/chart/Q1c5VWwD/?symbol=nasdaq%3Arefi" TargetMode="External" Id="rId30"/><Relationship Type="http://schemas.openxmlformats.org/officeDocument/2006/relationships/hyperlink" Target="https://www.tradingview.com/chart/Q1c5VWwD/?symbol=nasdaq%3Abdsx" TargetMode="External" Id="rId31"/><Relationship Type="http://schemas.openxmlformats.org/officeDocument/2006/relationships/hyperlink" Target="https://www.tradingview.com/chart/Q1c5VWwD/?symbol=nasdaq%3Amygn" TargetMode="External" Id="rId32"/><Relationship Type="http://schemas.openxmlformats.org/officeDocument/2006/relationships/hyperlink" Target="https://www.tradingview.com/chart/Q1c5VWwD/?symbol=nasdaq%3Anutx" TargetMode="External" Id="rId33"/><Relationship Type="http://schemas.openxmlformats.org/officeDocument/2006/relationships/hyperlink" Target="https://www.tradingview.com/chart/Q1c5VWwD/?symbol=nasdaq%3Afbla" TargetMode="External" Id="rId34"/><Relationship Type="http://schemas.openxmlformats.org/officeDocument/2006/relationships/hyperlink" Target="https://www.tradingview.com/chart/Q1c5VWwD/?symbol=nyse%3Apd" TargetMode="External" Id="rId35"/><Relationship Type="http://schemas.openxmlformats.org/officeDocument/2006/relationships/hyperlink" Target="https://www.tradingview.com/chart/Q1c5VWwD/?symbol=nasdaq%3Aamph" TargetMode="External" Id="rId36"/><Relationship Type="http://schemas.openxmlformats.org/officeDocument/2006/relationships/hyperlink" Target="https://www.tradingview.com/chart/Q1c5VWwD/?symbol=nyse%3Afpi" TargetMode="External" Id="rId37"/><Relationship Type="http://schemas.openxmlformats.org/officeDocument/2006/relationships/hyperlink" Target="https://www.tradingview.com/chart/Q1c5VWwD/?symbol=nasdaq%3Anaka" TargetMode="External" Id="rId38"/><Relationship Type="http://schemas.openxmlformats.org/officeDocument/2006/relationships/hyperlink" Target="https://www.tradingview.com/chart/Q1c5VWwD/?symbol=nasdaq%3Asgp" TargetMode="External" Id="rId39"/><Relationship Type="http://schemas.openxmlformats.org/officeDocument/2006/relationships/hyperlink" Target="https://www.tradingview.com/chart/Q1c5VWwD/?symbol=nasdaq%3Anath" TargetMode="External" Id="rId40"/><Relationship Type="http://schemas.openxmlformats.org/officeDocument/2006/relationships/hyperlink" Target="https://www.tradingview.com/chart/Q1c5VWwD/?symbol=amex%3Arepx" TargetMode="External" Id="rId41"/><Relationship Type="http://schemas.openxmlformats.org/officeDocument/2006/relationships/hyperlink" Target="https://www.tradingview.com/chart/Q1c5VWwD/?symbol=nasdaq%3Axhld" TargetMode="External" Id="rId42"/><Relationship Type="http://schemas.openxmlformats.org/officeDocument/2006/relationships/hyperlink" Target="https://www.tradingview.com/chart/Q1c5VWwD/?symbol=nasdaq%3Ahypd" TargetMode="External" Id="rId43"/><Relationship Type="http://schemas.openxmlformats.org/officeDocument/2006/relationships/hyperlink" Target="https://www.tradingview.com/chart/Q1c5VWwD/?symbol=nyse%3Aaesi" TargetMode="External" Id="rId44"/><Relationship Type="http://schemas.openxmlformats.org/officeDocument/2006/relationships/hyperlink" Target="https://www.tradingview.com/chart/Q1c5VWwD/?symbol=nasdaq%3Aabtc" TargetMode="External" Id="rId45"/><Relationship Type="http://schemas.openxmlformats.org/officeDocument/2006/relationships/hyperlink" Target="https://www.tradingview.com/chart/Q1c5VWwD/?symbol=nasdaq%3Aobio" TargetMode="External" Id="rId46"/><Relationship Type="http://schemas.openxmlformats.org/officeDocument/2006/relationships/hyperlink" Target="https://www.tradingview.com/chart/Q1c5VWwD/?symbol=nasdaq%3Aoesx" TargetMode="External" Id="rId47"/><Relationship Type="http://schemas.openxmlformats.org/officeDocument/2006/relationships/hyperlink" Target="https://www.tradingview.com/chart/Q1c5VWwD/?symbol=nasdaq%3Acyph" TargetMode="External" Id="rId48"/><Relationship Type="http://schemas.openxmlformats.org/officeDocument/2006/relationships/hyperlink" Target="https://www.tradingview.com/chart/Q1c5VWwD/?symbol=nasdaq%3Anktx" TargetMode="External" Id="rId4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nasdaq%3Ahalo" TargetMode="External" Id="rId1"/><Relationship Type="http://schemas.openxmlformats.org/officeDocument/2006/relationships/hyperlink" Target="https://www.tradingview.com/chart/Q1c5VWwD/?symbol=nyse%3Aavtr" TargetMode="External" Id="rId2"/><Relationship Type="http://schemas.openxmlformats.org/officeDocument/2006/relationships/hyperlink" Target="https://www.tradingview.com/chart/Q1c5VWwD/?symbol=nyse%3Anue" TargetMode="External" Id="rId3"/><Relationship Type="http://schemas.openxmlformats.org/officeDocument/2006/relationships/hyperlink" Target="https://www.tradingview.com/chart/Q1c5VWwD/?symbol=nyse%3Aclh" TargetMode="External" Id="rId4"/><Relationship Type="http://schemas.openxmlformats.org/officeDocument/2006/relationships/hyperlink" Target="https://www.tradingview.com/chart/Q1c5VWwD/?symbol=nyse%3Aexpd" TargetMode="External" Id="rId5"/><Relationship Type="http://schemas.openxmlformats.org/officeDocument/2006/relationships/hyperlink" Target="https://www.tradingview.com/chart/Q1c5VWwD/?symbol=nasdaq%3Asmci" TargetMode="External" Id="rId6"/><Relationship Type="http://schemas.openxmlformats.org/officeDocument/2006/relationships/hyperlink" Target="https://www.tradingview.com/chart/Q1c5VWwD/?symbol=nasdaq%3Adocu" TargetMode="External" Id="rId7"/><Relationship Type="http://schemas.openxmlformats.org/officeDocument/2006/relationships/hyperlink" Target="https://www.tradingview.com/chart/Q1c5VWwD/?symbol=nyse%3Atmo" TargetMode="External" Id="rId8"/><Relationship Type="http://schemas.openxmlformats.org/officeDocument/2006/relationships/hyperlink" Target="https://www.tradingview.com/chart/Q1c5VWwD/?symbol=nasdaq%3Acoke" TargetMode="External" Id="rId9"/><Relationship Type="http://schemas.openxmlformats.org/officeDocument/2006/relationships/hyperlink" Target="https://www.tradingview.com/chart/Q1c5VWwD/?symbol=nyse%3Amdt" TargetMode="External" Id="rId10"/><Relationship Type="http://schemas.openxmlformats.org/officeDocument/2006/relationships/hyperlink" Target="https://www.tradingview.com/chart/Q1c5VWwD/?symbol=nyse%3Ahpq" TargetMode="External" Id="rId11"/><Relationship Type="http://schemas.openxmlformats.org/officeDocument/2006/relationships/hyperlink" Target="https://www.tradingview.com/chart/Q1c5VWwD/?symbol=nasdaq%3Aswks" TargetMode="External" Id="rId12"/><Relationship Type="http://schemas.openxmlformats.org/officeDocument/2006/relationships/hyperlink" Target="https://www.tradingview.com/chart/Q1c5VWwD/?symbol=nasdaq%3Aqrvo" TargetMode="External" Id="rId13"/><Relationship Type="http://schemas.openxmlformats.org/officeDocument/2006/relationships/hyperlink" Target="https://www.tradingview.com/chart/Q1c5VWwD/?symbol=nyse%3Aitgr" TargetMode="External" Id="rId14"/><Relationship Type="http://schemas.openxmlformats.org/officeDocument/2006/relationships/hyperlink" Target="https://www.tradingview.com/chart/Q1c5VWwD/?symbol=nyse%3Adv" TargetMode="External" Id="rId15"/><Relationship Type="http://schemas.openxmlformats.org/officeDocument/2006/relationships/hyperlink" Target="https://www.tradingview.com/chart/Q1c5VWwD/?symbol=nasdaq%3Amktx" TargetMode="External" Id="rId16"/><Relationship Type="http://schemas.openxmlformats.org/officeDocument/2006/relationships/hyperlink" Target="https://www.tradingview.com/chart/Q1c5VWwD/?symbol=nasdaq%3Acdna" TargetMode="External" Id="rId17"/><Relationship Type="http://schemas.openxmlformats.org/officeDocument/2006/relationships/hyperlink" Target="https://www.tradingview.com/chart/Q1c5VWwD/?symbol=nasdaq%3Aiova" TargetMode="External" Id="rId18"/><Relationship Type="http://schemas.openxmlformats.org/officeDocument/2006/relationships/hyperlink" Target="https://www.tradingview.com/chart/Q1c5VWwD/?symbol=nasdaq%3Asaic" TargetMode="External" Id="rId19"/><Relationship Type="http://schemas.openxmlformats.org/officeDocument/2006/relationships/hyperlink" Target="https://www.tradingview.com/chart/Q1c5VWwD/?symbol=nyse%3Arng" TargetMode="External" Id="rId20"/><Relationship Type="http://schemas.openxmlformats.org/officeDocument/2006/relationships/hyperlink" Target="https://www.tradingview.com/chart/Q1c5VWwD/?symbol=nasdaq%3Aaugo" TargetMode="External" Id="rId21"/><Relationship Type="http://schemas.openxmlformats.org/officeDocument/2006/relationships/hyperlink" Target="https://www.tradingview.com/chart/Q1c5VWwD/?symbol=nasdaq%3Aatrc" TargetMode="External" Id="rId22"/><Relationship Type="http://schemas.openxmlformats.org/officeDocument/2006/relationships/hyperlink" Target="https://www.tradingview.com/chart/Q1c5VWwD/?symbol=nyse%3Ainsp" TargetMode="External" Id="rId23"/><Relationship Type="http://schemas.openxmlformats.org/officeDocument/2006/relationships/hyperlink" Target="https://www.tradingview.com/chart/Q1c5VWwD/?symbol=nyse%3Ainsw" TargetMode="External" Id="rId24"/><Relationship Type="http://schemas.openxmlformats.org/officeDocument/2006/relationships/hyperlink" Target="https://www.tradingview.com/chart/Q1c5VWwD/?symbol=nasdaq%3Aslde" TargetMode="External" Id="rId25"/><Relationship Type="http://schemas.openxmlformats.org/officeDocument/2006/relationships/hyperlink" Target="https://www.tradingview.com/chart/Q1c5VWwD/?symbol=nasdaq%3Ansit" TargetMode="External" Id="rId26"/><Relationship Type="http://schemas.openxmlformats.org/officeDocument/2006/relationships/hyperlink" Target="https://www.tradingview.com/chart/Q1c5VWwD/?symbol=nasdaq%3Afmao" TargetMode="External" Id="rId27"/><Relationship Type="http://schemas.openxmlformats.org/officeDocument/2006/relationships/hyperlink" Target="https://www.tradingview.com/chart/Q1c5VWwD/?symbol=nasdaq%3Asmti" TargetMode="External" Id="rId28"/><Relationship Type="http://schemas.openxmlformats.org/officeDocument/2006/relationships/hyperlink" Target="https://www.tradingview.com/chart/Q1c5VWwD/?symbol=nyse%3Ahrtg" TargetMode="External" Id="rId29"/><Relationship Type="http://schemas.openxmlformats.org/officeDocument/2006/relationships/hyperlink" Target="https://www.tradingview.com/chart/Q1c5VWwD/?symbol=nasdaq%3Admlp" TargetMode="External" Id="rId30"/><Relationship Type="http://schemas.openxmlformats.org/officeDocument/2006/relationships/hyperlink" Target="https://www.tradingview.com/chart/Q1c5VWwD/?symbol=nasdaq%3Ardvt" TargetMode="External" Id="rId31"/><Relationship Type="http://schemas.openxmlformats.org/officeDocument/2006/relationships/hyperlink" Target="https://www.tradingview.com/chart/Q1c5VWwD/?symbol=nasdaq%3Acrsr" TargetMode="External" Id="rId32"/><Relationship Type="http://schemas.openxmlformats.org/officeDocument/2006/relationships/hyperlink" Target="https://www.tradingview.com/chart/Q1c5VWwD/?symbol=nasdaq%3Abdsx" TargetMode="External" Id="rId33"/><Relationship Type="http://schemas.openxmlformats.org/officeDocument/2006/relationships/hyperlink" Target="https://www.tradingview.com/chart/Q1c5VWwD/?symbol=nasdaq%3Afbla" TargetMode="External" Id="rId34"/><Relationship Type="http://schemas.openxmlformats.org/officeDocument/2006/relationships/hyperlink" Target="https://www.tradingview.com/chart/Q1c5VWwD/?symbol=nyse%3Apd" TargetMode="External" Id="rId35"/><Relationship Type="http://schemas.openxmlformats.org/officeDocument/2006/relationships/hyperlink" Target="https://www.tradingview.com/chart/Q1c5VWwD/?symbol=nasdaq%3Aamph" TargetMode="External" Id="rId36"/><Relationship Type="http://schemas.openxmlformats.org/officeDocument/2006/relationships/hyperlink" Target="https://www.tradingview.com/chart/Q1c5VWwD/?symbol=nyse%3Afpi" TargetMode="External" Id="rId37"/><Relationship Type="http://schemas.openxmlformats.org/officeDocument/2006/relationships/hyperlink" Target="https://www.tradingview.com/chart/Q1c5VWwD/?symbol=nasdaq%3Anaka" TargetMode="External" Id="rId38"/><Relationship Type="http://schemas.openxmlformats.org/officeDocument/2006/relationships/hyperlink" Target="https://www.tradingview.com/chart/Q1c5VWwD/?symbol=nasdaq%3Asgp" TargetMode="External" Id="rId39"/><Relationship Type="http://schemas.openxmlformats.org/officeDocument/2006/relationships/hyperlink" Target="https://www.tradingview.com/chart/Q1c5VWwD/?symbol=amex%3Arepx" TargetMode="External" Id="rId40"/><Relationship Type="http://schemas.openxmlformats.org/officeDocument/2006/relationships/hyperlink" Target="https://www.tradingview.com/chart/Q1c5VWwD/?symbol=nasdaq%3Aospn" TargetMode="External" Id="rId41"/><Relationship Type="http://schemas.openxmlformats.org/officeDocument/2006/relationships/hyperlink" Target="https://www.tradingview.com/chart/Q1c5VWwD/?symbol=nasdaq%3Axhld" TargetMode="External" Id="rId42"/><Relationship Type="http://schemas.openxmlformats.org/officeDocument/2006/relationships/hyperlink" Target="https://www.tradingview.com/chart/Q1c5VWwD/?symbol=nasdaq%3Aitic" TargetMode="External" Id="rId43"/><Relationship Type="http://schemas.openxmlformats.org/officeDocument/2006/relationships/hyperlink" Target="https://www.tradingview.com/chart/Q1c5VWwD/?symbol=nasdaq%3Aabtc" TargetMode="External" Id="rId44"/><Relationship Type="http://schemas.openxmlformats.org/officeDocument/2006/relationships/hyperlink" Target="https://www.tradingview.com/chart/Q1c5VWwD/?symbol=nasdaq%3Aobio" TargetMode="External" Id="rId45"/><Relationship Type="http://schemas.openxmlformats.org/officeDocument/2006/relationships/hyperlink" Target="https://www.tradingview.com/chart/Q1c5VWwD/?symbol=nasdaq%3Aoesx" TargetMode="External" Id="rId46"/><Relationship Type="http://schemas.openxmlformats.org/officeDocument/2006/relationships/hyperlink" Target="https://www.tradingview.com/chart/Q1c5VWwD/?symbol=nasdaq%3Acyph" TargetMode="External" Id="rId47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nyse%3Ahrtg" TargetMode="External" Id="rId1"/><Relationship Type="http://schemas.openxmlformats.org/officeDocument/2006/relationships/hyperlink" Target="https://www.tradingview.com/chart/Q1c5VWwD/?symbol=nyse%3Ahgty" TargetMode="External" Id="rId2"/><Relationship Type="http://schemas.openxmlformats.org/officeDocument/2006/relationships/hyperlink" Target="https://www.tradingview.com/chart/Q1c5VWwD/?symbol=nasdaq%3Ahalo" TargetMode="External" Id="rId3"/><Relationship Type="http://schemas.openxmlformats.org/officeDocument/2006/relationships/hyperlink" Target="https://www.tradingview.com/chart/Q1c5VWwD/?symbol=nyse%3Afpi" TargetMode="External" Id="rId4"/><Relationship Type="http://schemas.openxmlformats.org/officeDocument/2006/relationships/hyperlink" Target="https://www.tradingview.com/chart/Q1c5VWwD/?symbol=nyse%3Arng" TargetMode="External" Id="rId5"/><Relationship Type="http://schemas.openxmlformats.org/officeDocument/2006/relationships/hyperlink" Target="https://www.tradingview.com/chart/Q1c5VWwD/?symbol=nyse%3Aclh" TargetMode="External" Id="rId6"/><Relationship Type="http://schemas.openxmlformats.org/officeDocument/2006/relationships/hyperlink" Target="https://www.tradingview.com/chart/Q1c5VWwD/?symbol=nasdaq%3Aintg" TargetMode="External" Id="rId7"/><Relationship Type="http://schemas.openxmlformats.org/officeDocument/2006/relationships/hyperlink" Target="https://www.tradingview.com/chart/Q1c5VWwD/?symbol=nasdaq%3Aslde" TargetMode="External" Id="rId8"/><Relationship Type="http://schemas.openxmlformats.org/officeDocument/2006/relationships/hyperlink" Target="https://www.tradingview.com/chart/Q1c5VWwD/?symbol=nyse%3Abrk.a" TargetMode="External" Id="rId9"/><Relationship Type="http://schemas.openxmlformats.org/officeDocument/2006/relationships/hyperlink" Target="https://www.tradingview.com/chart/Q1c5VWwD/?symbol=nyse%3Aohi" TargetMode="External" Id="rId10"/><Relationship Type="http://schemas.openxmlformats.org/officeDocument/2006/relationships/hyperlink" Target="https://www.tradingview.com/chart/Q1c5VWwD/?symbol=nasdaq%3Asmci" TargetMode="External" Id="rId11"/><Relationship Type="http://schemas.openxmlformats.org/officeDocument/2006/relationships/hyperlink" Target="https://www.tradingview.com/chart/Q1c5VWwD/?symbol=nasdaq%3Akopn" TargetMode="External" Id="rId12"/><Relationship Type="http://schemas.openxmlformats.org/officeDocument/2006/relationships/hyperlink" Target="https://www.tradingview.com/chart/Q1c5VWwD/?symbol=nasdaq%3Acrct" TargetMode="External" Id="rId13"/><Relationship Type="http://schemas.openxmlformats.org/officeDocument/2006/relationships/hyperlink" Target="https://www.tradingview.com/chart/Q1c5VWwD/?symbol=nasdaq%3Axhld" TargetMode="External" Id="rId14"/><Relationship Type="http://schemas.openxmlformats.org/officeDocument/2006/relationships/hyperlink" Target="https://www.tradingview.com/chart/Q1c5VWwD/?symbol=nasdaq%3Anath" TargetMode="External" Id="rId15"/><Relationship Type="http://schemas.openxmlformats.org/officeDocument/2006/relationships/hyperlink" Target="https://www.tradingview.com/chart/Q1c5VWwD/?symbol=nyse%3Adfin" TargetMode="External" Id="rId16"/><Relationship Type="http://schemas.openxmlformats.org/officeDocument/2006/relationships/hyperlink" Target="https://www.tradingview.com/chart/Q1c5VWwD/?symbol=nasdaq%3Atsla" TargetMode="External" Id="rId17"/><Relationship Type="http://schemas.openxmlformats.org/officeDocument/2006/relationships/hyperlink" Target="https://www.tradingview.com/chart/Q1c5VWwD/?symbol=nyse%3Aibm" TargetMode="External" Id="rId18"/><Relationship Type="http://schemas.openxmlformats.org/officeDocument/2006/relationships/hyperlink" Target="https://www.tradingview.com/chart/Q1c5VWwD/?symbol=nasdaq%3Acuri" TargetMode="External" Id="rId19"/><Relationship Type="http://schemas.openxmlformats.org/officeDocument/2006/relationships/hyperlink" Target="https://www.tradingview.com/chart/Q1c5VWwD/?symbol=nasdaq%3Ahypd" TargetMode="External" Id="rId20"/><Relationship Type="http://schemas.openxmlformats.org/officeDocument/2006/relationships/hyperlink" Target="https://www.tradingview.com/chart/Q1c5VWwD/?symbol=nasdaq%3Aobio" TargetMode="External" Id="rId21"/><Relationship Type="http://schemas.openxmlformats.org/officeDocument/2006/relationships/hyperlink" Target="https://www.tradingview.com/chart/Q1c5VWwD/?symbol=nasdaq%3Aoesx" TargetMode="External" Id="rId22"/><Relationship Type="http://schemas.openxmlformats.org/officeDocument/2006/relationships/hyperlink" Target="https://www.tradingview.com/chart/Q1c5VWwD/?symbol=nyse%3Anow" TargetMode="External" Id="rId23"/><Relationship Type="http://schemas.openxmlformats.org/officeDocument/2006/relationships/hyperlink" Target="https://www.tradingview.com/chart/Q1c5VWwD/?symbol=nasdaq%3Aspt" TargetMode="External" Id="rId24"/><Relationship Type="http://schemas.openxmlformats.org/officeDocument/2006/relationships/hyperlink" Target="https://www.tradingview.com/chart/Q1c5VWwD/?symbol=nasdaq%3Actkb" TargetMode="External" Id="rId25"/><Relationship Type="http://schemas.openxmlformats.org/officeDocument/2006/relationships/hyperlink" Target="https://www.tradingview.com/chart/Q1c5VWwD/?symbol=nasdaq%3Aabtc" TargetMode="External" Id="rId26"/><Relationship Type="http://schemas.openxmlformats.org/officeDocument/2006/relationships/hyperlink" Target="https://www.tradingview.com/chart/Q1c5VWwD/?symbol=nasdaq%3Anwsa" TargetMode="External" Id="rId27"/><Relationship Type="http://schemas.openxmlformats.org/officeDocument/2006/relationships/hyperlink" Target="https://www.tradingview.com/chart/Q1c5VWwD/?symbol=nasdaq%3Aappf" TargetMode="External" Id="rId28"/><Relationship Type="http://schemas.openxmlformats.org/officeDocument/2006/relationships/hyperlink" Target="https://www.tradingview.com/chart/Q1c5VWwD/?symbol=nasdaq%3Actsh" TargetMode="External" Id="rId29"/><Relationship Type="http://schemas.openxmlformats.org/officeDocument/2006/relationships/hyperlink" Target="https://www.tradingview.com/chart/Q1c5VWwD/?symbol=nasdaq%3Aiesc" TargetMode="External" Id="rId30"/><Relationship Type="http://schemas.openxmlformats.org/officeDocument/2006/relationships/hyperlink" Target="https://www.tradingview.com/chart/Q1c5VWwD/?symbol=nasdaq%3Alilak" TargetMode="External" Id="rId31"/><Relationship Type="http://schemas.openxmlformats.org/officeDocument/2006/relationships/hyperlink" Target="https://www.tradingview.com/chart/Q1c5VWwD/?symbol=nasdaq%3Alila" TargetMode="External" Id="rId32"/><Relationship Type="http://schemas.openxmlformats.org/officeDocument/2006/relationships/hyperlink" Target="https://www.tradingview.com/chart/Q1c5VWwD/?symbol=amex%3Aophc" TargetMode="External" Id="rId33"/><Relationship Type="http://schemas.openxmlformats.org/officeDocument/2006/relationships/hyperlink" Target="https://www.tradingview.com/chart/Q1c5VWwD/?symbol=nyse%3Atalo" TargetMode="External" Id="rId34"/><Relationship Type="http://schemas.openxmlformats.org/officeDocument/2006/relationships/hyperlink" Target="https://www.tradingview.com/chart/Q1c5VWwD/?symbol=nyse%3Aooma" TargetMode="External" Id="rId35"/><Relationship Type="http://schemas.openxmlformats.org/officeDocument/2006/relationships/hyperlink" Target="https://www.tradingview.com/chart/Q1c5VWwD/?symbol=nyse%3Acrgy" TargetMode="External" Id="rId36"/><Relationship Type="http://schemas.openxmlformats.org/officeDocument/2006/relationships/hyperlink" Target="https://www.tradingview.com/chart/Q1c5VWwD/?symbol=nyse%3Aad" TargetMode="External" Id="rId37"/><Relationship Type="http://schemas.openxmlformats.org/officeDocument/2006/relationships/hyperlink" Target="https://www.tradingview.com/chart/Q1c5VWwD/?symbol=nasdaq%3Apesi" TargetMode="External" Id="rId38"/><Relationship Type="http://schemas.openxmlformats.org/officeDocument/2006/relationships/hyperlink" Target="https://www.tradingview.com/chart/Q1c5VWwD/?symbol=nyse%3Apbf" TargetMode="External" Id="rId39"/><Relationship Type="http://schemas.openxmlformats.org/officeDocument/2006/relationships/hyperlink" Target="https://www.tradingview.com/chart/Q1c5VWwD/?symbol=nasdaq%3Atars" TargetMode="External" Id="rId40"/><Relationship Type="http://schemas.openxmlformats.org/officeDocument/2006/relationships/hyperlink" Target="https://www.tradingview.com/chart/Q1c5VWwD/?symbol=nyse%3Avz" TargetMode="External" Id="rId41"/><Relationship Type="http://schemas.openxmlformats.org/officeDocument/2006/relationships/hyperlink" Target="https://www.tradingview.com/chart/Q1c5VWwD/?symbol=nyse%3Agbtg" TargetMode="External" Id="rId42"/><Relationship Type="http://schemas.openxmlformats.org/officeDocument/2006/relationships/hyperlink" Target="https://www.tradingview.com/chart/Q1c5VWwD/?symbol=nyse%3Afubo" TargetMode="External" Id="rId43"/><Relationship Type="http://schemas.openxmlformats.org/officeDocument/2006/relationships/hyperlink" Target="https://www.tradingview.com/chart/Q1c5VWwD/?symbol=nasdaq%3Afcfs" TargetMode="External" Id="rId44"/><Relationship Type="http://schemas.openxmlformats.org/officeDocument/2006/relationships/hyperlink" Target="https://www.tradingview.com/chart/Q1c5VWwD/?symbol=nyse%3Anmax" TargetMode="External" Id="rId45"/><Relationship Type="http://schemas.openxmlformats.org/officeDocument/2006/relationships/hyperlink" Target="https://www.tradingview.com/chart/Q1c5VWwD/?symbol=nyse%3Arga" TargetMode="External" Id="rId46"/><Relationship Type="http://schemas.openxmlformats.org/officeDocument/2006/relationships/hyperlink" Target="https://www.tradingview.com/chart/Q1c5VWwD/?symbol=nyse%3Adan" TargetMode="External" Id="rId47"/><Relationship Type="http://schemas.openxmlformats.org/officeDocument/2006/relationships/hyperlink" Target="https://www.tradingview.com/chart/Q1c5VWwD/?symbol=nasdaq%3Alife" TargetMode="External" Id="rId48"/><Relationship Type="http://schemas.openxmlformats.org/officeDocument/2006/relationships/hyperlink" Target="https://www.tradingview.com/chart/Q1c5VWwD/?symbol=nasdaq%3Ahrzn" TargetMode="External" Id="rId49"/><Relationship Type="http://schemas.openxmlformats.org/officeDocument/2006/relationships/hyperlink" Target="https://www.tradingview.com/chart/Q1c5VWwD/?symbol=nasdaq%3Ainbk" TargetMode="External" Id="rId50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nyse%3Aitgr" TargetMode="External" Id="rId1"/><Relationship Type="http://schemas.openxmlformats.org/officeDocument/2006/relationships/hyperlink" Target="https://www.tradingview.com/chart/Q1c5VWwD/?symbol=nyse%3Adv" TargetMode="External" Id="rId2"/><Relationship Type="http://schemas.openxmlformats.org/officeDocument/2006/relationships/hyperlink" Target="https://www.tradingview.com/chart/Q1c5VWwD/?symbol=nasdaq%3Asmti" TargetMode="External" Id="rId3"/><Relationship Type="http://schemas.openxmlformats.org/officeDocument/2006/relationships/hyperlink" Target="https://www.tradingview.com/chart/Q1c5VWwD/?symbol=nasdaq%3Amktx" TargetMode="External" Id="rId4"/><Relationship Type="http://schemas.openxmlformats.org/officeDocument/2006/relationships/hyperlink" Target="https://www.tradingview.com/chart/Q1c5VWwD/?symbol=nyse%3Aclh" TargetMode="External" Id="rId5"/><Relationship Type="http://schemas.openxmlformats.org/officeDocument/2006/relationships/hyperlink" Target="https://www.tradingview.com/chart/Q1c5VWwD/?symbol=nasdaq%3Anath" TargetMode="External" Id="rId6"/><Relationship Type="http://schemas.openxmlformats.org/officeDocument/2006/relationships/hyperlink" Target="https://www.tradingview.com/chart/Q1c5VWwD/?symbol=nasdaq%3Aqrvo" TargetMode="External" Id="rId7"/><Relationship Type="http://schemas.openxmlformats.org/officeDocument/2006/relationships/hyperlink" Target="https://www.tradingview.com/chart/Q1c5VWwD/?symbol=nasdaq%3Ansit" TargetMode="External" Id="rId8"/><Relationship Type="http://schemas.openxmlformats.org/officeDocument/2006/relationships/hyperlink" Target="https://www.tradingview.com/chart/Q1c5VWwD/?symbol=nasdaq%3Aswks" TargetMode="External" Id="rId9"/><Relationship Type="http://schemas.openxmlformats.org/officeDocument/2006/relationships/hyperlink" Target="https://www.tradingview.com/chart/Q1c5VWwD/?symbol=nasdaq%3Aefsi" TargetMode="External" Id="rId10"/><Relationship Type="http://schemas.openxmlformats.org/officeDocument/2006/relationships/hyperlink" Target="https://www.tradingview.com/chart/Q1c5VWwD/?symbol=nyse%3Aagm" TargetMode="External" Id="rId1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Q1c5VWwD/?symbol=nyse%3Aagm" TargetMode="External" Id="rId1"/><Relationship Type="http://schemas.openxmlformats.org/officeDocument/2006/relationships/hyperlink" Target="https://www.tradingview.com/chart/Q1c5VWwD/?symbol=nyse%3Aaesi" TargetMode="External" Id="rId2"/><Relationship Type="http://schemas.openxmlformats.org/officeDocument/2006/relationships/hyperlink" Target="https://www.tradingview.com/chart/Q1c5VWwD/?symbol=nyse%3Aaesi" TargetMode="External" Id="rId3"/><Relationship Type="http://schemas.openxmlformats.org/officeDocument/2006/relationships/hyperlink" Target="https://www.tradingview.com/chart/Q1c5VWwD/?symbol=nyse%3Aagm" TargetMode="External" Id="rId4"/><Relationship Type="http://schemas.openxmlformats.org/officeDocument/2006/relationships/hyperlink" Target="https://www.tradingview.com/chart/Q1c5VWwD/?symbol=nyse%3Aclh" TargetMode="External" Id="rId5"/><Relationship Type="http://schemas.openxmlformats.org/officeDocument/2006/relationships/hyperlink" Target="https://www.tradingview.com/chart/Q1c5VWwD/?symbol=nyse%3Aagm" TargetMode="External" Id="rId6"/><Relationship Type="http://schemas.openxmlformats.org/officeDocument/2006/relationships/hyperlink" Target="https://www.tradingview.com/chart/Q1c5VWwD/?symbol=nyse%3Aagm" TargetMode="External" Id="rId7"/><Relationship Type="http://schemas.openxmlformats.org/officeDocument/2006/relationships/hyperlink" Target="https://www.tradingview.com/chart/Q1c5VWwD/?symbol=nyse%3Aclh" TargetMode="External" Id="rId8"/><Relationship Type="http://schemas.openxmlformats.org/officeDocument/2006/relationships/hyperlink" Target="https://www.tradingview.com/chart/Q1c5VWwD/?symbol=nyse%3Adfin" TargetMode="External" Id="rId9"/><Relationship Type="http://schemas.openxmlformats.org/officeDocument/2006/relationships/hyperlink" Target="https://www.tradingview.com/chart/Q1c5VWwD/?symbol=nasdaq%3Aamph" TargetMode="External" Id="rId10"/><Relationship Type="http://schemas.openxmlformats.org/officeDocument/2006/relationships/hyperlink" Target="https://www.tradingview.com/chart/Q1c5VWwD/?symbol=nyse%3Aclh" TargetMode="External" Id="rId11"/><Relationship Type="http://schemas.openxmlformats.org/officeDocument/2006/relationships/hyperlink" Target="https://www.tradingview.com/chart/Q1c5VWwD/?symbol=nyse%3Adfin" TargetMode="External" Id="rId12"/><Relationship Type="http://schemas.openxmlformats.org/officeDocument/2006/relationships/hyperlink" Target="https://www.tradingview.com/chart/Q1c5VWwD/?symbol=nyse%3Aepam" TargetMode="External" Id="rId13"/><Relationship Type="http://schemas.openxmlformats.org/officeDocument/2006/relationships/hyperlink" Target="https://www.tradingview.com/chart/Q1c5VWwD/?symbol=nasdaq%3Aappf" TargetMode="External" Id="rId14"/><Relationship Type="http://schemas.openxmlformats.org/officeDocument/2006/relationships/hyperlink" Target="https://www.tradingview.com/chart/Q1c5VWwD/?symbol=nasdaq%3Acrct" TargetMode="External" Id="rId15"/><Relationship Type="http://schemas.openxmlformats.org/officeDocument/2006/relationships/hyperlink" Target="https://www.tradingview.com/chart/Q1c5VWwD/?symbol=nasdaq%3Aitic" TargetMode="External" Id="rId16"/><Relationship Type="http://schemas.openxmlformats.org/officeDocument/2006/relationships/hyperlink" Target="https://www.tradingview.com/chart/Q1c5VWwD/?symbol=nasdaq%3Ahalo" TargetMode="External" Id="rId17"/><Relationship Type="http://schemas.openxmlformats.org/officeDocument/2006/relationships/hyperlink" Target="https://www.tradingview.com/chart/Q1c5VWwD/?symbol=nyse%3Aclh" TargetMode="External" Id="rId18"/><Relationship Type="http://schemas.openxmlformats.org/officeDocument/2006/relationships/hyperlink" Target="https://www.tradingview.com/chart/Q1c5VWwD/?symbol=nyse%3Adfin" TargetMode="External" Id="rId19"/><Relationship Type="http://schemas.openxmlformats.org/officeDocument/2006/relationships/hyperlink" Target="https://www.tradingview.com/chart/Q1c5VWwD/?symbol=nasdaq%3Anath" TargetMode="External" Id="rId20"/><Relationship Type="http://schemas.openxmlformats.org/officeDocument/2006/relationships/hyperlink" Target="https://www.tradingview.com/chart/Q1c5VWwD/?symbol=nasdaq%3Aitic" TargetMode="External" Id="rId21"/><Relationship Type="http://schemas.openxmlformats.org/officeDocument/2006/relationships/hyperlink" Target="https://www.tradingview.com/chart/Q1c5VWwD/?symbol=nasdaq%3Acrvl" TargetMode="External" Id="rId22"/><Relationship Type="http://schemas.openxmlformats.org/officeDocument/2006/relationships/hyperlink" Target="https://www.tradingview.com/chart/Q1c5VWwD/?symbol=nyse%3Aexpd" TargetMode="External" Id="rId23"/><Relationship Type="http://schemas.openxmlformats.org/officeDocument/2006/relationships/hyperlink" Target="https://www.tradingview.com/chart/Q1c5VWwD/?symbol=nasdaq%3Ansit" TargetMode="External" Id="rId24"/><Relationship Type="http://schemas.openxmlformats.org/officeDocument/2006/relationships/hyperlink" Target="https://www.tradingview.com/chart/Q1c5VWwD/?symbol=nasdaq%3Anath" TargetMode="External" Id="rId25"/><Relationship Type="http://schemas.openxmlformats.org/officeDocument/2006/relationships/hyperlink" Target="https://www.tradingview.com/chart/Q1c5VWwD/?symbol=nasdaq%3Actsh" TargetMode="External" Id="rId26"/><Relationship Type="http://schemas.openxmlformats.org/officeDocument/2006/relationships/hyperlink" Target="https://www.tradingview.com/chart/Q1c5VWwD/?symbol=nasdaq%3Ahypd" TargetMode="External" Id="rId27"/><Relationship Type="http://schemas.openxmlformats.org/officeDocument/2006/relationships/hyperlink" Target="https://www.tradingview.com/chart/Q1c5VWwD/?symbol=nasdaq%3Atsla" TargetMode="External" Id="rId28"/><Relationship Type="http://schemas.openxmlformats.org/officeDocument/2006/relationships/hyperlink" Target="https://www.tradingview.com/chart/Q1c5VWwD/?symbol=nyse%3Anpk" TargetMode="External" Id="rId29"/><Relationship Type="http://schemas.openxmlformats.org/officeDocument/2006/relationships/hyperlink" Target="https://www.tradingview.com/chart/Q1c5VWwD/?symbol=nyse%3Adfin" TargetMode="External" Id="rId30"/><Relationship Type="http://schemas.openxmlformats.org/officeDocument/2006/relationships/hyperlink" Target="https://www.tradingview.com/chart/Q1c5VWwD/?symbol=nyse%3Aibm" TargetMode="External" Id="rId31"/><Relationship Type="http://schemas.openxmlformats.org/officeDocument/2006/relationships/hyperlink" Target="https://www.tradingview.com/chart/Q1c5VWwD/?symbol=nasdaq%3Ansit" TargetMode="External" Id="rId32"/><Relationship Type="http://schemas.openxmlformats.org/officeDocument/2006/relationships/hyperlink" Target="https://www.tradingview.com/chart/Q1c5VWwD/?symbol=nyse%3Aepam" TargetMode="External" Id="rId33"/><Relationship Type="http://schemas.openxmlformats.org/officeDocument/2006/relationships/hyperlink" Target="https://www.tradingview.com/chart/Q1c5VWwD/?symbol=nasdaq%3Aiesc" TargetMode="External" Id="rId34"/><Relationship Type="http://schemas.openxmlformats.org/officeDocument/2006/relationships/hyperlink" Target="https://www.tradingview.com/chart/Q1c5VWwD/?symbol=nasdaq%3Apega" TargetMode="External" Id="rId35"/><Relationship Type="http://schemas.openxmlformats.org/officeDocument/2006/relationships/hyperlink" Target="https://www.tradingview.com/chart/Q1c5VWwD/?symbol=nasdaq%3Aiesc" TargetMode="External" Id="rId36"/><Relationship Type="http://schemas.openxmlformats.org/officeDocument/2006/relationships/hyperlink" Target="https://www.tradingview.com/chart/Q1c5VWwD/?symbol=nasdaq%3Aintg" TargetMode="External" Id="rId37"/><Relationship Type="http://schemas.openxmlformats.org/officeDocument/2006/relationships/hyperlink" Target="https://www.tradingview.com/chart/Q1c5VWwD/?symbol=nasdaq%3Atsla" TargetMode="External" Id="rId38"/><Relationship Type="http://schemas.openxmlformats.org/officeDocument/2006/relationships/hyperlink" Target="https://www.tradingview.com/chart/Q1c5VWwD/?symbol=nasdaq%3Aitic" TargetMode="External" Id="rId39"/><Relationship Type="http://schemas.openxmlformats.org/officeDocument/2006/relationships/hyperlink" Target="https://www.tradingview.com/chart/Q1c5VWwD/?symbol=nasdaq%3Aitic" TargetMode="External" Id="rId40"/><Relationship Type="http://schemas.openxmlformats.org/officeDocument/2006/relationships/hyperlink" Target="https://www.tradingview.com/chart/Q1c5VWwD/?symbol=nyse%3Amdt" TargetMode="External" Id="rId41"/><Relationship Type="http://schemas.openxmlformats.org/officeDocument/2006/relationships/hyperlink" Target="https://www.tradingview.com/chart/Q1c5VWwD/?symbol=nasdaq%3Anath" TargetMode="External" Id="rId42"/><Relationship Type="http://schemas.openxmlformats.org/officeDocument/2006/relationships/hyperlink" Target="https://www.tradingview.com/chart/Q1c5VWwD/?symbol=nasdaq%3Anath" TargetMode="External" Id="rId43"/><Relationship Type="http://schemas.openxmlformats.org/officeDocument/2006/relationships/hyperlink" Target="https://www.tradingview.com/chart/Q1c5VWwD/?symbol=nasdaq%3Anktx" TargetMode="External" Id="rId44"/><Relationship Type="http://schemas.openxmlformats.org/officeDocument/2006/relationships/hyperlink" Target="https://www.tradingview.com/chart/Q1c5VWwD/?symbol=nasdaq%3Anktx" TargetMode="External" Id="rId45"/><Relationship Type="http://schemas.openxmlformats.org/officeDocument/2006/relationships/hyperlink" Target="https://www.tradingview.com/chart/Q1c5VWwD/?symbol=nasdaq%3Ansit" TargetMode="External" Id="rId46"/><Relationship Type="http://schemas.openxmlformats.org/officeDocument/2006/relationships/hyperlink" Target="https://www.tradingview.com/chart/Q1c5VWwD/?symbol=nyse%3Anow" TargetMode="External" Id="rId47"/><Relationship Type="http://schemas.openxmlformats.org/officeDocument/2006/relationships/hyperlink" Target="https://www.tradingview.com/chart/Q1c5VWwD/?symbol=nasdaq%3Anwsa" TargetMode="External" Id="rId48"/><Relationship Type="http://schemas.openxmlformats.org/officeDocument/2006/relationships/hyperlink" Target="https://www.tradingview.com/chart/Q1c5VWwD/?symbol=nasdaq%3Ansit" TargetMode="External" Id="rId49"/><Relationship Type="http://schemas.openxmlformats.org/officeDocument/2006/relationships/hyperlink" Target="https://www.tradingview.com/chart/Q1c5VWwD/?symbol=nasdaq%3Aobio" TargetMode="External" Id="rId50"/><Relationship Type="http://schemas.openxmlformats.org/officeDocument/2006/relationships/hyperlink" Target="https://www.tradingview.com/chart/Q1c5VWwD/?symbol=nasdaq%3Anwsa" TargetMode="External" Id="rId51"/><Relationship Type="http://schemas.openxmlformats.org/officeDocument/2006/relationships/hyperlink" Target="https://www.tradingview.com/chart/Q1c5VWwD/?symbol=nasdaq%3Aoesx" TargetMode="External" Id="rId52"/><Relationship Type="http://schemas.openxmlformats.org/officeDocument/2006/relationships/hyperlink" Target="https://www.tradingview.com/chart/Q1c5VWwD/?symbol=nasdaq%3Apega" TargetMode="External" Id="rId53"/><Relationship Type="http://schemas.openxmlformats.org/officeDocument/2006/relationships/hyperlink" Target="https://www.tradingview.com/chart/Q1c5VWwD/?symbol=nasdaq%3Asmti" TargetMode="External" Id="rId54"/><Relationship Type="http://schemas.openxmlformats.org/officeDocument/2006/relationships/hyperlink" Target="https://www.tradingview.com/chart/Q1c5VWwD/?symbol=nasdaq%3Aspt" TargetMode="External" Id="rId55"/><Relationship Type="http://schemas.openxmlformats.org/officeDocument/2006/relationships/hyperlink" Target="https://www.tradingview.com/chart/Q1c5VWwD/?symbol=nasdaq%3Atsla" TargetMode="External" Id="rId56"/><Relationship Type="http://schemas.openxmlformats.org/officeDocument/2006/relationships/hyperlink" Target="https://www.tradingview.com/chart/Q1c5VWwD/?symbol=nasdaq%3Atsla" TargetMode="External" Id="rId57"/><Relationship Type="http://schemas.openxmlformats.org/officeDocument/2006/relationships/hyperlink" Target="https://www.tradingview.com/chart/Q1c5VWwD/?symbol=nasdaq%3Axhld" TargetMode="External" Id="rId58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Q1c5VWwD/?symbol=nasdaq%3Anaka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Q1c5VWwD/?symbol=nyse%3Aitgr" TargetMode="External" Id="rId1"/><Relationship Type="http://schemas.openxmlformats.org/officeDocument/2006/relationships/hyperlink" Target="https://www.tradingview.com/chart/Q1c5VWwD/?symbol=nyse%3Adv" TargetMode="External" Id="rId2"/><Relationship Type="http://schemas.openxmlformats.org/officeDocument/2006/relationships/hyperlink" Target="https://www.tradingview.com/chart/Q1c5VWwD/?symbol=nyse%3Ahrtg" TargetMode="External" Id="rId3"/><Relationship Type="http://schemas.openxmlformats.org/officeDocument/2006/relationships/hyperlink" Target="https://www.tradingview.com/chart/Q1c5VWwD/?symbol=nasdaq%3Afmao" TargetMode="External" Id="rId4"/><Relationship Type="http://schemas.openxmlformats.org/officeDocument/2006/relationships/hyperlink" Target="https://www.tradingview.com/chart/Q1c5VWwD/?symbol=nasdaq%3Asmti" TargetMode="External" Id="rId5"/><Relationship Type="http://schemas.openxmlformats.org/officeDocument/2006/relationships/hyperlink" Target="https://www.tradingview.com/chart/Q1c5VWwD/?symbol=nyse%3Aavtr" TargetMode="External" Id="rId6"/><Relationship Type="http://schemas.openxmlformats.org/officeDocument/2006/relationships/hyperlink" Target="https://www.tradingview.com/chart/Q1c5VWwD/?symbol=nasdaq%3Acdna" TargetMode="External" Id="rId7"/><Relationship Type="http://schemas.openxmlformats.org/officeDocument/2006/relationships/hyperlink" Target="https://www.tradingview.com/chart/Q1c5VWwD/?symbol=nasdaq%3Ardvt" TargetMode="External" Id="rId8"/><Relationship Type="http://schemas.openxmlformats.org/officeDocument/2006/relationships/hyperlink" Target="https://www.tradingview.com/chart/Q1c5VWwD/?symbol=nasdaq%3Admlp" TargetMode="External" Id="rId9"/><Relationship Type="http://schemas.openxmlformats.org/officeDocument/2006/relationships/hyperlink" Target="https://www.tradingview.com/chart/Q1c5VWwD/?symbol=nasdaq%3Aiova" TargetMode="External" Id="rId10"/><Relationship Type="http://schemas.openxmlformats.org/officeDocument/2006/relationships/hyperlink" Target="https://www.tradingview.com/chart/Q1c5VWwD/?symbol=nasdaq%3Asaic" TargetMode="External" Id="rId11"/><Relationship Type="http://schemas.openxmlformats.org/officeDocument/2006/relationships/hyperlink" Target="https://www.tradingview.com/chart/Q1c5VWwD/?symbol=nyse%3Ahgty" TargetMode="External" Id="rId12"/><Relationship Type="http://schemas.openxmlformats.org/officeDocument/2006/relationships/hyperlink" Target="https://www.tradingview.com/chart/Q1c5VWwD/?symbol=nasdaq%3Amktx" TargetMode="External" Id="rId13"/><Relationship Type="http://schemas.openxmlformats.org/officeDocument/2006/relationships/hyperlink" Target="https://www.tradingview.com/chart/Q1c5VWwD/?symbol=nasdaq%3Ahalo" TargetMode="External" Id="rId14"/><Relationship Type="http://schemas.openxmlformats.org/officeDocument/2006/relationships/hyperlink" Target="https://www.tradingview.com/chart/Q1c5VWwD/?symbol=nasdaq%3Acrsr" TargetMode="External" Id="rId15"/><Relationship Type="http://schemas.openxmlformats.org/officeDocument/2006/relationships/hyperlink" Target="https://www.tradingview.com/chart/Q1c5VWwD/?symbol=nasdaq%3Afbla" TargetMode="External" Id="rId16"/><Relationship Type="http://schemas.openxmlformats.org/officeDocument/2006/relationships/hyperlink" Target="https://www.tradingview.com/chart/Q1c5VWwD/?symbol=nyse%3Apd" TargetMode="External" Id="rId17"/><Relationship Type="http://schemas.openxmlformats.org/officeDocument/2006/relationships/hyperlink" Target="https://www.tradingview.com/chart/Q1c5VWwD/?symbol=nasdaq%3Aamph" TargetMode="External" Id="rId18"/><Relationship Type="http://schemas.openxmlformats.org/officeDocument/2006/relationships/hyperlink" Target="https://www.tradingview.com/chart/Q1c5VWwD/?symbol=nasdaq%3Abdsx" TargetMode="External" Id="rId19"/><Relationship Type="http://schemas.openxmlformats.org/officeDocument/2006/relationships/hyperlink" Target="https://www.tradingview.com/chart/Q1c5VWwD/?symbol=nasdaq%3Aatrc" TargetMode="External" Id="rId20"/><Relationship Type="http://schemas.openxmlformats.org/officeDocument/2006/relationships/hyperlink" Target="https://www.tradingview.com/chart/Q1c5VWwD/?symbol=nyse%3Anue" TargetMode="External" Id="rId21"/><Relationship Type="http://schemas.openxmlformats.org/officeDocument/2006/relationships/hyperlink" Target="https://www.tradingview.com/chart/Q1c5VWwD/?symbol=nyse%3Ainsp" TargetMode="External" Id="rId22"/><Relationship Type="http://schemas.openxmlformats.org/officeDocument/2006/relationships/hyperlink" Target="https://www.tradingview.com/chart/Q1c5VWwD/?symbol=nyse%3Afpi" TargetMode="External" Id="rId23"/><Relationship Type="http://schemas.openxmlformats.org/officeDocument/2006/relationships/hyperlink" Target="https://www.tradingview.com/chart/Q1c5VWwD/?symbol=nasdaq%3Amygn" TargetMode="External" Id="rId24"/><Relationship Type="http://schemas.openxmlformats.org/officeDocument/2006/relationships/hyperlink" Target="https://www.tradingview.com/chart/Q1c5VWwD/?symbol=nyse%3Afet" TargetMode="External" Id="rId25"/><Relationship Type="http://schemas.openxmlformats.org/officeDocument/2006/relationships/hyperlink" Target="https://www.tradingview.com/chart/Q1c5VWwD/?symbol=nyse%3Arng" TargetMode="External" Id="rId26"/><Relationship Type="http://schemas.openxmlformats.org/officeDocument/2006/relationships/hyperlink" Target="https://www.tradingview.com/chart/Q1c5VWwD/?symbol=nasdaq%3Anutx" TargetMode="External" Id="rId27"/><Relationship Type="http://schemas.openxmlformats.org/officeDocument/2006/relationships/hyperlink" Target="https://www.tradingview.com/chart/Q1c5VWwD/?symbol=nasdaq%3Adocu" TargetMode="External" Id="rId28"/><Relationship Type="http://schemas.openxmlformats.org/officeDocument/2006/relationships/hyperlink" Target="https://www.tradingview.com/chart/Q1c5VWwD/?symbol=nyse%3Aclh" TargetMode="External" Id="rId29"/><Relationship Type="http://schemas.openxmlformats.org/officeDocument/2006/relationships/hyperlink" Target="https://www.tradingview.com/chart/Q1c5VWwD/?symbol=nasdaq%3Aaugo" TargetMode="External" Id="rId30"/><Relationship Type="http://schemas.openxmlformats.org/officeDocument/2006/relationships/hyperlink" Target="https://www.tradingview.com/chart/Q1c5VWwD/?symbol=nyse%3Adt" TargetMode="External" Id="rId31"/><Relationship Type="http://schemas.openxmlformats.org/officeDocument/2006/relationships/hyperlink" Target="https://www.tradingview.com/chart/Q1c5VWwD/?symbol=nasdaq%3Aintg" TargetMode="External" Id="rId32"/><Relationship Type="http://schemas.openxmlformats.org/officeDocument/2006/relationships/hyperlink" Target="https://www.tradingview.com/chart/Q1c5VWwD/?symbol=nasdaq%3Arefi" TargetMode="External" Id="rId33"/><Relationship Type="http://schemas.openxmlformats.org/officeDocument/2006/relationships/hyperlink" Target="https://www.tradingview.com/chart/Q1c5VWwD/?symbol=nyse%3Ainsw" TargetMode="External" Id="rId34"/><Relationship Type="http://schemas.openxmlformats.org/officeDocument/2006/relationships/hyperlink" Target="https://www.tradingview.com/chart/Q1c5VWwD/?symbol=nyse%3Aexpd" TargetMode="External" Id="rId35"/><Relationship Type="http://schemas.openxmlformats.org/officeDocument/2006/relationships/hyperlink" Target="https://www.tradingview.com/chart/Q1c5VWwD/?symbol=nasdaq%3Axrx" TargetMode="External" Id="rId36"/><Relationship Type="http://schemas.openxmlformats.org/officeDocument/2006/relationships/hyperlink" Target="https://www.tradingview.com/chart/Q1c5VWwD/?symbol=nyse%3Aadm" TargetMode="External" Id="rId37"/><Relationship Type="http://schemas.openxmlformats.org/officeDocument/2006/relationships/hyperlink" Target="https://www.tradingview.com/chart/Q1c5VWwD/?symbol=nyse%3Abrk.b" TargetMode="External" Id="rId38"/><Relationship Type="http://schemas.openxmlformats.org/officeDocument/2006/relationships/hyperlink" Target="https://www.tradingview.com/chart/Q1c5VWwD/?symbol=nasdaq%3Aslde" TargetMode="External" Id="rId39"/><Relationship Type="http://schemas.openxmlformats.org/officeDocument/2006/relationships/hyperlink" Target="https://www.tradingview.com/chart/Q1c5VWwD/?symbol=nasdaq%3Anaka" TargetMode="External" Id="rId40"/><Relationship Type="http://schemas.openxmlformats.org/officeDocument/2006/relationships/hyperlink" Target="https://www.tradingview.com/chart/Q1c5VWwD/?symbol=nyse%3Abrk.a" TargetMode="External" Id="rId41"/><Relationship Type="http://schemas.openxmlformats.org/officeDocument/2006/relationships/hyperlink" Target="https://www.tradingview.com/chart/Q1c5VWwD/?symbol=nasdaq%3Asgp" TargetMode="External" Id="rId42"/><Relationship Type="http://schemas.openxmlformats.org/officeDocument/2006/relationships/hyperlink" Target="https://www.tradingview.com/chart/Q1c5VWwD/?symbol=nyse%3Atwlo" TargetMode="External" Id="rId43"/><Relationship Type="http://schemas.openxmlformats.org/officeDocument/2006/relationships/hyperlink" Target="https://www.tradingview.com/chart/Q1c5VWwD/?symbol=nyse%3Aohi" TargetMode="External" Id="rId44"/><Relationship Type="http://schemas.openxmlformats.org/officeDocument/2006/relationships/hyperlink" Target="https://www.tradingview.com/chart/Q1c5VWwD/?symbol=nasdaq%3Acoke" TargetMode="External" Id="rId45"/><Relationship Type="http://schemas.openxmlformats.org/officeDocument/2006/relationships/hyperlink" Target="https://www.tradingview.com/chart/Q1c5VWwD/?symbol=nasdaq%3Asmci" TargetMode="External" Id="rId46"/><Relationship Type="http://schemas.openxmlformats.org/officeDocument/2006/relationships/hyperlink" Target="https://www.tradingview.com/chart/Q1c5VWwD/?symbol=nyse%3Aepam" TargetMode="External" Id="rId47"/><Relationship Type="http://schemas.openxmlformats.org/officeDocument/2006/relationships/hyperlink" Target="https://www.tradingview.com/chart/Q1c5VWwD/?symbol=nasdaq%3Akopn" TargetMode="External" Id="rId48"/><Relationship Type="http://schemas.openxmlformats.org/officeDocument/2006/relationships/hyperlink" Target="https://www.tradingview.com/chart/Q1c5VWwD/?symbol=nasdaq%3Ameta" TargetMode="External" Id="rId49"/><Relationship Type="http://schemas.openxmlformats.org/officeDocument/2006/relationships/hyperlink" Target="https://www.tradingview.com/chart/Q1c5VWwD/?symbol=nasdaq%3Acrct" TargetMode="External" Id="rId50"/><Relationship Type="http://schemas.openxmlformats.org/officeDocument/2006/relationships/hyperlink" Target="https://www.tradingview.com/chart/Q1c5VWwD/?symbol=amex%3Arepx" TargetMode="External" Id="rId51"/><Relationship Type="http://schemas.openxmlformats.org/officeDocument/2006/relationships/hyperlink" Target="https://www.tradingview.com/chart/Q1c5VWwD/?symbol=nasdaq%3Aospn" TargetMode="External" Id="rId52"/><Relationship Type="http://schemas.openxmlformats.org/officeDocument/2006/relationships/hyperlink" Target="https://www.tradingview.com/chart/Q1c5VWwD/?symbol=nasdaq%3Axhld" TargetMode="External" Id="rId53"/><Relationship Type="http://schemas.openxmlformats.org/officeDocument/2006/relationships/hyperlink" Target="https://www.tradingview.com/chart/Q1c5VWwD/?symbol=nasdaq%3Acnxn" TargetMode="External" Id="rId54"/><Relationship Type="http://schemas.openxmlformats.org/officeDocument/2006/relationships/hyperlink" Target="https://www.tradingview.com/chart/Q1c5VWwD/?symbol=nyse%3Ahpq" TargetMode="External" Id="rId55"/><Relationship Type="http://schemas.openxmlformats.org/officeDocument/2006/relationships/hyperlink" Target="https://www.tradingview.com/chart/Q1c5VWwD/?symbol=nasdaq%3Anath" TargetMode="External" Id="rId56"/><Relationship Type="http://schemas.openxmlformats.org/officeDocument/2006/relationships/hyperlink" Target="https://www.tradingview.com/chart/Q1c5VWwD/?symbol=nasdaq%3Aqrvo" TargetMode="External" Id="rId57"/><Relationship Type="http://schemas.openxmlformats.org/officeDocument/2006/relationships/hyperlink" Target="https://www.tradingview.com/chart/Q1c5VWwD/?symbol=nyse%3Adfin" TargetMode="External" Id="rId58"/><Relationship Type="http://schemas.openxmlformats.org/officeDocument/2006/relationships/hyperlink" Target="https://www.tradingview.com/chart/Q1c5VWwD/?symbol=nasdaq%3Atsla" TargetMode="External" Id="rId59"/><Relationship Type="http://schemas.openxmlformats.org/officeDocument/2006/relationships/hyperlink" Target="https://www.tradingview.com/chart/Q1c5VWwD/?symbol=nyse%3Aibm" TargetMode="External" Id="rId60"/><Relationship Type="http://schemas.openxmlformats.org/officeDocument/2006/relationships/hyperlink" Target="https://www.tradingview.com/chart/Q1c5VWwD/?symbol=nyse%3Amdt" TargetMode="External" Id="rId61"/><Relationship Type="http://schemas.openxmlformats.org/officeDocument/2006/relationships/hyperlink" Target="https://www.tradingview.com/chart/Q1c5VWwD/?symbol=nyse%3Atmo" TargetMode="External" Id="rId62"/><Relationship Type="http://schemas.openxmlformats.org/officeDocument/2006/relationships/hyperlink" Target="https://www.tradingview.com/chart/Q1c5VWwD/?symbol=nasdaq%3Acuri" TargetMode="External" Id="rId63"/><Relationship Type="http://schemas.openxmlformats.org/officeDocument/2006/relationships/hyperlink" Target="https://www.tradingview.com/chart/Q1c5VWwD/?symbol=nasdaq%3Acrwd" TargetMode="External" Id="rId64"/><Relationship Type="http://schemas.openxmlformats.org/officeDocument/2006/relationships/hyperlink" Target="https://www.tradingview.com/chart/Q1c5VWwD/?symbol=nasdaq%3Ansit" TargetMode="External" Id="rId65"/><Relationship Type="http://schemas.openxmlformats.org/officeDocument/2006/relationships/hyperlink" Target="https://www.tradingview.com/chart/Q1c5VWwD/?symbol=nasdaq%3Ahypd" TargetMode="External" Id="rId66"/><Relationship Type="http://schemas.openxmlformats.org/officeDocument/2006/relationships/hyperlink" Target="https://www.tradingview.com/chart/Q1c5VWwD/?symbol=nasdaq%3Aswks" TargetMode="External" Id="rId67"/><Relationship Type="http://schemas.openxmlformats.org/officeDocument/2006/relationships/hyperlink" Target="https://www.tradingview.com/chart/Q1c5VWwD/?symbol=nasdaq%3Aobio" TargetMode="External" Id="rId68"/><Relationship Type="http://schemas.openxmlformats.org/officeDocument/2006/relationships/hyperlink" Target="https://www.tradingview.com/chart/Q1c5VWwD/?symbol=nyse%3Anpk" TargetMode="External" Id="rId69"/><Relationship Type="http://schemas.openxmlformats.org/officeDocument/2006/relationships/hyperlink" Target="https://www.tradingview.com/chart/Q1c5VWwD/?symbol=nyse%3Aunm" TargetMode="External" Id="rId70"/><Relationship Type="http://schemas.openxmlformats.org/officeDocument/2006/relationships/hyperlink" Target="https://www.tradingview.com/chart/Q1c5VWwD/?symbol=nasdaq%3Antsk" TargetMode="External" Id="rId71"/><Relationship Type="http://schemas.openxmlformats.org/officeDocument/2006/relationships/hyperlink" Target="https://www.tradingview.com/chart/Q1c5VWwD/?symbol=nasdaq%3Aoesx" TargetMode="External" Id="rId72"/><Relationship Type="http://schemas.openxmlformats.org/officeDocument/2006/relationships/hyperlink" Target="https://www.tradingview.com/chart/Q1c5VWwD/?symbol=nyse%3Anow" TargetMode="External" Id="rId73"/><Relationship Type="http://schemas.openxmlformats.org/officeDocument/2006/relationships/hyperlink" Target="https://www.tradingview.com/chart/Q1c5VWwD/?symbol=nasdaq%3Aspt" TargetMode="External" Id="rId74"/><Relationship Type="http://schemas.openxmlformats.org/officeDocument/2006/relationships/hyperlink" Target="https://www.tradingview.com/chart/Q1c5VWwD/?symbol=nyse%3Aaesi" TargetMode="External" Id="rId75"/><Relationship Type="http://schemas.openxmlformats.org/officeDocument/2006/relationships/hyperlink" Target="https://www.tradingview.com/chart/Q1c5VWwD/?symbol=nasdaq%3Acyph" TargetMode="External" Id="rId76"/><Relationship Type="http://schemas.openxmlformats.org/officeDocument/2006/relationships/hyperlink" Target="https://www.tradingview.com/chart/Q1c5VWwD/?symbol=nasdaq%3Afeim" TargetMode="External" Id="rId77"/><Relationship Type="http://schemas.openxmlformats.org/officeDocument/2006/relationships/hyperlink" Target="https://www.tradingview.com/chart/Q1c5VWwD/?symbol=nasdaq%3Apega" TargetMode="External" Id="rId78"/><Relationship Type="http://schemas.openxmlformats.org/officeDocument/2006/relationships/hyperlink" Target="https://www.tradingview.com/chart/Q1c5VWwD/?symbol=nasdaq%3Actkb" TargetMode="External" Id="rId79"/><Relationship Type="http://schemas.openxmlformats.org/officeDocument/2006/relationships/hyperlink" Target="https://www.tradingview.com/chart/Q1c5VWwD/?symbol=nasdaq%3Aefsi" TargetMode="External" Id="rId80"/><Relationship Type="http://schemas.openxmlformats.org/officeDocument/2006/relationships/hyperlink" Target="https://www.tradingview.com/chart/Q1c5VWwD/?symbol=nyse%3Aagm" TargetMode="External" Id="rId81"/><Relationship Type="http://schemas.openxmlformats.org/officeDocument/2006/relationships/hyperlink" Target="https://www.tradingview.com/chart/Q1c5VWwD/?symbol=nasdaq%3Aabtc" TargetMode="External" Id="rId82"/><Relationship Type="http://schemas.openxmlformats.org/officeDocument/2006/relationships/hyperlink" Target="https://www.tradingview.com/chart/Q1c5VWwD/?symbol=nasdaq%3Acrvl" TargetMode="External" Id="rId83"/><Relationship Type="http://schemas.openxmlformats.org/officeDocument/2006/relationships/hyperlink" Target="https://www.tradingview.com/chart/Q1c5VWwD/?symbol=nasdaq%3Anwsa" TargetMode="External" Id="rId84"/><Relationship Type="http://schemas.openxmlformats.org/officeDocument/2006/relationships/hyperlink" Target="https://www.tradingview.com/chart/Q1c5VWwD/?symbol=nasdaq%3Aappf" TargetMode="External" Id="rId85"/><Relationship Type="http://schemas.openxmlformats.org/officeDocument/2006/relationships/hyperlink" Target="https://www.tradingview.com/chart/Q1c5VWwD/?symbol=nasdaq%3Actsh" TargetMode="External" Id="rId86"/><Relationship Type="http://schemas.openxmlformats.org/officeDocument/2006/relationships/hyperlink" Target="https://www.tradingview.com/chart/Q1c5VWwD/?symbol=nasdaq%3Aitic" TargetMode="External" Id="rId87"/><Relationship Type="http://schemas.openxmlformats.org/officeDocument/2006/relationships/hyperlink" Target="https://www.tradingview.com/chart/Q1c5VWwD/?symbol=nasdaq%3Aiesc" TargetMode="External" Id="rId88"/><Relationship Type="http://schemas.openxmlformats.org/officeDocument/2006/relationships/hyperlink" Target="https://www.tradingview.com/chart/Q1c5VWwD/?symbol=nasdaq%3Anktx" TargetMode="External" Id="rId89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8" customWidth="1" min="4" max="4"/>
    <col width="11" customWidth="1" min="5" max="5"/>
    <col width="34" customWidth="1" min="6" max="6"/>
    <col width="12" customWidth="1" min="7" max="7"/>
    <col width="8" customWidth="1" min="8" max="8"/>
    <col width="11" customWidth="1" min="9" max="9"/>
    <col width="11" customWidth="1" min="10" max="10"/>
    <col width="9" customWidth="1" min="11" max="11"/>
    <col width="11" customWidth="1" min="12" max="12"/>
    <col width="10" customWidth="1" min="13" max="13"/>
    <col width="11" customWidth="1" min="14" max="14"/>
    <col width="7" customWidth="1" min="15" max="15"/>
    <col width="8" customWidth="1" min="16" max="16"/>
    <col width="9" customWidth="1" min="17" max="17"/>
    <col width="11" customWidth="1" min="18" max="18"/>
    <col width="14" customWidth="1" min="19" max="19"/>
    <col width="13" customWidth="1" min="20" max="20"/>
    <col width="9" customWidth="1" min="21" max="21"/>
    <col width="9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11" customWidth="1" min="30" max="30"/>
    <col width="46" customWidth="1" min="31" max="31"/>
    <col width="7" customWidth="1" min="32" max="32"/>
    <col width="18" customWidth="1" min="33" max="33"/>
    <col width="12" customWidth="1" min="34" max="34"/>
  </cols>
  <sheetData>
    <row r="1" ht="30" customHeight="1">
      <c r="A1" s="1" t="inlineStr">
        <is>
          <t>排名</t>
        </is>
      </c>
      <c r="B1" s="1" t="inlineStr">
        <is>
          <t>代號</t>
        </is>
      </c>
      <c r="C1" s="1" t="inlineStr">
        <is>
          <t>公司</t>
        </is>
      </c>
      <c r="D1" s="1" t="inlineStr">
        <is>
          <t>交易所</t>
        </is>
      </c>
      <c r="E1" s="1" t="inlineStr">
        <is>
          <t>板塊</t>
        </is>
      </c>
      <c r="F1" s="1" t="inlineStr">
        <is>
          <t>行業</t>
        </is>
      </c>
      <c r="G1" s="1" t="inlineStr">
        <is>
          <t>市值(億美元)</t>
        </is>
      </c>
      <c r="H1" s="1" t="inlineStr">
        <is>
          <t>市值組</t>
        </is>
      </c>
      <c r="I1" s="1" t="inlineStr">
        <is>
          <t>收市價</t>
        </is>
      </c>
      <c r="J1" s="1" t="inlineStr">
        <is>
          <t>前收</t>
        </is>
      </c>
      <c r="K1" s="1" t="inlineStr">
        <is>
          <t>當日%</t>
        </is>
      </c>
      <c r="L1" s="1" t="inlineStr">
        <is>
          <t>MA10</t>
        </is>
      </c>
      <c r="M1" s="1" t="inlineStr">
        <is>
          <t>距MA10%</t>
        </is>
      </c>
      <c r="N1" s="1" t="inlineStr">
        <is>
          <t>通過時間框</t>
        </is>
      </c>
      <c r="O1" s="1" t="inlineStr">
        <is>
          <t>VCP</t>
        </is>
      </c>
      <c r="P1" s="1" t="inlineStr">
        <is>
          <t>確定性</t>
        </is>
      </c>
      <c r="Q1" s="1" t="inlineStr">
        <is>
          <t>綜合分數</t>
        </is>
      </c>
      <c r="R1" s="1" t="inlineStr">
        <is>
          <t>爆發潛力分數</t>
        </is>
      </c>
      <c r="S1" s="1" t="inlineStr">
        <is>
          <t>最後一個底日期</t>
        </is>
      </c>
      <c r="T1" s="1" t="inlineStr">
        <is>
          <t>最後一個底價</t>
        </is>
      </c>
      <c r="U1" s="1" t="inlineStr">
        <is>
          <t>距底%</t>
        </is>
      </c>
      <c r="V1" s="1" t="inlineStr">
        <is>
          <t>底部數目</t>
        </is>
      </c>
      <c r="W1" s="1" t="inlineStr">
        <is>
          <t>突破</t>
        </is>
      </c>
      <c r="X1" s="1" t="inlineStr">
        <is>
          <t>回補</t>
        </is>
      </c>
      <c r="Y1" s="1" t="inlineStr">
        <is>
          <t>守底</t>
        </is>
      </c>
      <c r="Z1" s="1" t="inlineStr">
        <is>
          <t>量比</t>
        </is>
      </c>
      <c r="AA1" s="1" t="inlineStr">
        <is>
          <t>遞減</t>
        </is>
      </c>
      <c r="AB1" s="1" t="inlineStr">
        <is>
          <t>RS</t>
        </is>
      </c>
      <c r="AC1" s="1" t="inlineStr">
        <is>
          <t>均線</t>
        </is>
      </c>
      <c r="AD1" s="1" t="inlineStr">
        <is>
          <t>催化劑類型</t>
        </is>
      </c>
      <c r="AE1" s="1" t="inlineStr">
        <is>
          <t>催化句</t>
        </is>
      </c>
      <c r="AF1" s="1" t="inlineStr">
        <is>
          <t>信心</t>
        </is>
      </c>
      <c r="AG1" s="1" t="inlineStr">
        <is>
          <t>審視標記</t>
        </is>
      </c>
      <c r="AH1" s="1" t="inlineStr">
        <is>
          <t>相對R19</t>
        </is>
      </c>
    </row>
    <row r="2">
      <c r="A2" s="2" t="n">
        <v>1</v>
      </c>
      <c r="B2" s="3" t="inlineStr">
        <is>
          <t>ITGR</t>
        </is>
      </c>
      <c r="C2" s="2" t="inlineStr">
        <is>
          <t>Integer Holdings Corporation</t>
        </is>
      </c>
      <c r="D2" s="2" t="inlineStr">
        <is>
          <t>NYSE</t>
        </is>
      </c>
      <c r="E2" s="2" t="inlineStr">
        <is>
          <t>醫療保健</t>
        </is>
      </c>
      <c r="F2" s="2" t="inlineStr">
        <is>
          <t>Biotechnology: Electromedical &amp; Electrotherapeutic Apparatus</t>
        </is>
      </c>
      <c r="G2" s="4" t="n">
        <v>42.94</v>
      </c>
      <c r="H2" s="2" t="inlineStr">
        <is>
          <t>中型</t>
        </is>
      </c>
      <c r="I2" s="5" t="n">
        <v>126.33</v>
      </c>
      <c r="J2" s="5" t="n">
        <v>126.11</v>
      </c>
      <c r="K2" s="6">
        <f>IF(J2="","",I2/J2-1)</f>
        <v/>
      </c>
      <c r="L2" s="5" t="n">
        <v>126.09</v>
      </c>
      <c r="M2" s="6">
        <f>I2/L2-1</f>
        <v/>
      </c>
      <c r="N2" s="2" t="n">
        <v>4</v>
      </c>
      <c r="O2" s="7" t="n">
        <v>98.7</v>
      </c>
      <c r="P2" s="7">
        <f>100*(0.25*W2+0.1*X2+0.15*Y2+0.15*Z2+0.1*AA2+0.1*AB2+0.15*AC2)</f>
        <v/>
      </c>
      <c r="Q2" s="7">
        <f>0.5*O2+0.5*P2</f>
        <v/>
      </c>
      <c r="R2" s="7">
        <f>0.4*O2+0.4*P2+0.2*(N2/4*100)</f>
        <v/>
      </c>
      <c r="S2" s="2" t="inlineStr">
        <is>
          <t>2026-08-24</t>
        </is>
      </c>
      <c r="T2" s="5" t="n">
        <v>125.07</v>
      </c>
      <c r="U2" s="6">
        <f>IF(T2="","",I2/T2-1)</f>
        <v/>
      </c>
      <c r="V2" s="2" t="n">
        <v>2</v>
      </c>
      <c r="W2" s="8" t="n">
        <v>1</v>
      </c>
      <c r="X2" s="8" t="n">
        <v>1</v>
      </c>
      <c r="Y2" s="8" t="n">
        <v>1</v>
      </c>
      <c r="Z2" s="8" t="n">
        <v>0.55</v>
      </c>
      <c r="AA2" s="8" t="n">
        <v>0.871</v>
      </c>
      <c r="AB2" s="8" t="n">
        <v>0.768</v>
      </c>
      <c r="AC2" s="8" t="n">
        <v>1</v>
      </c>
      <c r="AD2" s="2" t="inlineStr">
        <is>
          <t>併購</t>
        </is>
      </c>
      <c r="AE2" s="9" t="inlineStr">
        <is>
          <t>7/31 KKR $127現金全購、溢價51.8% → 單日+20.2%</t>
        </is>
      </c>
      <c r="AF2" s="2" t="inlineStr">
        <is>
          <t>高</t>
        </is>
      </c>
      <c r="AG2" s="2" t="inlineStr">
        <is>
          <t>套利釘價 · 距作價+0.5%</t>
        </is>
      </c>
      <c r="AH2" s="2" t="inlineStr">
        <is>
          <t>—</t>
        </is>
      </c>
    </row>
    <row r="3">
      <c r="A3" s="2" t="n">
        <v>2</v>
      </c>
      <c r="B3" s="3" t="inlineStr">
        <is>
          <t>DV</t>
        </is>
      </c>
      <c r="C3" s="2" t="inlineStr">
        <is>
          <t>DoubleVerify Holdings Inc.</t>
        </is>
      </c>
      <c r="D3" s="2" t="inlineStr">
        <is>
          <t>NYSE</t>
        </is>
      </c>
      <c r="E3" s="2" t="inlineStr">
        <is>
          <t>科技</t>
        </is>
      </c>
      <c r="F3" s="2" t="inlineStr">
        <is>
          <t>Computer Software: Programming Data Processing</t>
        </is>
      </c>
      <c r="G3" s="4" t="n">
        <v>20.88</v>
      </c>
      <c r="H3" s="2" t="inlineStr">
        <is>
          <t>中型</t>
        </is>
      </c>
      <c r="I3" s="5" t="n">
        <v>13.47</v>
      </c>
      <c r="J3" s="5" t="n">
        <v>13.49</v>
      </c>
      <c r="K3" s="6">
        <f>IF(J3="","",I3/J3-1)</f>
        <v/>
      </c>
      <c r="L3" s="5" t="n">
        <v>13.42</v>
      </c>
      <c r="M3" s="6">
        <f>I3/L3-1</f>
        <v/>
      </c>
      <c r="N3" s="2" t="n">
        <v>4</v>
      </c>
      <c r="O3" s="7" t="n">
        <v>83.90000000000001</v>
      </c>
      <c r="P3" s="7">
        <f>100*(0.25*W3+0.1*X3+0.15*Y3+0.15*Z3+0.1*AA3+0.1*AB3+0.15*AC3)</f>
        <v/>
      </c>
      <c r="Q3" s="7">
        <f>0.5*O3+0.5*P3</f>
        <v/>
      </c>
      <c r="R3" s="7">
        <f>0.4*O3+0.4*P3+0.2*(N3/4*100)</f>
        <v/>
      </c>
      <c r="S3" s="2" t="inlineStr">
        <is>
          <t>2026-09-09</t>
        </is>
      </c>
      <c r="T3" s="5" t="n">
        <v>13.33</v>
      </c>
      <c r="U3" s="6">
        <f>IF(T3="","",I3/T3-1)</f>
        <v/>
      </c>
      <c r="V3" s="2" t="n">
        <v>5</v>
      </c>
      <c r="W3" s="8" t="n">
        <v>1</v>
      </c>
      <c r="X3" s="8" t="n">
        <v>1</v>
      </c>
      <c r="Y3" s="8" t="n">
        <v>0.4</v>
      </c>
      <c r="Z3" s="8" t="n">
        <v>0.986</v>
      </c>
      <c r="AA3" s="8" t="n">
        <v>0.997</v>
      </c>
      <c r="AB3" s="8" t="n">
        <v>0.784</v>
      </c>
      <c r="AC3" s="8" t="n">
        <v>1</v>
      </c>
      <c r="AD3" s="2" t="inlineStr">
        <is>
          <t>併購</t>
        </is>
      </c>
      <c r="AE3" s="9" t="inlineStr">
        <is>
          <t>8/6 尼爾森13.6美元收購 → 翌日+12.8%</t>
        </is>
      </c>
      <c r="AF3" s="2" t="inlineStr">
        <is>
          <t>高</t>
        </is>
      </c>
      <c r="AG3" s="2" t="inlineStr">
        <is>
          <t>套利釘價 · 距作價+1.0%</t>
        </is>
      </c>
      <c r="AH3" s="2" t="inlineStr">
        <is>
          <t>▲ 1</t>
        </is>
      </c>
    </row>
    <row r="4">
      <c r="A4" s="10" t="n">
        <v>3</v>
      </c>
      <c r="B4" s="11" t="inlineStr">
        <is>
          <t>HRTG</t>
        </is>
      </c>
      <c r="C4" s="10" t="inlineStr">
        <is>
          <t>Heritage Insurance Holdings Inc.</t>
        </is>
      </c>
      <c r="D4" s="10" t="inlineStr">
        <is>
          <t>NYSE</t>
        </is>
      </c>
      <c r="E4" s="10" t="inlineStr">
        <is>
          <t>金融</t>
        </is>
      </c>
      <c r="F4" s="10" t="inlineStr">
        <is>
          <t>Property-Casualty Insurers</t>
        </is>
      </c>
      <c r="G4" s="12" t="n">
        <v>10.53</v>
      </c>
      <c r="H4" s="10" t="inlineStr">
        <is>
          <t>小型</t>
        </is>
      </c>
      <c r="I4" s="13" t="n">
        <v>35.42</v>
      </c>
      <c r="J4" s="13" t="n">
        <v>34.96</v>
      </c>
      <c r="K4" s="14">
        <f>IF(J4="","",I4/J4-1)</f>
        <v/>
      </c>
      <c r="L4" s="13" t="n">
        <v>34.67</v>
      </c>
      <c r="M4" s="14">
        <f>I4/L4-1</f>
        <v/>
      </c>
      <c r="N4" s="10" t="n">
        <v>4</v>
      </c>
      <c r="O4" s="15" t="n">
        <v>83.3</v>
      </c>
      <c r="P4" s="15">
        <f>100*(0.25*W4+0.1*X4+0.15*Y4+0.15*Z4+0.1*AA4+0.1*AB4+0.15*AC4)</f>
        <v/>
      </c>
      <c r="Q4" s="15">
        <f>0.5*O4+0.5*P4</f>
        <v/>
      </c>
      <c r="R4" s="15">
        <f>0.4*O4+0.4*P4+0.2*(N4/4*100)</f>
        <v/>
      </c>
      <c r="S4" s="10" t="inlineStr">
        <is>
          <t>2026-08-31</t>
        </is>
      </c>
      <c r="T4" s="13" t="n">
        <v>33.62</v>
      </c>
      <c r="U4" s="14">
        <f>IF(T4="","",I4/T4-1)</f>
        <v/>
      </c>
      <c r="V4" s="10" t="n">
        <v>5</v>
      </c>
      <c r="W4" s="16" t="n">
        <v>1</v>
      </c>
      <c r="X4" s="16" t="n">
        <v>1</v>
      </c>
      <c r="Y4" s="16" t="n">
        <v>0.8</v>
      </c>
      <c r="Z4" s="16" t="n">
        <v>0.458</v>
      </c>
      <c r="AA4" s="16" t="n">
        <v>0.6899999999999999</v>
      </c>
      <c r="AB4" s="16" t="n">
        <v>0.863</v>
      </c>
      <c r="AC4" s="16" t="n">
        <v>1</v>
      </c>
      <c r="AD4" s="10" t="inlineStr">
        <is>
          <t>業績</t>
        </is>
      </c>
      <c r="AE4" s="17" t="inlineStr">
        <is>
          <t>8/5 Q2純利$6,170萬創新高、EPS $2.05勝預期 → 翌日急升16.5%</t>
        </is>
      </c>
      <c r="AF4" s="10" t="inlineStr">
        <is>
          <t>高</t>
        </is>
      </c>
      <c r="AG4" s="10" t="inlineStr"/>
      <c r="AH4" s="10" t="inlineStr">
        <is>
          <t>新上榜</t>
        </is>
      </c>
    </row>
    <row r="5">
      <c r="A5" s="18" t="n">
        <v>4</v>
      </c>
      <c r="B5" s="19" t="inlineStr">
        <is>
          <t>FMAO</t>
        </is>
      </c>
      <c r="C5" s="18" t="inlineStr">
        <is>
          <t>Farmers &amp; Merchants Bancorp Inc.</t>
        </is>
      </c>
      <c r="D5" s="18" t="inlineStr">
        <is>
          <t>NASDAQ</t>
        </is>
      </c>
      <c r="E5" s="18" t="inlineStr">
        <is>
          <t>金融</t>
        </is>
      </c>
      <c r="F5" s="18" t="inlineStr">
        <is>
          <t>Savings Institutions</t>
        </is>
      </c>
      <c r="G5" s="20" t="n">
        <v>4.91</v>
      </c>
      <c r="H5" s="18" t="inlineStr">
        <is>
          <t>小型</t>
        </is>
      </c>
      <c r="I5" s="21" t="n">
        <v>35.67</v>
      </c>
      <c r="J5" s="21" t="n">
        <v>35.78</v>
      </c>
      <c r="K5" s="22">
        <f>IF(J5="","",I5/J5-1)</f>
        <v/>
      </c>
      <c r="L5" s="21" t="n">
        <v>35.41</v>
      </c>
      <c r="M5" s="22">
        <f>I5/L5-1</f>
        <v/>
      </c>
      <c r="N5" s="18" t="n">
        <v>3</v>
      </c>
      <c r="O5" s="23" t="n">
        <v>94.2</v>
      </c>
      <c r="P5" s="23">
        <f>100*(0.25*W5+0.1*X5+0.15*Y5+0.15*Z5+0.1*AA5+0.1*AB5+0.15*AC5)</f>
        <v/>
      </c>
      <c r="Q5" s="23">
        <f>0.5*O5+0.5*P5</f>
        <v/>
      </c>
      <c r="R5" s="23">
        <f>0.4*O5+0.4*P5+0.2*(N5/4*100)</f>
        <v/>
      </c>
      <c r="S5" s="18" t="inlineStr">
        <is>
          <t>2026-09-01</t>
        </is>
      </c>
      <c r="T5" s="21" t="n">
        <v>33.89</v>
      </c>
      <c r="U5" s="22">
        <f>IF(T5="","",I5/T5-1)</f>
        <v/>
      </c>
      <c r="V5" s="18" t="n">
        <v>4</v>
      </c>
      <c r="W5" s="24" t="n">
        <v>1</v>
      </c>
      <c r="X5" s="24" t="n">
        <v>1</v>
      </c>
      <c r="Y5" s="24" t="n">
        <v>0.733</v>
      </c>
      <c r="Z5" s="24" t="n">
        <v>0.578</v>
      </c>
      <c r="AA5" s="24" t="n">
        <v>0.784</v>
      </c>
      <c r="AB5" s="24" t="n">
        <v>0.8129999999999999</v>
      </c>
      <c r="AC5" s="24" t="n">
        <v>1</v>
      </c>
      <c r="AD5" s="18" t="inlineStr">
        <is>
          <t>業績</t>
        </is>
      </c>
      <c r="AE5" s="25" t="inlineStr">
        <is>
          <t>7/27 Q2純利升53%破紀錄 → 翌日+10.4%</t>
        </is>
      </c>
      <c r="AF5" s="18" t="inlineStr">
        <is>
          <t>高</t>
        </is>
      </c>
      <c r="AG5" s="18" t="inlineStr"/>
      <c r="AH5" s="18" t="inlineStr">
        <is>
          <t>—</t>
        </is>
      </c>
    </row>
    <row r="6">
      <c r="A6" s="2" t="n">
        <v>5</v>
      </c>
      <c r="B6" s="3" t="inlineStr">
        <is>
          <t>SMTI</t>
        </is>
      </c>
      <c r="C6" s="2" t="inlineStr">
        <is>
          <t>Sanara MedTech Inc.</t>
        </is>
      </c>
      <c r="D6" s="2" t="inlineStr">
        <is>
          <t>NASDAQ</t>
        </is>
      </c>
      <c r="E6" s="2" t="inlineStr">
        <is>
          <t>醫療保健</t>
        </is>
      </c>
      <c r="F6" s="2" t="inlineStr">
        <is>
          <t>Industrial Specialties</t>
        </is>
      </c>
      <c r="G6" s="4" t="n">
        <v>3.21</v>
      </c>
      <c r="H6" s="2" t="inlineStr">
        <is>
          <t>小型</t>
        </is>
      </c>
      <c r="I6" s="5" t="n">
        <v>34.98</v>
      </c>
      <c r="J6" s="5" t="n">
        <v>35.1</v>
      </c>
      <c r="K6" s="6">
        <f>IF(J6="","",I6/J6-1)</f>
        <v/>
      </c>
      <c r="L6" s="5" t="n">
        <v>34.96</v>
      </c>
      <c r="M6" s="6">
        <f>I6/L6-1</f>
        <v/>
      </c>
      <c r="N6" s="2" t="n">
        <v>3</v>
      </c>
      <c r="O6" s="7" t="n">
        <v>97.5</v>
      </c>
      <c r="P6" s="7">
        <f>100*(0.25*W6+0.1*X6+0.15*Y6+0.15*Z6+0.1*AA6+0.1*AB6+0.15*AC6)</f>
        <v/>
      </c>
      <c r="Q6" s="7">
        <f>0.5*O6+0.5*P6</f>
        <v/>
      </c>
      <c r="R6" s="7">
        <f>0.4*O6+0.4*P6+0.2*(N6/4*100)</f>
        <v/>
      </c>
      <c r="S6" s="2" t="inlineStr">
        <is>
          <t>2026-09-11</t>
        </is>
      </c>
      <c r="T6" s="5" t="n">
        <v>34.92</v>
      </c>
      <c r="U6" s="6">
        <f>IF(T6="","",I6/T6-1)</f>
        <v/>
      </c>
      <c r="V6" s="2" t="n">
        <v>4</v>
      </c>
      <c r="W6" s="8" t="n">
        <v>1</v>
      </c>
      <c r="X6" s="8" t="n">
        <v>0.462</v>
      </c>
      <c r="Y6" s="8" t="n">
        <v>0.267</v>
      </c>
      <c r="Z6" s="8" t="n">
        <v>0.952</v>
      </c>
      <c r="AA6" s="8" t="n">
        <v>0.728</v>
      </c>
      <c r="AB6" s="8" t="n">
        <v>0.8110000000000001</v>
      </c>
      <c r="AC6" s="8" t="n">
        <v>1</v>
      </c>
      <c r="AD6" s="2" t="inlineStr">
        <is>
          <t>併購</t>
        </is>
      </c>
      <c r="AE6" s="9" t="inlineStr">
        <is>
          <t>7/29 MiMedx約$35收購、溢價46% → 翌日升12.6%</t>
        </is>
      </c>
      <c r="AF6" s="2" t="inlineStr">
        <is>
          <t>高</t>
        </is>
      </c>
      <c r="AG6" s="2" t="inlineStr">
        <is>
          <t>換股釘價 · 距作價+0.7%</t>
        </is>
      </c>
      <c r="AH6" s="2" t="inlineStr">
        <is>
          <t>▼ 3</t>
        </is>
      </c>
    </row>
    <row r="7">
      <c r="A7" s="18" t="n">
        <v>6</v>
      </c>
      <c r="B7" s="19" t="inlineStr">
        <is>
          <t>AVTR</t>
        </is>
      </c>
      <c r="C7" s="18" t="inlineStr">
        <is>
          <t>Avantor Inc.</t>
        </is>
      </c>
      <c r="D7" s="18" t="inlineStr">
        <is>
          <t>NYSE</t>
        </is>
      </c>
      <c r="E7" s="18" t="inlineStr">
        <is>
          <t>工業</t>
        </is>
      </c>
      <c r="F7" s="18" t="inlineStr">
        <is>
          <t>Biotechnology: Laboratory Analytical Instruments</t>
        </is>
      </c>
      <c r="G7" s="20" t="n">
        <v>107.27</v>
      </c>
      <c r="H7" s="18" t="inlineStr">
        <is>
          <t>大型</t>
        </is>
      </c>
      <c r="I7" s="21" t="n">
        <v>15.86</v>
      </c>
      <c r="J7" s="21" t="n">
        <v>15.61</v>
      </c>
      <c r="K7" s="22">
        <f>IF(J7="","",I7/J7-1)</f>
        <v/>
      </c>
      <c r="L7" s="21" t="n">
        <v>15.21</v>
      </c>
      <c r="M7" s="22">
        <f>I7/L7-1</f>
        <v/>
      </c>
      <c r="N7" s="18" t="n">
        <v>4</v>
      </c>
      <c r="O7" s="23" t="n">
        <v>72.5</v>
      </c>
      <c r="P7" s="23">
        <f>100*(0.25*W7+0.1*X7+0.15*Y7+0.15*Z7+0.1*AA7+0.1*AB7+0.15*AC7)</f>
        <v/>
      </c>
      <c r="Q7" s="23">
        <f>0.5*O7+0.5*P7</f>
        <v/>
      </c>
      <c r="R7" s="23">
        <f>0.4*O7+0.4*P7+0.2*(N7/4*100)</f>
        <v/>
      </c>
      <c r="S7" s="18" t="inlineStr">
        <is>
          <t>2026-09-11</t>
        </is>
      </c>
      <c r="T7" s="21" t="n">
        <v>14.81</v>
      </c>
      <c r="U7" s="22">
        <f>IF(T7="","",I7/T7-1)</f>
        <v/>
      </c>
      <c r="V7" s="18" t="n">
        <v>5</v>
      </c>
      <c r="W7" s="24" t="n">
        <v>1</v>
      </c>
      <c r="X7" s="24" t="n">
        <v>1</v>
      </c>
      <c r="Y7" s="24" t="n">
        <v>0.267</v>
      </c>
      <c r="Z7" s="24" t="n">
        <v>0.949</v>
      </c>
      <c r="AA7" s="24" t="n">
        <v>0.544</v>
      </c>
      <c r="AB7" s="24" t="n">
        <v>0.969</v>
      </c>
      <c r="AC7" s="24" t="n">
        <v>1</v>
      </c>
      <c r="AD7" s="18" t="inlineStr">
        <is>
          <t>業績</t>
        </is>
      </c>
      <c r="AE7" s="25" t="inlineStr">
        <is>
          <t>7/29 Q2勝預期、VWR轉增長 → 上調指引</t>
        </is>
      </c>
      <c r="AF7" s="18" t="inlineStr">
        <is>
          <t>高</t>
        </is>
      </c>
      <c r="AG7" s="18" t="inlineStr"/>
      <c r="AH7" s="18" t="inlineStr">
        <is>
          <t>—</t>
        </is>
      </c>
    </row>
    <row r="8">
      <c r="A8" s="18" t="n">
        <v>7</v>
      </c>
      <c r="B8" s="19" t="inlineStr">
        <is>
          <t>CDNA</t>
        </is>
      </c>
      <c r="C8" s="18" t="inlineStr">
        <is>
          <t>CareDx Inc.</t>
        </is>
      </c>
      <c r="D8" s="18" t="inlineStr">
        <is>
          <t>NASDAQ</t>
        </is>
      </c>
      <c r="E8" s="18" t="inlineStr">
        <is>
          <t>醫療保健</t>
        </is>
      </c>
      <c r="F8" s="18" t="inlineStr">
        <is>
          <t>Medical Specialities</t>
        </is>
      </c>
      <c r="G8" s="20" t="n">
        <v>28.08</v>
      </c>
      <c r="H8" s="18" t="inlineStr">
        <is>
          <t>中型</t>
        </is>
      </c>
      <c r="I8" s="21" t="n">
        <v>54.28</v>
      </c>
      <c r="J8" s="21" t="n">
        <v>53.55</v>
      </c>
      <c r="K8" s="22">
        <f>IF(J8="","",I8/J8-1)</f>
        <v/>
      </c>
      <c r="L8" s="21" t="n">
        <v>51.42</v>
      </c>
      <c r="M8" s="22">
        <f>I8/L8-1</f>
        <v/>
      </c>
      <c r="N8" s="18" t="n">
        <v>4</v>
      </c>
      <c r="O8" s="23" t="n">
        <v>77.09999999999999</v>
      </c>
      <c r="P8" s="23">
        <f>100*(0.25*W8+0.1*X8+0.15*Y8+0.15*Z8+0.1*AA8+0.1*AB8+0.15*AC8)</f>
        <v/>
      </c>
      <c r="Q8" s="23">
        <f>0.5*O8+0.5*P8</f>
        <v/>
      </c>
      <c r="R8" s="23">
        <f>0.4*O8+0.4*P8+0.2*(N8/4*100)</f>
        <v/>
      </c>
      <c r="S8" s="18" t="inlineStr">
        <is>
          <t>2026-09-10</t>
        </is>
      </c>
      <c r="T8" s="21" t="n">
        <v>50.02</v>
      </c>
      <c r="U8" s="22">
        <f>IF(T8="","",I8/T8-1)</f>
        <v/>
      </c>
      <c r="V8" s="18" t="n">
        <v>5</v>
      </c>
      <c r="W8" s="24" t="n">
        <v>1</v>
      </c>
      <c r="X8" s="24" t="n">
        <v>1</v>
      </c>
      <c r="Y8" s="24" t="n">
        <v>0.333</v>
      </c>
      <c r="Z8" s="24" t="n">
        <v>0.111</v>
      </c>
      <c r="AA8" s="24" t="n">
        <v>0.9419999999999999</v>
      </c>
      <c r="AB8" s="24" t="n">
        <v>0.965</v>
      </c>
      <c r="AC8" s="24" t="n">
        <v>1</v>
      </c>
      <c r="AD8" s="18" t="inlineStr">
        <is>
          <t>業績</t>
        </is>
      </c>
      <c r="AE8" s="25" t="inlineStr">
        <is>
          <t>7/16 Medicare LCD確認覆蓋AlloSure → 單日飆35.6%</t>
        </is>
      </c>
      <c r="AF8" s="18" t="inlineStr">
        <is>
          <t>高</t>
        </is>
      </c>
      <c r="AG8" s="18" t="inlineStr"/>
      <c r="AH8" s="18" t="inlineStr">
        <is>
          <t>▼ 2</t>
        </is>
      </c>
    </row>
    <row r="9">
      <c r="A9" s="18" t="n">
        <v>8</v>
      </c>
      <c r="B9" s="19" t="inlineStr">
        <is>
          <t>RDVT</t>
        </is>
      </c>
      <c r="C9" s="18" t="inlineStr">
        <is>
          <t>Red Violet Inc.</t>
        </is>
      </c>
      <c r="D9" s="18" t="inlineStr">
        <is>
          <t>NASDAQ</t>
        </is>
      </c>
      <c r="E9" s="18" t="inlineStr">
        <is>
          <t>科技</t>
        </is>
      </c>
      <c r="F9" s="18" t="inlineStr">
        <is>
          <t>Computer Software: Prepackaged Software</t>
        </is>
      </c>
      <c r="G9" s="20" t="n">
        <v>12.38</v>
      </c>
      <c r="H9" s="18" t="inlineStr">
        <is>
          <t>小型</t>
        </is>
      </c>
      <c r="I9" s="21" t="n">
        <v>77.12</v>
      </c>
      <c r="J9" s="21" t="n">
        <v>77.52</v>
      </c>
      <c r="K9" s="22">
        <f>IF(J9="","",I9/J9-1)</f>
        <v/>
      </c>
      <c r="L9" s="21" t="n">
        <v>75.69</v>
      </c>
      <c r="M9" s="22">
        <f>I9/L9-1</f>
        <v/>
      </c>
      <c r="N9" s="18" t="n">
        <v>4</v>
      </c>
      <c r="O9" s="23" t="n">
        <v>65.2</v>
      </c>
      <c r="P9" s="23">
        <f>100*(0.25*W9+0.1*X9+0.15*Y9+0.15*Z9+0.1*AA9+0.1*AB9+0.15*AC9)</f>
        <v/>
      </c>
      <c r="Q9" s="23">
        <f>0.5*O9+0.5*P9</f>
        <v/>
      </c>
      <c r="R9" s="23">
        <f>0.4*O9+0.4*P9+0.2*(N9/4*100)</f>
        <v/>
      </c>
      <c r="S9" s="18" t="inlineStr">
        <is>
          <t>2026-09-10</t>
        </is>
      </c>
      <c r="T9" s="21" t="n">
        <v>73.05</v>
      </c>
      <c r="U9" s="22">
        <f>IF(T9="","",I9/T9-1)</f>
        <v/>
      </c>
      <c r="V9" s="18" t="n">
        <v>6</v>
      </c>
      <c r="W9" s="24" t="n">
        <v>1</v>
      </c>
      <c r="X9" s="24" t="n">
        <v>1</v>
      </c>
      <c r="Y9" s="24" t="n">
        <v>0.333</v>
      </c>
      <c r="Z9" s="24" t="n">
        <v>0.929</v>
      </c>
      <c r="AA9" s="24" t="n">
        <v>0.716</v>
      </c>
      <c r="AB9" s="24" t="n">
        <v>0.948</v>
      </c>
      <c r="AC9" s="24" t="n">
        <v>1</v>
      </c>
      <c r="AD9" s="18" t="inlineStr">
        <is>
          <t>業績</t>
        </is>
      </c>
      <c r="AE9" s="25" t="inlineStr">
        <is>
          <t>8/10 Q2收入升23%、EBITDA升48% → 翌日+8.5%</t>
        </is>
      </c>
      <c r="AF9" s="18" t="inlineStr">
        <is>
          <t>高</t>
        </is>
      </c>
      <c r="AG9" s="18" t="inlineStr"/>
      <c r="AH9" s="18" t="inlineStr">
        <is>
          <t>▲ 6</t>
        </is>
      </c>
    </row>
    <row r="10">
      <c r="A10" s="18" t="n">
        <v>9</v>
      </c>
      <c r="B10" s="19" t="inlineStr">
        <is>
          <t>DMLP</t>
        </is>
      </c>
      <c r="C10" s="18" t="inlineStr">
        <is>
          <t>Dorchester Minerals L.P. Common Units Representing Limited Partnership Interests</t>
        </is>
      </c>
      <c r="D10" s="18" t="inlineStr">
        <is>
          <t>NASDAQ</t>
        </is>
      </c>
      <c r="E10" s="18" t="inlineStr">
        <is>
          <t>能源</t>
        </is>
      </c>
      <c r="F10" s="18" t="inlineStr">
        <is>
          <t>Oil &amp; Gas Production</t>
        </is>
      </c>
      <c r="G10" s="20" t="n">
        <v>14.61</v>
      </c>
      <c r="H10" s="18" t="inlineStr">
        <is>
          <t>小型</t>
        </is>
      </c>
      <c r="I10" s="21" t="n">
        <v>29.77</v>
      </c>
      <c r="J10" s="21" t="n">
        <v>29.46</v>
      </c>
      <c r="K10" s="22">
        <f>IF(J10="","",I10/J10-1)</f>
        <v/>
      </c>
      <c r="L10" s="21" t="n">
        <v>29.61</v>
      </c>
      <c r="M10" s="22">
        <f>I10/L10-1</f>
        <v/>
      </c>
      <c r="N10" s="18" t="n">
        <v>3</v>
      </c>
      <c r="O10" s="23" t="n">
        <v>67.40000000000001</v>
      </c>
      <c r="P10" s="23">
        <f>100*(0.25*W10+0.1*X10+0.15*Y10+0.15*Z10+0.1*AA10+0.1*AB10+0.15*AC10)</f>
        <v/>
      </c>
      <c r="Q10" s="23">
        <f>0.5*O10+0.5*P10</f>
        <v/>
      </c>
      <c r="R10" s="23">
        <f>0.4*O10+0.4*P10+0.2*(N10/4*100)</f>
        <v/>
      </c>
      <c r="S10" s="18" t="inlineStr">
        <is>
          <t>2026-08-28</t>
        </is>
      </c>
      <c r="T10" s="21" t="n">
        <v>28.65</v>
      </c>
      <c r="U10" s="22">
        <f>IF(T10="","",I10/T10-1)</f>
        <v/>
      </c>
      <c r="V10" s="18" t="n">
        <v>2</v>
      </c>
      <c r="W10" s="24" t="n">
        <v>1</v>
      </c>
      <c r="X10" s="24" t="n">
        <v>1</v>
      </c>
      <c r="Y10" s="24" t="n">
        <v>0.867</v>
      </c>
      <c r="Z10" s="24" t="n">
        <v>0.867</v>
      </c>
      <c r="AA10" s="24" t="n">
        <v>0.868</v>
      </c>
      <c r="AB10" s="24" t="n">
        <v>0.882</v>
      </c>
      <c r="AC10" s="24" t="n">
        <v>1</v>
      </c>
      <c r="AD10" s="18" t="inlineStr">
        <is>
          <t>併購</t>
        </is>
      </c>
      <c r="AE10" s="25" t="inlineStr">
        <is>
          <t>7/23 Q2分派$1.27、8/3收購礦權 → 事件日+0.6%</t>
        </is>
      </c>
      <c r="AF10" s="18" t="inlineStr">
        <is>
          <t>中</t>
        </is>
      </c>
      <c r="AG10" s="18" t="inlineStr"/>
      <c r="AH10" s="18" t="inlineStr">
        <is>
          <t>▼ 1</t>
        </is>
      </c>
    </row>
    <row r="11">
      <c r="A11" s="18" t="n">
        <v>10</v>
      </c>
      <c r="B11" s="19" t="inlineStr">
        <is>
          <t>IOVA</t>
        </is>
      </c>
      <c r="C11" s="18" t="inlineStr">
        <is>
          <t>Iovance Biotherapeutics Inc.</t>
        </is>
      </c>
      <c r="D11" s="18" t="inlineStr">
        <is>
          <t>NASDAQ</t>
        </is>
      </c>
      <c r="E11" s="18" t="inlineStr">
        <is>
          <t>醫療保健</t>
        </is>
      </c>
      <c r="F11" s="18" t="inlineStr">
        <is>
          <t>Biotechnology: Biological Products (No Diagnostic Substances)</t>
        </is>
      </c>
      <c r="G11" s="20" t="n">
        <v>45.39</v>
      </c>
      <c r="H11" s="18" t="inlineStr">
        <is>
          <t>中型</t>
        </is>
      </c>
      <c r="I11" s="21" t="n">
        <v>10.02</v>
      </c>
      <c r="J11" s="21" t="n">
        <v>9.869999999999999</v>
      </c>
      <c r="K11" s="22">
        <f>IF(J11="","",I11/J11-1)</f>
        <v/>
      </c>
      <c r="L11" s="21" t="n">
        <v>8.99</v>
      </c>
      <c r="M11" s="22">
        <f>I11/L11-1</f>
        <v/>
      </c>
      <c r="N11" s="18" t="n">
        <v>4</v>
      </c>
      <c r="O11" s="23" t="n">
        <v>58.6</v>
      </c>
      <c r="P11" s="23">
        <f>100*(0.25*W11+0.1*X11+0.15*Y11+0.15*Z11+0.1*AA11+0.1*AB11+0.15*AC11)</f>
        <v/>
      </c>
      <c r="Q11" s="23">
        <f>0.5*O11+0.5*P11</f>
        <v/>
      </c>
      <c r="R11" s="23">
        <f>0.4*O11+0.4*P11+0.2*(N11/4*100)</f>
        <v/>
      </c>
      <c r="S11" s="18" t="inlineStr">
        <is>
          <t>2026-09-10</t>
        </is>
      </c>
      <c r="T11" s="21" t="n">
        <v>8.140000000000001</v>
      </c>
      <c r="U11" s="22">
        <f>IF(T11="","",I11/T11-1)</f>
        <v/>
      </c>
      <c r="V11" s="18" t="n">
        <v>3</v>
      </c>
      <c r="W11" s="24" t="n">
        <v>1</v>
      </c>
      <c r="X11" s="24" t="n">
        <v>1</v>
      </c>
      <c r="Y11" s="24" t="n">
        <v>0.333</v>
      </c>
      <c r="Z11" s="24" t="n">
        <v>0.931</v>
      </c>
      <c r="AA11" s="24" t="n">
        <v>0.798</v>
      </c>
      <c r="AB11" s="24" t="n">
        <v>0.991</v>
      </c>
      <c r="AC11" s="24" t="n">
        <v>1</v>
      </c>
      <c r="AD11" s="18" t="inlineStr">
        <is>
          <t>業績</t>
        </is>
      </c>
      <c r="AE11" s="25" t="inlineStr">
        <is>
          <t>8/6 Q2收入升66%勝預期 → 單日升43%</t>
        </is>
      </c>
      <c r="AF11" s="18" t="inlineStr">
        <is>
          <t>高</t>
        </is>
      </c>
      <c r="AG11" s="18" t="inlineStr"/>
      <c r="AH11" s="18" t="inlineStr">
        <is>
          <t>▲ 5</t>
        </is>
      </c>
    </row>
    <row r="12">
      <c r="A12" s="18" t="n">
        <v>11</v>
      </c>
      <c r="B12" s="19" t="inlineStr">
        <is>
          <t>SAIC</t>
        </is>
      </c>
      <c r="C12" s="18" t="inlineStr">
        <is>
          <t>Science Applications International Corporation</t>
        </is>
      </c>
      <c r="D12" s="18" t="inlineStr">
        <is>
          <t>NASDAQ</t>
        </is>
      </c>
      <c r="E12" s="18" t="inlineStr">
        <is>
          <t>科技</t>
        </is>
      </c>
      <c r="F12" s="18" t="inlineStr">
        <is>
          <t>EDP Services</t>
        </is>
      </c>
      <c r="G12" s="20" t="n">
        <v>56</v>
      </c>
      <c r="H12" s="18" t="inlineStr">
        <is>
          <t>中型</t>
        </is>
      </c>
      <c r="I12" s="21" t="n">
        <v>133.65</v>
      </c>
      <c r="J12" s="21" t="n">
        <v>132.62</v>
      </c>
      <c r="K12" s="22">
        <f>IF(J12="","",I12/J12-1)</f>
        <v/>
      </c>
      <c r="L12" s="21" t="n">
        <v>129.77</v>
      </c>
      <c r="M12" s="22">
        <f>I12/L12-1</f>
        <v/>
      </c>
      <c r="N12" s="18" t="n">
        <v>4</v>
      </c>
      <c r="O12" s="23" t="n">
        <v>65.40000000000001</v>
      </c>
      <c r="P12" s="23">
        <f>100*(0.25*W12+0.1*X12+0.15*Y12+0.15*Z12+0.1*AA12+0.1*AB12+0.15*AC12)</f>
        <v/>
      </c>
      <c r="Q12" s="23">
        <f>0.5*O12+0.5*P12</f>
        <v/>
      </c>
      <c r="R12" s="23">
        <f>0.4*O12+0.4*P12+0.2*(N12/4*100)</f>
        <v/>
      </c>
      <c r="S12" s="18" t="inlineStr">
        <is>
          <t>2026-09-09</t>
        </is>
      </c>
      <c r="T12" s="21" t="n">
        <v>126.2</v>
      </c>
      <c r="U12" s="22">
        <f>IF(T12="","",I12/T12-1)</f>
        <v/>
      </c>
      <c r="V12" s="18" t="n">
        <v>5</v>
      </c>
      <c r="W12" s="24" t="n">
        <v>1</v>
      </c>
      <c r="X12" s="24" t="n">
        <v>1</v>
      </c>
      <c r="Y12" s="24" t="n">
        <v>0.4</v>
      </c>
      <c r="Z12" s="24" t="n">
        <v>0.606</v>
      </c>
      <c r="AA12" s="24" t="n">
        <v>0.5669999999999999</v>
      </c>
      <c r="AB12" s="24" t="n">
        <v>0.881</v>
      </c>
      <c r="AC12" s="24" t="n">
        <v>1</v>
      </c>
      <c r="AD12" s="18" t="inlineStr">
        <is>
          <t>業績</t>
        </is>
      </c>
      <c r="AE12" s="25" t="inlineStr">
        <is>
          <t>8/31 Q2大勝兼上調指引 → 當日只收+1.8%</t>
        </is>
      </c>
      <c r="AF12" s="18" t="inlineStr">
        <is>
          <t>高</t>
        </is>
      </c>
      <c r="AG12" s="18" t="inlineStr"/>
      <c r="AH12" s="18" t="inlineStr">
        <is>
          <t>▼ 1</t>
        </is>
      </c>
    </row>
    <row r="13">
      <c r="A13" s="10" t="n">
        <v>12</v>
      </c>
      <c r="B13" s="11" t="inlineStr">
        <is>
          <t>HGTY</t>
        </is>
      </c>
      <c r="C13" s="10" t="inlineStr">
        <is>
          <t>Hagerty Inc. Class A</t>
        </is>
      </c>
      <c r="D13" s="10" t="inlineStr">
        <is>
          <t>NYSE</t>
        </is>
      </c>
      <c r="E13" s="10" t="inlineStr">
        <is>
          <t>金融</t>
        </is>
      </c>
      <c r="F13" s="10" t="inlineStr">
        <is>
          <t>Specialty Insurers</t>
        </is>
      </c>
      <c r="G13" s="12" t="n">
        <v>47.66</v>
      </c>
      <c r="H13" s="10" t="inlineStr">
        <is>
          <t>中型</t>
        </is>
      </c>
      <c r="I13" s="13" t="n">
        <v>13.87</v>
      </c>
      <c r="J13" s="13" t="n">
        <v>13.9</v>
      </c>
      <c r="K13" s="14">
        <f>IF(J13="","",I13/J13-1)</f>
        <v/>
      </c>
      <c r="L13" s="13" t="n">
        <v>13.64</v>
      </c>
      <c r="M13" s="14">
        <f>I13/L13-1</f>
        <v/>
      </c>
      <c r="N13" s="10" t="n">
        <v>3</v>
      </c>
      <c r="O13" s="15" t="n">
        <v>67.40000000000001</v>
      </c>
      <c r="P13" s="15">
        <f>100*(0.25*W13+0.1*X13+0.15*Y13+0.15*Z13+0.1*AA13+0.1*AB13+0.15*AC13)</f>
        <v/>
      </c>
      <c r="Q13" s="15">
        <f>0.5*O13+0.5*P13</f>
        <v/>
      </c>
      <c r="R13" s="15">
        <f>0.4*O13+0.4*P13+0.2*(N13/4*100)</f>
        <v/>
      </c>
      <c r="S13" s="10" t="inlineStr">
        <is>
          <t>2026-09-09</t>
        </is>
      </c>
      <c r="T13" s="13" t="n">
        <v>13.26</v>
      </c>
      <c r="U13" s="14">
        <f>IF(T13="","",I13/T13-1)</f>
        <v/>
      </c>
      <c r="V13" s="10" t="n">
        <v>6</v>
      </c>
      <c r="W13" s="16" t="n">
        <v>1</v>
      </c>
      <c r="X13" s="16" t="n">
        <v>1</v>
      </c>
      <c r="Y13" s="16" t="n">
        <v>0.4</v>
      </c>
      <c r="Z13" s="16" t="n">
        <v>0.998</v>
      </c>
      <c r="AA13" s="16" t="n">
        <v>0.822</v>
      </c>
      <c r="AB13" s="16" t="n">
        <v>0.91</v>
      </c>
      <c r="AC13" s="16" t="n">
        <v>1</v>
      </c>
      <c r="AD13" s="10" t="inlineStr">
        <is>
          <t>指引</t>
        </is>
      </c>
      <c r="AE13" s="17" t="inlineStr">
        <is>
          <t>8/5 Q2勝預期、全年指引由蝕轉賺 → 單日急升15.4%</t>
        </is>
      </c>
      <c r="AF13" s="10" t="inlineStr">
        <is>
          <t>高</t>
        </is>
      </c>
      <c r="AG13" s="10" t="inlineStr"/>
      <c r="AH13" s="10" t="inlineStr">
        <is>
          <t>新上榜</t>
        </is>
      </c>
    </row>
    <row r="14">
      <c r="A14" s="2" t="n">
        <v>13</v>
      </c>
      <c r="B14" s="3" t="inlineStr">
        <is>
          <t>MKTX</t>
        </is>
      </c>
      <c r="C14" s="2" t="inlineStr">
        <is>
          <t>MarketAxess Holdings Inc.</t>
        </is>
      </c>
      <c r="D14" s="2" t="inlineStr">
        <is>
          <t>NASDAQ</t>
        </is>
      </c>
      <c r="E14" s="2" t="inlineStr">
        <is>
          <t>金融</t>
        </is>
      </c>
      <c r="F14" s="2" t="inlineStr">
        <is>
          <t>Investment Bankers/Brokers/Service</t>
        </is>
      </c>
      <c r="G14" s="4" t="n">
        <v>57.48</v>
      </c>
      <c r="H14" s="2" t="inlineStr">
        <is>
          <t>中型</t>
        </is>
      </c>
      <c r="I14" s="5" t="n">
        <v>163.32</v>
      </c>
      <c r="J14" s="5" t="n">
        <v>163.35</v>
      </c>
      <c r="K14" s="6">
        <f>IF(J14="","",I14/J14-1)</f>
        <v/>
      </c>
      <c r="L14" s="5" t="n">
        <v>163.25</v>
      </c>
      <c r="M14" s="6">
        <f>I14/L14-1</f>
        <v/>
      </c>
      <c r="N14" s="2" t="n">
        <v>2</v>
      </c>
      <c r="O14" s="7" t="n">
        <v>98.8</v>
      </c>
      <c r="P14" s="7">
        <f>100*(0.25*W14+0.1*X14+0.15*Y14+0.15*Z14+0.1*AA14+0.1*AB14+0.15*AC14)</f>
        <v/>
      </c>
      <c r="Q14" s="7">
        <f>0.5*O14+0.5*P14</f>
        <v/>
      </c>
      <c r="R14" s="7">
        <f>0.4*O14+0.4*P14+0.2*(N14/4*100)</f>
        <v/>
      </c>
      <c r="S14" s="2" t="inlineStr">
        <is>
          <t>2026-09-11</t>
        </is>
      </c>
      <c r="T14" s="5" t="n">
        <v>163</v>
      </c>
      <c r="U14" s="6">
        <f>IF(T14="","",I14/T14-1)</f>
        <v/>
      </c>
      <c r="V14" s="2" t="n">
        <v>3</v>
      </c>
      <c r="W14" s="8" t="n">
        <v>0.505</v>
      </c>
      <c r="X14" s="8" t="n">
        <v>0.842</v>
      </c>
      <c r="Y14" s="8" t="n">
        <v>0.267</v>
      </c>
      <c r="Z14" s="8" t="n">
        <v>0.636</v>
      </c>
      <c r="AA14" s="8" t="n">
        <v>0.994</v>
      </c>
      <c r="AB14" s="8" t="n">
        <v>0.748</v>
      </c>
      <c r="AC14" s="8" t="n">
        <v>1</v>
      </c>
      <c r="AD14" s="2" t="inlineStr">
        <is>
          <t>併購</t>
        </is>
      </c>
      <c r="AE14" s="9" t="inlineStr">
        <is>
          <t>7/30 ICE每股167美元現金收購→+29.5%</t>
        </is>
      </c>
      <c r="AF14" s="2" t="inlineStr">
        <is>
          <t>高</t>
        </is>
      </c>
      <c r="AG14" s="2" t="inlineStr">
        <is>
          <t>套利釘價 · 距作價+2.3%</t>
        </is>
      </c>
      <c r="AH14" s="2" t="inlineStr">
        <is>
          <t>▼ 1</t>
        </is>
      </c>
    </row>
    <row r="15">
      <c r="A15" s="10" t="n">
        <v>14</v>
      </c>
      <c r="B15" s="11" t="inlineStr">
        <is>
          <t>HALO</t>
        </is>
      </c>
      <c r="C15" s="10" t="inlineStr">
        <is>
          <t>Halozyme Therapeutics Inc.</t>
        </is>
      </c>
      <c r="D15" s="10" t="inlineStr">
        <is>
          <t>NASDAQ</t>
        </is>
      </c>
      <c r="E15" s="10" t="inlineStr">
        <is>
          <t>醫療保健</t>
        </is>
      </c>
      <c r="F15" s="10" t="inlineStr">
        <is>
          <t>Biotechnology: Biological Products (No Diagnostic Substances)</t>
        </is>
      </c>
      <c r="G15" s="12" t="n">
        <v>124.48</v>
      </c>
      <c r="H15" s="10" t="inlineStr">
        <is>
          <t>大型</t>
        </is>
      </c>
      <c r="I15" s="13" t="n">
        <v>109.68</v>
      </c>
      <c r="J15" s="13" t="n">
        <v>108.44</v>
      </c>
      <c r="K15" s="14">
        <f>IF(J15="","",I15/J15-1)</f>
        <v/>
      </c>
      <c r="L15" s="13" t="n">
        <v>108.32</v>
      </c>
      <c r="M15" s="14">
        <f>I15/L15-1</f>
        <v/>
      </c>
      <c r="N15" s="10" t="n">
        <v>2</v>
      </c>
      <c r="O15" s="15" t="n">
        <v>85.3</v>
      </c>
      <c r="P15" s="15">
        <f>100*(0.25*W15+0.1*X15+0.15*Y15+0.15*Z15+0.1*AA15+0.1*AB15+0.15*AC15)</f>
        <v/>
      </c>
      <c r="Q15" s="15">
        <f>0.5*O15+0.5*P15</f>
        <v/>
      </c>
      <c r="R15" s="15">
        <f>0.4*O15+0.4*P15+0.2*(N15/4*100)</f>
        <v/>
      </c>
      <c r="S15" s="10" t="inlineStr">
        <is>
          <t>2026-08-28</t>
        </is>
      </c>
      <c r="T15" s="13" t="n">
        <v>105.35</v>
      </c>
      <c r="U15" s="14">
        <f>IF(T15="","",I15/T15-1)</f>
        <v/>
      </c>
      <c r="V15" s="10" t="n">
        <v>3</v>
      </c>
      <c r="W15" s="16" t="n">
        <v>1</v>
      </c>
      <c r="X15" s="16" t="n">
        <v>1</v>
      </c>
      <c r="Y15" s="16" t="n">
        <v>0.867</v>
      </c>
      <c r="Z15" s="16" t="n">
        <v>0.512</v>
      </c>
      <c r="AA15" s="16" t="n">
        <v>0.02</v>
      </c>
      <c r="AB15" s="16" t="n">
        <v>0.852</v>
      </c>
      <c r="AC15" s="16" t="n">
        <v>1</v>
      </c>
      <c r="AD15" s="10" t="inlineStr">
        <is>
          <t>業績</t>
        </is>
      </c>
      <c r="AE15" s="17" t="inlineStr">
        <is>
          <t>8/6 Q2收入$4.81億升48%、EPS $2.28大勝 → 翌日飆20.2%</t>
        </is>
      </c>
      <c r="AF15" s="10" t="inlineStr">
        <is>
          <t>中</t>
        </is>
      </c>
      <c r="AG15" s="10" t="inlineStr"/>
      <c r="AH15" s="10" t="inlineStr">
        <is>
          <t>新上榜</t>
        </is>
      </c>
    </row>
    <row r="16">
      <c r="A16" s="18" t="n">
        <v>15</v>
      </c>
      <c r="B16" s="19" t="inlineStr">
        <is>
          <t>CRSR</t>
        </is>
      </c>
      <c r="C16" s="18" t="inlineStr">
        <is>
          <t>Corsair Gaming Inc.</t>
        </is>
      </c>
      <c r="D16" s="18" t="inlineStr">
        <is>
          <t>NASDAQ</t>
        </is>
      </c>
      <c r="E16" s="18" t="inlineStr">
        <is>
          <t>科技</t>
        </is>
      </c>
      <c r="F16" s="18" t="inlineStr">
        <is>
          <t>Computer peripheral equipment</t>
        </is>
      </c>
      <c r="G16" s="20" t="n">
        <v>14.61</v>
      </c>
      <c r="H16" s="18" t="inlineStr">
        <is>
          <t>小型</t>
        </is>
      </c>
      <c r="I16" s="21" t="n">
        <v>13.51</v>
      </c>
      <c r="J16" s="21" t="n">
        <v>13.16</v>
      </c>
      <c r="K16" s="22">
        <f>IF(J16="","",I16/J16-1)</f>
        <v/>
      </c>
      <c r="L16" s="21" t="n">
        <v>12.93</v>
      </c>
      <c r="M16" s="22">
        <f>I16/L16-1</f>
        <v/>
      </c>
      <c r="N16" s="18" t="n">
        <v>3</v>
      </c>
      <c r="O16" s="23" t="n">
        <v>69.7</v>
      </c>
      <c r="P16" s="23">
        <f>100*(0.25*W16+0.1*X16+0.15*Y16+0.15*Z16+0.1*AA16+0.1*AB16+0.15*AC16)</f>
        <v/>
      </c>
      <c r="Q16" s="23">
        <f>0.5*O16+0.5*P16</f>
        <v/>
      </c>
      <c r="R16" s="23">
        <f>0.4*O16+0.4*P16+0.2*(N16/4*100)</f>
        <v/>
      </c>
      <c r="S16" s="18" t="inlineStr">
        <is>
          <t>2026-09-01</t>
        </is>
      </c>
      <c r="T16" s="21" t="n">
        <v>11.62</v>
      </c>
      <c r="U16" s="22">
        <f>IF(T16="","",I16/T16-1)</f>
        <v/>
      </c>
      <c r="V16" s="18" t="n">
        <v>5</v>
      </c>
      <c r="W16" s="24" t="n">
        <v>1</v>
      </c>
      <c r="X16" s="24" t="n">
        <v>1</v>
      </c>
      <c r="Y16" s="24" t="n">
        <v>0.733</v>
      </c>
      <c r="Z16" s="24" t="n">
        <v>0.54</v>
      </c>
      <c r="AA16" s="24" t="n">
        <v>0.126</v>
      </c>
      <c r="AB16" s="24" t="n">
        <v>0.949</v>
      </c>
      <c r="AC16" s="24" t="n">
        <v>1</v>
      </c>
      <c r="AD16" s="18" t="inlineStr">
        <is>
          <t>業績</t>
        </is>
      </c>
      <c r="AE16" s="25" t="inlineStr">
        <is>
          <t>8/6 Q2 EPS $0.23遠勝$0.07 → 翌日飆35.2%</t>
        </is>
      </c>
      <c r="AF16" s="18" t="inlineStr">
        <is>
          <t>高</t>
        </is>
      </c>
      <c r="AG16" s="18" t="inlineStr"/>
      <c r="AH16" s="18" t="inlineStr">
        <is>
          <t>▲ 1</t>
        </is>
      </c>
    </row>
    <row r="17">
      <c r="A17" s="18" t="n">
        <v>16</v>
      </c>
      <c r="B17" s="19" t="inlineStr">
        <is>
          <t>FBLA</t>
        </is>
      </c>
      <c r="C17" s="18" t="inlineStr">
        <is>
          <t>FB Bancorp Inc.</t>
        </is>
      </c>
      <c r="D17" s="18" t="inlineStr">
        <is>
          <t>NASDAQ</t>
        </is>
      </c>
      <c r="E17" s="18" t="inlineStr">
        <is>
          <t>金融</t>
        </is>
      </c>
      <c r="F17" s="18" t="inlineStr">
        <is>
          <t>Banks</t>
        </is>
      </c>
      <c r="G17" s="20" t="n">
        <v>2.57</v>
      </c>
      <c r="H17" s="18" t="inlineStr">
        <is>
          <t>小型</t>
        </is>
      </c>
      <c r="I17" s="21" t="n">
        <v>16.09</v>
      </c>
      <c r="J17" s="21" t="n">
        <v>16.17</v>
      </c>
      <c r="K17" s="22">
        <f>IF(J17="","",I17/J17-1)</f>
        <v/>
      </c>
      <c r="L17" s="21" t="n">
        <v>15.98</v>
      </c>
      <c r="M17" s="22">
        <f>I17/L17-1</f>
        <v/>
      </c>
      <c r="N17" s="18" t="n">
        <v>4</v>
      </c>
      <c r="O17" s="23" t="n">
        <v>54.1</v>
      </c>
      <c r="P17" s="23">
        <f>100*(0.25*W17+0.1*X17+0.15*Y17+0.15*Z17+0.1*AA17+0.1*AB17+0.15*AC17)</f>
        <v/>
      </c>
      <c r="Q17" s="23">
        <f>0.5*O17+0.5*P17</f>
        <v/>
      </c>
      <c r="R17" s="23">
        <f>0.4*O17+0.4*P17+0.2*(N17/4*100)</f>
        <v/>
      </c>
      <c r="S17" s="18" t="inlineStr">
        <is>
          <t>2026-09-01</t>
        </is>
      </c>
      <c r="T17" s="21" t="n">
        <v>15.59</v>
      </c>
      <c r="U17" s="22">
        <f>IF(T17="","",I17/T17-1)</f>
        <v/>
      </c>
      <c r="V17" s="18" t="n">
        <v>4</v>
      </c>
      <c r="W17" s="24" t="n">
        <v>1</v>
      </c>
      <c r="X17" s="24" t="n">
        <v>1</v>
      </c>
      <c r="Y17" s="24" t="n">
        <v>0.733</v>
      </c>
      <c r="Z17" s="24" t="n">
        <v>0.6860000000000001</v>
      </c>
      <c r="AA17" s="24" t="n">
        <v>0.094</v>
      </c>
      <c r="AB17" s="24" t="n">
        <v>0.805</v>
      </c>
      <c r="AC17" s="24" t="n">
        <v>1</v>
      </c>
      <c r="AD17" s="18" t="inlineStr">
        <is>
          <t>回購</t>
        </is>
      </c>
      <c r="AE17" s="25" t="inlineStr">
        <is>
          <t>6/12 第三輪10%回購托價 → 事件日只+0.1%</t>
        </is>
      </c>
      <c r="AF17" s="18" t="inlineStr">
        <is>
          <t>低</t>
        </is>
      </c>
      <c r="AG17" s="18" t="inlineStr"/>
      <c r="AH17" s="18" t="inlineStr">
        <is>
          <t>▼ 5</t>
        </is>
      </c>
    </row>
    <row r="18">
      <c r="A18" s="18" t="n">
        <v>17</v>
      </c>
      <c r="B18" s="19" t="inlineStr">
        <is>
          <t>PD</t>
        </is>
      </c>
      <c r="C18" s="18" t="inlineStr">
        <is>
          <t>PagerDuty Inc.</t>
        </is>
      </c>
      <c r="D18" s="18" t="inlineStr">
        <is>
          <t>NYSE</t>
        </is>
      </c>
      <c r="E18" s="18" t="inlineStr">
        <is>
          <t>科技</t>
        </is>
      </c>
      <c r="F18" s="18" t="inlineStr">
        <is>
          <t>Computer Software: Prepackaged Software</t>
        </is>
      </c>
      <c r="G18" s="20" t="n">
        <v>11.36</v>
      </c>
      <c r="H18" s="18" t="inlineStr">
        <is>
          <t>小型</t>
        </is>
      </c>
      <c r="I18" s="21" t="n">
        <v>14.44</v>
      </c>
      <c r="J18" s="21" t="n">
        <v>14.48</v>
      </c>
      <c r="K18" s="22">
        <f>IF(J18="","",I18/J18-1)</f>
        <v/>
      </c>
      <c r="L18" s="21" t="n">
        <v>14.07</v>
      </c>
      <c r="M18" s="22">
        <f>I18/L18-1</f>
        <v/>
      </c>
      <c r="N18" s="18" t="n">
        <v>4</v>
      </c>
      <c r="O18" s="23" t="n">
        <v>45.8</v>
      </c>
      <c r="P18" s="23">
        <f>100*(0.25*W18+0.1*X18+0.15*Y18+0.15*Z18+0.1*AA18+0.1*AB18+0.15*AC18)</f>
        <v/>
      </c>
      <c r="Q18" s="23">
        <f>0.5*O18+0.5*P18</f>
        <v/>
      </c>
      <c r="R18" s="23">
        <f>0.4*O18+0.4*P18+0.2*(N18/4*100)</f>
        <v/>
      </c>
      <c r="S18" s="18" t="inlineStr">
        <is>
          <t>2026-09-08</t>
        </is>
      </c>
      <c r="T18" s="21" t="n">
        <v>13.32</v>
      </c>
      <c r="U18" s="22">
        <f>IF(T18="","",I18/T18-1)</f>
        <v/>
      </c>
      <c r="V18" s="18" t="n">
        <v>4</v>
      </c>
      <c r="W18" s="24" t="n">
        <v>1</v>
      </c>
      <c r="X18" s="24" t="n">
        <v>1</v>
      </c>
      <c r="Y18" s="24" t="n">
        <v>0.467</v>
      </c>
      <c r="Z18" s="24" t="n">
        <v>0.907</v>
      </c>
      <c r="AA18" s="24" t="n">
        <v>0.8129999999999999</v>
      </c>
      <c r="AB18" s="24" t="n">
        <v>0.974</v>
      </c>
      <c r="AC18" s="24" t="n">
        <v>1</v>
      </c>
      <c r="AD18" s="18" t="inlineStr">
        <is>
          <t>業績</t>
        </is>
      </c>
      <c r="AE18" s="25" t="inlineStr">
        <is>
          <t>8/27 Q2勝預期、ARR破$5億兼上調指引 → 目標價由$10升至$15</t>
        </is>
      </c>
      <c r="AF18" s="18" t="inlineStr">
        <is>
          <t>高</t>
        </is>
      </c>
      <c r="AG18" s="18" t="inlineStr"/>
      <c r="AH18" s="18" t="inlineStr">
        <is>
          <t>▲ 15</t>
        </is>
      </c>
    </row>
    <row r="19">
      <c r="A19" s="18" t="n">
        <v>18</v>
      </c>
      <c r="B19" s="19" t="inlineStr">
        <is>
          <t>AMPH</t>
        </is>
      </c>
      <c r="C19" s="18" t="inlineStr">
        <is>
          <t>Amphastar Pharmaceuticals Inc.</t>
        </is>
      </c>
      <c r="D19" s="18" t="inlineStr">
        <is>
          <t>NASDAQ</t>
        </is>
      </c>
      <c r="E19" s="18" t="inlineStr">
        <is>
          <t>醫療保健</t>
        </is>
      </c>
      <c r="F19" s="18" t="inlineStr">
        <is>
          <t>Biotechnology: Pharmaceutical Preparations</t>
        </is>
      </c>
      <c r="G19" s="20" t="n">
        <v>10.13</v>
      </c>
      <c r="H19" s="18" t="inlineStr">
        <is>
          <t>小型</t>
        </is>
      </c>
      <c r="I19" s="21" t="n">
        <v>23.82</v>
      </c>
      <c r="J19" s="21" t="n">
        <v>23.95</v>
      </c>
      <c r="K19" s="22">
        <f>IF(J19="","",I19/J19-1)</f>
        <v/>
      </c>
      <c r="L19" s="21" t="n">
        <v>23.56</v>
      </c>
      <c r="M19" s="22">
        <f>I19/L19-1</f>
        <v/>
      </c>
      <c r="N19" s="18" t="n">
        <v>4</v>
      </c>
      <c r="O19" s="23" t="n">
        <v>55.4</v>
      </c>
      <c r="P19" s="23">
        <f>100*(0.25*W19+0.1*X19+0.15*Y19+0.15*Z19+0.1*AA19+0.1*AB19+0.15*AC19)</f>
        <v/>
      </c>
      <c r="Q19" s="23">
        <f>0.5*O19+0.5*P19</f>
        <v/>
      </c>
      <c r="R19" s="23">
        <f>0.4*O19+0.4*P19+0.2*(N19/4*100)</f>
        <v/>
      </c>
      <c r="S19" s="18" t="inlineStr">
        <is>
          <t>2026-09-08</t>
        </is>
      </c>
      <c r="T19" s="21" t="n">
        <v>22.93</v>
      </c>
      <c r="U19" s="22">
        <f>IF(T19="","",I19/T19-1)</f>
        <v/>
      </c>
      <c r="V19" s="18" t="n">
        <v>5</v>
      </c>
      <c r="W19" s="24" t="n">
        <v>1</v>
      </c>
      <c r="X19" s="24" t="n">
        <v>0.978</v>
      </c>
      <c r="Y19" s="24" t="n">
        <v>0.467</v>
      </c>
      <c r="Z19" s="24" t="n">
        <v>0.446</v>
      </c>
      <c r="AA19" s="24" t="n">
        <v>0.439</v>
      </c>
      <c r="AB19" s="24" t="n">
        <v>0.9399999999999999</v>
      </c>
      <c r="AC19" s="24" t="n">
        <v>1</v>
      </c>
      <c r="AD19" s="18" t="inlineStr">
        <is>
          <t>無</t>
        </is>
      </c>
      <c r="AE19" s="25" t="inlineStr">
        <is>
          <t>無個股催化，業績後遭降級仍緩升26.3%</t>
        </is>
      </c>
      <c r="AF19" s="18" t="inlineStr">
        <is>
          <t>低</t>
        </is>
      </c>
      <c r="AG19" s="18" t="inlineStr"/>
      <c r="AH19" s="18" t="inlineStr">
        <is>
          <t>▲ 19</t>
        </is>
      </c>
    </row>
    <row r="20">
      <c r="A20" s="18" t="n">
        <v>19</v>
      </c>
      <c r="B20" s="19" t="inlineStr">
        <is>
          <t>BDSX</t>
        </is>
      </c>
      <c r="C20" s="18" t="inlineStr">
        <is>
          <t>Biodesix Inc.</t>
        </is>
      </c>
      <c r="D20" s="18" t="inlineStr">
        <is>
          <t>NASDAQ</t>
        </is>
      </c>
      <c r="E20" s="18" t="inlineStr">
        <is>
          <t>醫療保健</t>
        </is>
      </c>
      <c r="F20" s="18" t="inlineStr">
        <is>
          <t>Medical Specialities</t>
        </is>
      </c>
      <c r="G20" s="20" t="n">
        <v>3.04</v>
      </c>
      <c r="H20" s="18" t="inlineStr">
        <is>
          <t>小型</t>
        </is>
      </c>
      <c r="I20" s="21" t="n">
        <v>28.81</v>
      </c>
      <c r="J20" s="21" t="n">
        <v>28.56</v>
      </c>
      <c r="K20" s="22">
        <f>IF(J20="","",I20/J20-1)</f>
        <v/>
      </c>
      <c r="L20" s="21" t="n">
        <v>27.18</v>
      </c>
      <c r="M20" s="22">
        <f>I20/L20-1</f>
        <v/>
      </c>
      <c r="N20" s="18" t="n">
        <v>3</v>
      </c>
      <c r="O20" s="23" t="n">
        <v>67.90000000000001</v>
      </c>
      <c r="P20" s="23">
        <f>100*(0.25*W20+0.1*X20+0.15*Y20+0.15*Z20+0.1*AA20+0.1*AB20+0.15*AC20)</f>
        <v/>
      </c>
      <c r="Q20" s="23">
        <f>0.5*O20+0.5*P20</f>
        <v/>
      </c>
      <c r="R20" s="23">
        <f>0.4*O20+0.4*P20+0.2*(N20/4*100)</f>
        <v/>
      </c>
      <c r="S20" s="18" t="inlineStr">
        <is>
          <t>2026-09-10</t>
        </is>
      </c>
      <c r="T20" s="21" t="n">
        <v>26.04</v>
      </c>
      <c r="U20" s="22">
        <f>IF(T20="","",I20/T20-1)</f>
        <v/>
      </c>
      <c r="V20" s="18" t="n">
        <v>5</v>
      </c>
      <c r="W20" s="24" t="n">
        <v>1</v>
      </c>
      <c r="X20" s="24" t="n">
        <v>1</v>
      </c>
      <c r="Y20" s="24" t="n">
        <v>0.333</v>
      </c>
      <c r="Z20" s="24" t="n">
        <v>0.349</v>
      </c>
      <c r="AA20" s="24" t="n">
        <v>0.667</v>
      </c>
      <c r="AB20" s="24" t="n">
        <v>0.984</v>
      </c>
      <c r="AC20" s="24" t="n">
        <v>1</v>
      </c>
      <c r="AD20" s="18" t="inlineStr">
        <is>
          <t>業績</t>
        </is>
      </c>
      <c r="AE20" s="25" t="inlineStr">
        <is>
          <t>8/5 Q2收入+34%，大行目標價升至35</t>
        </is>
      </c>
      <c r="AF20" s="18" t="inlineStr">
        <is>
          <t>高</t>
        </is>
      </c>
      <c r="AG20" s="18" t="inlineStr"/>
      <c r="AH20" s="18" t="inlineStr">
        <is>
          <t>▲ 2</t>
        </is>
      </c>
    </row>
    <row r="21">
      <c r="A21" s="18" t="n">
        <v>20</v>
      </c>
      <c r="B21" s="19" t="inlineStr">
        <is>
          <t>ATRC</t>
        </is>
      </c>
      <c r="C21" s="18" t="inlineStr">
        <is>
          <t>AtriCure Inc.</t>
        </is>
      </c>
      <c r="D21" s="18" t="inlineStr">
        <is>
          <t>NASDAQ</t>
        </is>
      </c>
      <c r="E21" s="18" t="inlineStr">
        <is>
          <t>醫療保健</t>
        </is>
      </c>
      <c r="F21" s="18" t="inlineStr">
        <is>
          <t>Medical/Dental Instruments</t>
        </is>
      </c>
      <c r="G21" s="20" t="n">
        <v>30.07</v>
      </c>
      <c r="H21" s="18" t="inlineStr">
        <is>
          <t>中型</t>
        </is>
      </c>
      <c r="I21" s="21" t="n">
        <v>59.12</v>
      </c>
      <c r="J21" s="21" t="n">
        <v>57.14</v>
      </c>
      <c r="K21" s="22">
        <f>IF(J21="","",I21/J21-1)</f>
        <v/>
      </c>
      <c r="L21" s="21" t="n">
        <v>54.65</v>
      </c>
      <c r="M21" s="22">
        <f>I21/L21-1</f>
        <v/>
      </c>
      <c r="N21" s="18" t="n">
        <v>4</v>
      </c>
      <c r="O21" s="23" t="n">
        <v>35.6</v>
      </c>
      <c r="P21" s="23">
        <f>100*(0.25*W21+0.1*X21+0.15*Y21+0.15*Z21+0.1*AA21+0.1*AB21+0.15*AC21)</f>
        <v/>
      </c>
      <c r="Q21" s="23">
        <f>0.5*O21+0.5*P21</f>
        <v/>
      </c>
      <c r="R21" s="23">
        <f>0.4*O21+0.4*P21+0.2*(N21/4*100)</f>
        <v/>
      </c>
      <c r="S21" s="18" t="inlineStr">
        <is>
          <t>2026-08-26</t>
        </is>
      </c>
      <c r="T21" s="21" t="n">
        <v>48.17</v>
      </c>
      <c r="U21" s="22">
        <f>IF(T21="","",I21/T21-1)</f>
        <v/>
      </c>
      <c r="V21" s="18" t="n">
        <v>3</v>
      </c>
      <c r="W21" s="24" t="n">
        <v>1</v>
      </c>
      <c r="X21" s="24" t="n">
        <v>1</v>
      </c>
      <c r="Y21" s="24" t="n">
        <v>1</v>
      </c>
      <c r="Z21" s="24" t="n">
        <v>0.926</v>
      </c>
      <c r="AA21" s="24" t="n">
        <v>0.769</v>
      </c>
      <c r="AB21" s="24" t="n">
        <v>0.984</v>
      </c>
      <c r="AC21" s="24" t="n">
        <v>1</v>
      </c>
      <c r="AD21" s="18" t="inlineStr">
        <is>
          <t>業績</t>
        </is>
      </c>
      <c r="AE21" s="25" t="inlineStr">
        <is>
          <t>7/30 Q2 EPS $0.18轉盈勝預期兼上調指引 → BTIG目標價升至$55</t>
        </is>
      </c>
      <c r="AF21" s="18" t="inlineStr">
        <is>
          <t>高</t>
        </is>
      </c>
      <c r="AG21" s="18" t="inlineStr"/>
      <c r="AH21" s="18" t="inlineStr">
        <is>
          <t>▲ 5</t>
        </is>
      </c>
    </row>
    <row r="22">
      <c r="A22" s="18" t="n">
        <v>21</v>
      </c>
      <c r="B22" s="19" t="inlineStr">
        <is>
          <t>NUE</t>
        </is>
      </c>
      <c r="C22" s="18" t="inlineStr">
        <is>
          <t>Nucor Corporation</t>
        </is>
      </c>
      <c r="D22" s="18" t="inlineStr">
        <is>
          <t>NYSE</t>
        </is>
      </c>
      <c r="E22" s="18" t="inlineStr">
        <is>
          <t>原材料</t>
        </is>
      </c>
      <c r="F22" s="18" t="inlineStr">
        <is>
          <t>Steel/Iron Ore</t>
        </is>
      </c>
      <c r="G22" s="20" t="n">
        <v>601.54</v>
      </c>
      <c r="H22" s="18" t="inlineStr">
        <is>
          <t>大型</t>
        </is>
      </c>
      <c r="I22" s="21" t="n">
        <v>265.14</v>
      </c>
      <c r="J22" s="21" t="n">
        <v>260.68</v>
      </c>
      <c r="K22" s="22">
        <f>IF(J22="","",I22/J22-1)</f>
        <v/>
      </c>
      <c r="L22" s="21" t="n">
        <v>259.2</v>
      </c>
      <c r="M22" s="22">
        <f>I22/L22-1</f>
        <v/>
      </c>
      <c r="N22" s="18" t="n">
        <v>2</v>
      </c>
      <c r="O22" s="23" t="n">
        <v>86.09999999999999</v>
      </c>
      <c r="P22" s="23">
        <f>100*(0.25*W22+0.1*X22+0.15*Y22+0.15*Z22+0.1*AA22+0.1*AB22+0.15*AC22)</f>
        <v/>
      </c>
      <c r="Q22" s="23">
        <f>0.5*O22+0.5*P22</f>
        <v/>
      </c>
      <c r="R22" s="23">
        <f>0.4*O22+0.4*P22+0.2*(N22/4*100)</f>
        <v/>
      </c>
      <c r="S22" s="18" t="inlineStr">
        <is>
          <t>2026-09-14</t>
        </is>
      </c>
      <c r="T22" s="21" t="n">
        <v>254.63</v>
      </c>
      <c r="U22" s="22">
        <f>IF(T22="","",I22/T22-1)</f>
        <v/>
      </c>
      <c r="V22" s="18" t="n">
        <v>4</v>
      </c>
      <c r="W22" s="24" t="n">
        <v>1</v>
      </c>
      <c r="X22" s="24" t="n">
        <v>1</v>
      </c>
      <c r="Y22" s="24" t="n">
        <v>0.2</v>
      </c>
      <c r="Z22" s="24" t="n">
        <v>0.529</v>
      </c>
      <c r="AA22" s="24" t="n">
        <v>0.137</v>
      </c>
      <c r="AB22" s="24" t="n">
        <v>0.745</v>
      </c>
      <c r="AC22" s="24" t="n">
        <v>1</v>
      </c>
      <c r="AD22" s="18" t="inlineStr">
        <is>
          <t>監管</t>
        </is>
      </c>
      <c r="AE22" s="25" t="inlineStr">
        <is>
          <t>8/24 關稅減免憂慮消退 → 8/21–28一週+2.8%</t>
        </is>
      </c>
      <c r="AF22" s="18" t="inlineStr">
        <is>
          <t>高</t>
        </is>
      </c>
      <c r="AG22" s="18" t="inlineStr"/>
      <c r="AH22" s="18" t="inlineStr">
        <is>
          <t>▼ 3</t>
        </is>
      </c>
    </row>
    <row r="23">
      <c r="A23" s="18" t="n">
        <v>22</v>
      </c>
      <c r="B23" s="19" t="inlineStr">
        <is>
          <t>INSP</t>
        </is>
      </c>
      <c r="C23" s="18" t="inlineStr">
        <is>
          <t>Inspire Medical Systems Inc.</t>
        </is>
      </c>
      <c r="D23" s="18" t="inlineStr">
        <is>
          <t>NYSE</t>
        </is>
      </c>
      <c r="E23" s="18" t="inlineStr">
        <is>
          <t>醫療保健</t>
        </is>
      </c>
      <c r="F23" s="18" t="inlineStr">
        <is>
          <t>Medical/Dental Instruments</t>
        </is>
      </c>
      <c r="G23" s="20" t="n">
        <v>21.03</v>
      </c>
      <c r="H23" s="18" t="inlineStr">
        <is>
          <t>中型</t>
        </is>
      </c>
      <c r="I23" s="21" t="n">
        <v>72.73999999999999</v>
      </c>
      <c r="J23" s="21" t="n">
        <v>72.75</v>
      </c>
      <c r="K23" s="22">
        <f>IF(J23="","",I23/J23-1)</f>
        <v/>
      </c>
      <c r="L23" s="21" t="n">
        <v>68.94</v>
      </c>
      <c r="M23" s="22">
        <f>I23/L23-1</f>
        <v/>
      </c>
      <c r="N23" s="18" t="n">
        <v>4</v>
      </c>
      <c r="O23" s="23" t="n">
        <v>39.2</v>
      </c>
      <c r="P23" s="23">
        <f>100*(0.25*W23+0.1*X23+0.15*Y23+0.15*Z23+0.1*AA23+0.1*AB23+0.15*AC23)</f>
        <v/>
      </c>
      <c r="Q23" s="23">
        <f>0.5*O23+0.5*P23</f>
        <v/>
      </c>
      <c r="R23" s="23">
        <f>0.4*O23+0.4*P23+0.2*(N23/4*100)</f>
        <v/>
      </c>
      <c r="S23" s="18" t="inlineStr">
        <is>
          <t>2026-09-08</t>
        </is>
      </c>
      <c r="T23" s="21" t="n">
        <v>62.14</v>
      </c>
      <c r="U23" s="22">
        <f>IF(T23="","",I23/T23-1)</f>
        <v/>
      </c>
      <c r="V23" s="18" t="n">
        <v>5</v>
      </c>
      <c r="W23" s="24" t="n">
        <v>1</v>
      </c>
      <c r="X23" s="24" t="n">
        <v>1</v>
      </c>
      <c r="Y23" s="24" t="n">
        <v>0.467</v>
      </c>
      <c r="Z23" s="24" t="n">
        <v>0.976</v>
      </c>
      <c r="AA23" s="24" t="n">
        <v>0.901</v>
      </c>
      <c r="AB23" s="24" t="n">
        <v>0.981</v>
      </c>
      <c r="AC23" s="24" t="n">
        <v>1</v>
      </c>
      <c r="AD23" s="18" t="inlineStr">
        <is>
          <t>業績</t>
        </is>
      </c>
      <c r="AE23" s="25" t="inlineStr">
        <is>
          <t>8/4 Q2勝預期、指引上調至8.55億 → 單日+22.8%</t>
        </is>
      </c>
      <c r="AF23" s="18" t="inlineStr">
        <is>
          <t>高</t>
        </is>
      </c>
      <c r="AG23" s="18" t="inlineStr"/>
      <c r="AH23" s="18" t="inlineStr">
        <is>
          <t>▼ 5</t>
        </is>
      </c>
    </row>
    <row r="24">
      <c r="A24" s="10" t="n">
        <v>23</v>
      </c>
      <c r="B24" s="11" t="inlineStr">
        <is>
          <t>FPI</t>
        </is>
      </c>
      <c r="C24" s="10" t="inlineStr">
        <is>
          <t>Farmland Partners Inc.</t>
        </is>
      </c>
      <c r="D24" s="10" t="inlineStr">
        <is>
          <t>NYSE</t>
        </is>
      </c>
      <c r="E24" s="10" t="inlineStr">
        <is>
          <t>房地產</t>
        </is>
      </c>
      <c r="F24" s="10" t="inlineStr">
        <is>
          <t>Real Estate Investment Trusts</t>
        </is>
      </c>
      <c r="G24" s="12" t="n">
        <v>4.78</v>
      </c>
      <c r="H24" s="10" t="inlineStr">
        <is>
          <t>小型</t>
        </is>
      </c>
      <c r="I24" s="13" t="n">
        <v>10.95</v>
      </c>
      <c r="J24" s="13" t="n">
        <v>10.79</v>
      </c>
      <c r="K24" s="14">
        <f>IF(J24="","",I24/J24-1)</f>
        <v/>
      </c>
      <c r="L24" s="13" t="n">
        <v>10.73</v>
      </c>
      <c r="M24" s="14">
        <f>I24/L24-1</f>
        <v/>
      </c>
      <c r="N24" s="10" t="n">
        <v>4</v>
      </c>
      <c r="O24" s="15" t="n">
        <v>51.7</v>
      </c>
      <c r="P24" s="15">
        <f>100*(0.25*W24+0.1*X24+0.15*Y24+0.15*Z24+0.1*AA24+0.1*AB24+0.15*AC24)</f>
        <v/>
      </c>
      <c r="Q24" s="15">
        <f>0.5*O24+0.5*P24</f>
        <v/>
      </c>
      <c r="R24" s="15">
        <f>0.4*O24+0.4*P24+0.2*(N24/4*100)</f>
        <v/>
      </c>
      <c r="S24" s="10" t="inlineStr">
        <is>
          <t>2026-09-10</t>
        </is>
      </c>
      <c r="T24" s="13" t="n">
        <v>10.64</v>
      </c>
      <c r="U24" s="14">
        <f>IF(T24="","",I24/T24-1)</f>
        <v/>
      </c>
      <c r="V24" s="10" t="n">
        <v>4</v>
      </c>
      <c r="W24" s="16" t="n">
        <v>1</v>
      </c>
      <c r="X24" s="16" t="n">
        <v>1</v>
      </c>
      <c r="Y24" s="16" t="n">
        <v>0.333</v>
      </c>
      <c r="Z24" s="16" t="n">
        <v>0.47</v>
      </c>
      <c r="AA24" s="16" t="n">
        <v>0.635</v>
      </c>
      <c r="AB24" s="16" t="n">
        <v>0.93</v>
      </c>
      <c r="AC24" s="16" t="n">
        <v>1</v>
      </c>
      <c r="AD24" s="10" t="inlineStr">
        <is>
          <t>無</t>
        </is>
      </c>
      <c r="AE24" s="17" t="inlineStr">
        <is>
          <t>無個股催化 · 隨農業／農地板塊回升</t>
        </is>
      </c>
      <c r="AF24" s="10" t="inlineStr">
        <is>
          <t>低</t>
        </is>
      </c>
      <c r="AG24" s="10" t="inlineStr"/>
      <c r="AH24" s="10" t="inlineStr">
        <is>
          <t>新上榜</t>
        </is>
      </c>
    </row>
    <row r="25">
      <c r="A25" s="18" t="n">
        <v>24</v>
      </c>
      <c r="B25" s="19" t="inlineStr">
        <is>
          <t>MYGN</t>
        </is>
      </c>
      <c r="C25" s="18" t="inlineStr">
        <is>
          <t>Myriad Genetics Inc.</t>
        </is>
      </c>
      <c r="D25" s="18" t="inlineStr">
        <is>
          <t>NASDAQ</t>
        </is>
      </c>
      <c r="E25" s="18" t="inlineStr">
        <is>
          <t>醫療保健</t>
        </is>
      </c>
      <c r="F25" s="18" t="inlineStr">
        <is>
          <t>Biotechnology: In Vitro &amp; In Vivo Diagnostic Substances</t>
        </is>
      </c>
      <c r="G25" s="20" t="n">
        <v>3.96</v>
      </c>
      <c r="H25" s="18" t="inlineStr">
        <is>
          <t>小型</t>
        </is>
      </c>
      <c r="I25" s="21" t="n">
        <v>4.14</v>
      </c>
      <c r="J25" s="21" t="n">
        <v>3.86</v>
      </c>
      <c r="K25" s="22">
        <f>IF(J25="","",I25/J25-1)</f>
        <v/>
      </c>
      <c r="L25" s="21" t="n">
        <v>3.52</v>
      </c>
      <c r="M25" s="22">
        <f>I25/L25-1</f>
        <v/>
      </c>
      <c r="N25" s="18" t="n">
        <v>3</v>
      </c>
      <c r="O25" s="23" t="n">
        <v>59.3</v>
      </c>
      <c r="P25" s="23">
        <f>100*(0.25*W25+0.1*X25+0.15*Y25+0.15*Z25+0.1*AA25+0.1*AB25+0.15*AC25)</f>
        <v/>
      </c>
      <c r="Q25" s="23">
        <f>0.5*O25+0.5*P25</f>
        <v/>
      </c>
      <c r="R25" s="23">
        <f>0.4*O25+0.4*P25+0.2*(N25/4*100)</f>
        <v/>
      </c>
      <c r="S25" s="18" t="inlineStr">
        <is>
          <t>2026-09-08</t>
        </is>
      </c>
      <c r="T25" s="21" t="n">
        <v>3.18</v>
      </c>
      <c r="U25" s="22">
        <f>IF(T25="","",I25/T25-1)</f>
        <v/>
      </c>
      <c r="V25" s="18" t="n">
        <v>4</v>
      </c>
      <c r="W25" s="24" t="n">
        <v>1</v>
      </c>
      <c r="X25" s="24" t="n">
        <v>1</v>
      </c>
      <c r="Y25" s="24" t="n">
        <v>0.467</v>
      </c>
      <c r="Z25" s="24" t="n">
        <v>0.946</v>
      </c>
      <c r="AA25" s="24" t="n">
        <v>1</v>
      </c>
      <c r="AB25" s="24" t="n">
        <v>0.992</v>
      </c>
      <c r="AC25" s="24" t="n">
        <v>0.4</v>
      </c>
      <c r="AD25" s="18" t="inlineStr">
        <is>
          <t>無</t>
        </is>
      </c>
      <c r="AE25" s="25" t="inlineStr">
        <is>
          <t>無個股催化，劈指引暴跌後超賣反彈</t>
        </is>
      </c>
      <c r="AF25" s="18" t="inlineStr">
        <is>
          <t>低</t>
        </is>
      </c>
      <c r="AG25" s="18" t="inlineStr"/>
      <c r="AH25" s="18" t="inlineStr">
        <is>
          <t>▲ 5</t>
        </is>
      </c>
    </row>
    <row r="26">
      <c r="A26" s="18" t="n">
        <v>25</v>
      </c>
      <c r="B26" s="19" t="inlineStr">
        <is>
          <t>FET</t>
        </is>
      </c>
      <c r="C26" s="18" t="inlineStr">
        <is>
          <t>Forum Energy Technologies Inc.</t>
        </is>
      </c>
      <c r="D26" s="18" t="inlineStr">
        <is>
          <t>NYSE</t>
        </is>
      </c>
      <c r="E26" s="18" t="inlineStr">
        <is>
          <t>非必需消費</t>
        </is>
      </c>
      <c r="F26" s="18" t="inlineStr">
        <is>
          <t>Oil and Gas Field Machinery</t>
        </is>
      </c>
      <c r="G26" s="20" t="n">
        <v>9.44</v>
      </c>
      <c r="H26" s="18" t="inlineStr">
        <is>
          <t>小型</t>
        </is>
      </c>
      <c r="I26" s="21" t="n">
        <v>82.29000000000001</v>
      </c>
      <c r="J26" s="21" t="n">
        <v>81.62</v>
      </c>
      <c r="K26" s="22">
        <f>IF(J26="","",I26/J26-1)</f>
        <v/>
      </c>
      <c r="L26" s="21" t="n">
        <v>81.28</v>
      </c>
      <c r="M26" s="22">
        <f>I26/L26-1</f>
        <v/>
      </c>
      <c r="N26" s="18" t="n">
        <v>1</v>
      </c>
      <c r="O26" s="23" t="n">
        <v>87</v>
      </c>
      <c r="P26" s="23">
        <f>100*(0.25*W26+0.1*X26+0.15*Y26+0.15*Z26+0.1*AA26+0.1*AB26+0.15*AC26)</f>
        <v/>
      </c>
      <c r="Q26" s="23">
        <f>0.5*O26+0.5*P26</f>
        <v/>
      </c>
      <c r="R26" s="23">
        <f>0.4*O26+0.4*P26+0.2*(N26/4*100)</f>
        <v/>
      </c>
      <c r="S26" s="18" t="inlineStr">
        <is>
          <t>2026-09-08</t>
        </is>
      </c>
      <c r="T26" s="21" t="n">
        <v>79.86</v>
      </c>
      <c r="U26" s="22">
        <f>IF(T26="","",I26/T26-1)</f>
        <v/>
      </c>
      <c r="V26" s="18" t="n">
        <v>4</v>
      </c>
      <c r="W26" s="24" t="n">
        <v>1</v>
      </c>
      <c r="X26" s="24" t="n">
        <v>1</v>
      </c>
      <c r="Y26" s="24" t="n">
        <v>0.467</v>
      </c>
      <c r="Z26" s="24" t="n">
        <v>0.437</v>
      </c>
      <c r="AA26" s="24" t="n">
        <v>0.839</v>
      </c>
      <c r="AB26" s="24" t="n">
        <v>0.721</v>
      </c>
      <c r="AC26" s="24" t="n">
        <v>1</v>
      </c>
      <c r="AD26" s="18" t="inlineStr">
        <is>
          <t>業績</t>
        </is>
      </c>
      <c r="AE26" s="25" t="inlineStr">
        <is>
          <t>7/30 Q2 EPS $1.16遠勝$0.51、上調EBITDA指引 → 翌日飆22%</t>
        </is>
      </c>
      <c r="AF26" s="18" t="inlineStr">
        <is>
          <t>高</t>
        </is>
      </c>
      <c r="AG26" s="18" t="inlineStr"/>
      <c r="AH26" s="18" t="inlineStr">
        <is>
          <t>▲ 3</t>
        </is>
      </c>
    </row>
    <row r="27">
      <c r="A27" s="10" t="n">
        <v>26</v>
      </c>
      <c r="B27" s="11" t="inlineStr">
        <is>
          <t>RNG</t>
        </is>
      </c>
      <c r="C27" s="10" t="inlineStr">
        <is>
          <t>RingCentral Inc. Class A</t>
        </is>
      </c>
      <c r="D27" s="10" t="inlineStr">
        <is>
          <t>NYSE</t>
        </is>
      </c>
      <c r="E27" s="10" t="inlineStr">
        <is>
          <t>科技</t>
        </is>
      </c>
      <c r="F27" s="10" t="inlineStr">
        <is>
          <t>EDP Services</t>
        </is>
      </c>
      <c r="G27" s="12" t="n">
        <v>62.45</v>
      </c>
      <c r="H27" s="10" t="inlineStr">
        <is>
          <t>中型</t>
        </is>
      </c>
      <c r="I27" s="13" t="n">
        <v>74.78</v>
      </c>
      <c r="J27" s="13" t="n">
        <v>73.54000000000001</v>
      </c>
      <c r="K27" s="14">
        <f>IF(J27="","",I27/J27-1)</f>
        <v/>
      </c>
      <c r="L27" s="13" t="n">
        <v>72.06</v>
      </c>
      <c r="M27" s="14">
        <f>I27/L27-1</f>
        <v/>
      </c>
      <c r="N27" s="10" t="n">
        <v>3</v>
      </c>
      <c r="O27" s="15" t="n">
        <v>74.5</v>
      </c>
      <c r="P27" s="15">
        <f>100*(0.25*W27+0.1*X27+0.15*Y27+0.15*Z27+0.1*AA27+0.1*AB27+0.15*AC27)</f>
        <v/>
      </c>
      <c r="Q27" s="15">
        <f>0.5*O27+0.5*P27</f>
        <v/>
      </c>
      <c r="R27" s="15">
        <f>0.4*O27+0.4*P27+0.2*(N27/4*100)</f>
        <v/>
      </c>
      <c r="S27" s="10" t="inlineStr">
        <is>
          <t>2026-09-11</t>
        </is>
      </c>
      <c r="T27" s="13" t="n">
        <v>68.92</v>
      </c>
      <c r="U27" s="14">
        <f>IF(T27="","",I27/T27-1)</f>
        <v/>
      </c>
      <c r="V27" s="10" t="n">
        <v>4</v>
      </c>
      <c r="W27" s="16" t="n">
        <v>0.473</v>
      </c>
      <c r="X27" s="16" t="n">
        <v>0.788</v>
      </c>
      <c r="Y27" s="16" t="n">
        <v>0.267</v>
      </c>
      <c r="Z27" s="16" t="n">
        <v>0.928</v>
      </c>
      <c r="AA27" s="16" t="n">
        <v>0.275</v>
      </c>
      <c r="AB27" s="16" t="n">
        <v>0.956</v>
      </c>
      <c r="AC27" s="16" t="n">
        <v>1</v>
      </c>
      <c r="AD27" s="10" t="inlineStr">
        <is>
          <t>業績</t>
        </is>
      </c>
      <c r="AE27" s="17" t="inlineStr">
        <is>
          <t>7/24 Q2 EPS $1.22勝預期、上調全年指引 → 單日急升25.1%</t>
        </is>
      </c>
      <c r="AF27" s="10" t="inlineStr">
        <is>
          <t>高</t>
        </is>
      </c>
      <c r="AG27" s="10" t="inlineStr"/>
      <c r="AH27" s="10" t="inlineStr">
        <is>
          <t>新上榜</t>
        </is>
      </c>
    </row>
    <row r="28">
      <c r="A28" s="18" t="n">
        <v>27</v>
      </c>
      <c r="B28" s="19" t="inlineStr">
        <is>
          <t>NUTX</t>
        </is>
      </c>
      <c r="C28" s="18" t="inlineStr">
        <is>
          <t>Nutex Health Inc.</t>
        </is>
      </c>
      <c r="D28" s="18" t="inlineStr">
        <is>
          <t>NASDAQ</t>
        </is>
      </c>
      <c r="E28" s="18" t="inlineStr">
        <is>
          <t>非必需消費</t>
        </is>
      </c>
      <c r="F28" s="18" t="inlineStr">
        <is>
          <t>Business Services</t>
        </is>
      </c>
      <c r="G28" s="20" t="n">
        <v>14.68</v>
      </c>
      <c r="H28" s="18" t="inlineStr">
        <is>
          <t>小型</t>
        </is>
      </c>
      <c r="I28" s="21" t="n">
        <v>214.32</v>
      </c>
      <c r="J28" s="21" t="n">
        <v>217.325</v>
      </c>
      <c r="K28" s="22">
        <f>IF(J28="","",I28/J28-1)</f>
        <v/>
      </c>
      <c r="L28" s="21" t="n">
        <v>203.87</v>
      </c>
      <c r="M28" s="22">
        <f>I28/L28-1</f>
        <v/>
      </c>
      <c r="N28" s="18" t="n">
        <v>3</v>
      </c>
      <c r="O28" s="23" t="n">
        <v>51.4</v>
      </c>
      <c r="P28" s="23">
        <f>100*(0.25*W28+0.1*X28+0.15*Y28+0.15*Z28+0.1*AA28+0.1*AB28+0.15*AC28)</f>
        <v/>
      </c>
      <c r="Q28" s="23">
        <f>0.5*O28+0.5*P28</f>
        <v/>
      </c>
      <c r="R28" s="23">
        <f>0.4*O28+0.4*P28+0.2*(N28/4*100)</f>
        <v/>
      </c>
      <c r="S28" s="18" t="inlineStr">
        <is>
          <t>2026-09-08</t>
        </is>
      </c>
      <c r="T28" s="21" t="n">
        <v>190.66</v>
      </c>
      <c r="U28" s="22">
        <f>IF(T28="","",I28/T28-1)</f>
        <v/>
      </c>
      <c r="V28" s="18" t="n">
        <v>5</v>
      </c>
      <c r="W28" s="24" t="n">
        <v>1</v>
      </c>
      <c r="X28" s="24" t="n">
        <v>1</v>
      </c>
      <c r="Y28" s="24" t="n">
        <v>0.467</v>
      </c>
      <c r="Z28" s="24" t="n">
        <v>0.791</v>
      </c>
      <c r="AA28" s="24" t="n">
        <v>0.915</v>
      </c>
      <c r="AB28" s="24" t="n">
        <v>0.954</v>
      </c>
      <c r="AC28" s="24" t="n">
        <v>1</v>
      </c>
      <c r="AD28" s="18" t="inlineStr">
        <is>
          <t>業績</t>
        </is>
      </c>
      <c r="AE28" s="25" t="inlineStr">
        <is>
          <t>8/6 Q2 EPS $9.38遠勝預期 → 8/10單日升21.9%</t>
        </is>
      </c>
      <c r="AF28" s="18" t="inlineStr">
        <is>
          <t>高</t>
        </is>
      </c>
      <c r="AG28" s="18" t="inlineStr"/>
      <c r="AH28" s="18" t="inlineStr">
        <is>
          <t>▼ 7</t>
        </is>
      </c>
    </row>
    <row r="29">
      <c r="A29" s="18" t="n">
        <v>28</v>
      </c>
      <c r="B29" s="19" t="inlineStr">
        <is>
          <t>DOCU</t>
        </is>
      </c>
      <c r="C29" s="18" t="inlineStr">
        <is>
          <t>DocuSign Inc.</t>
        </is>
      </c>
      <c r="D29" s="18" t="inlineStr">
        <is>
          <t>NASDAQ</t>
        </is>
      </c>
      <c r="E29" s="18" t="inlineStr">
        <is>
          <t>科技</t>
        </is>
      </c>
      <c r="F29" s="18" t="inlineStr">
        <is>
          <t>Computer Software: Prepackaged Software</t>
        </is>
      </c>
      <c r="G29" s="20" t="n">
        <v>132.03</v>
      </c>
      <c r="H29" s="18" t="inlineStr">
        <is>
          <t>大型</t>
        </is>
      </c>
      <c r="I29" s="21" t="n">
        <v>70.64</v>
      </c>
      <c r="J29" s="21" t="n">
        <v>70.40000000000001</v>
      </c>
      <c r="K29" s="22">
        <f>IF(J29="","",I29/J29-1)</f>
        <v/>
      </c>
      <c r="L29" s="21" t="n">
        <v>67.8</v>
      </c>
      <c r="M29" s="22">
        <f>I29/L29-1</f>
        <v/>
      </c>
      <c r="N29" s="18" t="n">
        <v>4</v>
      </c>
      <c r="O29" s="23" t="n">
        <v>40.6</v>
      </c>
      <c r="P29" s="23">
        <f>100*(0.25*W29+0.1*X29+0.15*Y29+0.15*Z29+0.1*AA29+0.1*AB29+0.15*AC29)</f>
        <v/>
      </c>
      <c r="Q29" s="23">
        <f>0.5*O29+0.5*P29</f>
        <v/>
      </c>
      <c r="R29" s="23">
        <f>0.4*O29+0.4*P29+0.2*(N29/4*100)</f>
        <v/>
      </c>
      <c r="S29" s="18" t="inlineStr">
        <is>
          <t>2026-09-09</t>
        </is>
      </c>
      <c r="T29" s="21" t="n">
        <v>64.45</v>
      </c>
      <c r="U29" s="22">
        <f>IF(T29="","",I29/T29-1)</f>
        <v/>
      </c>
      <c r="V29" s="18" t="n">
        <v>4</v>
      </c>
      <c r="W29" s="24" t="n">
        <v>1</v>
      </c>
      <c r="X29" s="24" t="n">
        <v>1</v>
      </c>
      <c r="Y29" s="24" t="n">
        <v>0.4</v>
      </c>
      <c r="Z29" s="24" t="n">
        <v>0.944</v>
      </c>
      <c r="AA29" s="24" t="n">
        <v>0.573</v>
      </c>
      <c r="AB29" s="24" t="n">
        <v>0.966</v>
      </c>
      <c r="AC29" s="24" t="n">
        <v>1</v>
      </c>
      <c r="AD29" s="18" t="inlineStr">
        <is>
          <t>AI</t>
        </is>
      </c>
      <c r="AE29" s="25" t="inlineStr">
        <is>
          <t>8/13 夥Google Cloud推法務AI → 單日+10.3%</t>
        </is>
      </c>
      <c r="AF29" s="18" t="inlineStr">
        <is>
          <t>中</t>
        </is>
      </c>
      <c r="AG29" s="18" t="inlineStr"/>
      <c r="AH29" s="18" t="inlineStr">
        <is>
          <t>▼ 1</t>
        </is>
      </c>
    </row>
    <row r="30">
      <c r="A30" s="10" t="n">
        <v>29</v>
      </c>
      <c r="B30" s="11" t="inlineStr">
        <is>
          <t>CLH</t>
        </is>
      </c>
      <c r="C30" s="10" t="inlineStr">
        <is>
          <t>Clean Harbors Inc.</t>
        </is>
      </c>
      <c r="D30" s="10" t="inlineStr">
        <is>
          <t>NYSE</t>
        </is>
      </c>
      <c r="E30" s="10" t="inlineStr">
        <is>
          <t>工業</t>
        </is>
      </c>
      <c r="F30" s="10" t="inlineStr">
        <is>
          <t>Environmental Services</t>
        </is>
      </c>
      <c r="G30" s="12" t="n">
        <v>166.57</v>
      </c>
      <c r="H30" s="10" t="inlineStr">
        <is>
          <t>大型</t>
        </is>
      </c>
      <c r="I30" s="13" t="n">
        <v>315.55</v>
      </c>
      <c r="J30" s="13" t="n">
        <v>318.96</v>
      </c>
      <c r="K30" s="14">
        <f>IF(J30="","",I30/J30-1)</f>
        <v/>
      </c>
      <c r="L30" s="13" t="n">
        <v>318.8</v>
      </c>
      <c r="M30" s="14">
        <f>I30/L30-1</f>
        <v/>
      </c>
      <c r="N30" s="10" t="n">
        <v>2</v>
      </c>
      <c r="O30" s="15" t="n">
        <v>85.59999999999999</v>
      </c>
      <c r="P30" s="15">
        <f>100*(0.25*W30+0.1*X30+0.15*Y30+0.15*Z30+0.1*AA30+0.1*AB30+0.15*AC30)</f>
        <v/>
      </c>
      <c r="Q30" s="15">
        <f>0.5*O30+0.5*P30</f>
        <v/>
      </c>
      <c r="R30" s="15">
        <f>0.4*O30+0.4*P30+0.2*(N30/4*100)</f>
        <v/>
      </c>
      <c r="S30" s="10" t="inlineStr">
        <is>
          <t>2026-09-09</t>
        </is>
      </c>
      <c r="T30" s="13" t="n">
        <v>315.7</v>
      </c>
      <c r="U30" s="14">
        <f>IF(T30="","",I30/T30-1)</f>
        <v/>
      </c>
      <c r="V30" s="10" t="n">
        <v>4</v>
      </c>
      <c r="W30" s="16" t="n">
        <v>1</v>
      </c>
      <c r="X30" s="16" t="n">
        <v>0</v>
      </c>
      <c r="Y30" s="16" t="n">
        <v>0.4</v>
      </c>
      <c r="Z30" s="16" t="n">
        <v>0.738</v>
      </c>
      <c r="AA30" s="16" t="n">
        <v>0.743</v>
      </c>
      <c r="AB30" s="16" t="n">
        <v>0.678</v>
      </c>
      <c r="AC30" s="16" t="n">
        <v>0.6</v>
      </c>
      <c r="AD30" s="10" t="inlineStr">
        <is>
          <t>業績</t>
        </is>
      </c>
      <c r="AE30" s="17" t="inlineStr">
        <is>
          <t>7/29 Q2 EPS $3.22、EBITDA利潤率23.6%創新高 → 單日升7.5%</t>
        </is>
      </c>
      <c r="AF30" s="10" t="inlineStr">
        <is>
          <t>高</t>
        </is>
      </c>
      <c r="AG30" s="10" t="inlineStr">
        <is>
          <t>已跌穿底</t>
        </is>
      </c>
      <c r="AH30" s="10" t="inlineStr">
        <is>
          <t>新上榜</t>
        </is>
      </c>
    </row>
    <row r="31">
      <c r="A31" s="18" t="n">
        <v>30</v>
      </c>
      <c r="B31" s="19" t="inlineStr">
        <is>
          <t>AUGO</t>
        </is>
      </c>
      <c r="C31" s="18" t="inlineStr">
        <is>
          <t>Aura Minerals Inc. Common Shares</t>
        </is>
      </c>
      <c r="D31" s="18" t="inlineStr">
        <is>
          <t>NASDAQ</t>
        </is>
      </c>
      <c r="E31" s="18" t="inlineStr">
        <is>
          <t>原材料</t>
        </is>
      </c>
      <c r="F31" s="18" t="inlineStr">
        <is>
          <t>Metal Mining</t>
        </is>
      </c>
      <c r="G31" s="20" t="n">
        <v>74.33</v>
      </c>
      <c r="H31" s="18" t="inlineStr">
        <is>
          <t>中型</t>
        </is>
      </c>
      <c r="I31" s="21" t="n">
        <v>88.70999999999999</v>
      </c>
      <c r="J31" s="21" t="n">
        <v>85.95999999999999</v>
      </c>
      <c r="K31" s="22">
        <f>IF(J31="","",I31/J31-1)</f>
        <v/>
      </c>
      <c r="L31" s="21" t="n">
        <v>86.34999999999999</v>
      </c>
      <c r="M31" s="22">
        <f>I31/L31-1</f>
        <v/>
      </c>
      <c r="N31" s="18" t="n">
        <v>3</v>
      </c>
      <c r="O31" s="23" t="n">
        <v>73.5</v>
      </c>
      <c r="P31" s="23">
        <f>100*(0.25*W31+0.1*X31+0.15*Y31+0.15*Z31+0.1*AA31+0.1*AB31+0.15*AC31)</f>
        <v/>
      </c>
      <c r="Q31" s="23">
        <f>0.5*O31+0.5*P31</f>
        <v/>
      </c>
      <c r="R31" s="23">
        <f>0.4*O31+0.4*P31+0.2*(N31/4*100)</f>
        <v/>
      </c>
      <c r="S31" s="18" t="inlineStr">
        <is>
          <t>2026-09-01</t>
        </is>
      </c>
      <c r="T31" s="21" t="n">
        <v>79.045</v>
      </c>
      <c r="U31" s="22">
        <f>IF(T31="","",I31/T31-1)</f>
        <v/>
      </c>
      <c r="V31" s="18" t="n">
        <v>4</v>
      </c>
      <c r="W31" s="24" t="n">
        <v>0.508</v>
      </c>
      <c r="X31" s="24" t="n">
        <v>0.846</v>
      </c>
      <c r="Y31" s="24" t="n">
        <v>0.733</v>
      </c>
      <c r="Z31" s="24" t="n">
        <v>0.155</v>
      </c>
      <c r="AA31" s="24" t="n">
        <v>0.576</v>
      </c>
      <c r="AB31" s="24" t="n">
        <v>0.962</v>
      </c>
      <c r="AC31" s="24" t="n">
        <v>1</v>
      </c>
      <c r="AD31" s="18" t="inlineStr">
        <is>
          <t>無</t>
        </is>
      </c>
      <c r="AE31" s="25" t="inlineStr">
        <is>
          <t>無個股催化 · 隨金價急升（8/5單日+13.8%）</t>
        </is>
      </c>
      <c r="AF31" s="18" t="inlineStr">
        <is>
          <t>高</t>
        </is>
      </c>
      <c r="AG31" s="18" t="inlineStr"/>
      <c r="AH31" s="18" t="inlineStr">
        <is>
          <t>▲ 28</t>
        </is>
      </c>
    </row>
    <row r="32">
      <c r="A32" s="18" t="n">
        <v>31</v>
      </c>
      <c r="B32" s="19" t="inlineStr">
        <is>
          <t>DT</t>
        </is>
      </c>
      <c r="C32" s="18" t="inlineStr">
        <is>
          <t>Dynatrace Inc.</t>
        </is>
      </c>
      <c r="D32" s="18" t="inlineStr">
        <is>
          <t>NYSE</t>
        </is>
      </c>
      <c r="E32" s="18" t="inlineStr">
        <is>
          <t>科技</t>
        </is>
      </c>
      <c r="F32" s="18" t="inlineStr">
        <is>
          <t>Computer Software: Prepackaged Software</t>
        </is>
      </c>
      <c r="G32" s="20" t="n">
        <v>161.35</v>
      </c>
      <c r="H32" s="18" t="inlineStr">
        <is>
          <t>大型</t>
        </is>
      </c>
      <c r="I32" s="21" t="n">
        <v>55.83</v>
      </c>
      <c r="J32" s="21" t="n">
        <v>55.19</v>
      </c>
      <c r="K32" s="22">
        <f>IF(J32="","",I32/J32-1)</f>
        <v/>
      </c>
      <c r="L32" s="21" t="n">
        <v>52.76</v>
      </c>
      <c r="M32" s="22">
        <f>I32/L32-1</f>
        <v/>
      </c>
      <c r="N32" s="18" t="n">
        <v>3</v>
      </c>
      <c r="O32" s="23" t="n">
        <v>53.3</v>
      </c>
      <c r="P32" s="23">
        <f>100*(0.25*W32+0.1*X32+0.15*Y32+0.15*Z32+0.1*AA32+0.1*AB32+0.15*AC32)</f>
        <v/>
      </c>
      <c r="Q32" s="23">
        <f>0.5*O32+0.5*P32</f>
        <v/>
      </c>
      <c r="R32" s="23">
        <f>0.4*O32+0.4*P32+0.2*(N32/4*100)</f>
        <v/>
      </c>
      <c r="S32" s="18" t="inlineStr">
        <is>
          <t>2026-09-08</t>
        </is>
      </c>
      <c r="T32" s="21" t="n">
        <v>50.29</v>
      </c>
      <c r="U32" s="22">
        <f>IF(T32="","",I32/T32-1)</f>
        <v/>
      </c>
      <c r="V32" s="18" t="n">
        <v>4</v>
      </c>
      <c r="W32" s="24" t="n">
        <v>1</v>
      </c>
      <c r="X32" s="24" t="n">
        <v>1</v>
      </c>
      <c r="Y32" s="24" t="n">
        <v>0.467</v>
      </c>
      <c r="Z32" s="24" t="n">
        <v>0.952</v>
      </c>
      <c r="AA32" s="24" t="n">
        <v>0.383</v>
      </c>
      <c r="AB32" s="24" t="n">
        <v>0.95</v>
      </c>
      <c r="AC32" s="24" t="n">
        <v>1</v>
      </c>
      <c r="AD32" s="18" t="inlineStr">
        <is>
          <t>業績</t>
        </is>
      </c>
      <c r="AE32" s="25" t="inlineStr">
        <is>
          <t>8/5 Q1 ARR破20億兼上調指引 → 單日+11.3%</t>
        </is>
      </c>
      <c r="AF32" s="18" t="inlineStr">
        <is>
          <t>高</t>
        </is>
      </c>
      <c r="AG32" s="18" t="inlineStr"/>
      <c r="AH32" s="18" t="inlineStr">
        <is>
          <t>▲ 2</t>
        </is>
      </c>
    </row>
    <row r="33">
      <c r="A33" s="10" t="n">
        <v>32</v>
      </c>
      <c r="B33" s="11" t="inlineStr">
        <is>
          <t>INTG</t>
        </is>
      </c>
      <c r="C33" s="10" t="inlineStr">
        <is>
          <t>Intergroup Corporation (The)</t>
        </is>
      </c>
      <c r="D33" s="10" t="inlineStr">
        <is>
          <t>NASDAQ</t>
        </is>
      </c>
      <c r="E33" s="10" t="inlineStr">
        <is>
          <t>房地產</t>
        </is>
      </c>
      <c r="F33" s="10" t="inlineStr">
        <is>
          <t>Building operators</t>
        </is>
      </c>
      <c r="G33" s="12" t="n">
        <v>0.79</v>
      </c>
      <c r="H33" s="10" t="inlineStr">
        <is>
          <t>小型</t>
        </is>
      </c>
      <c r="I33" s="13" t="n">
        <v>36.87</v>
      </c>
      <c r="J33" s="13" t="n">
        <v>37.3</v>
      </c>
      <c r="K33" s="14">
        <f>IF(J33="","",I33/J33-1)</f>
        <v/>
      </c>
      <c r="L33" s="13" t="n">
        <v>37.15</v>
      </c>
      <c r="M33" s="14">
        <f>I33/L33-1</f>
        <v/>
      </c>
      <c r="N33" s="10" t="n">
        <v>2</v>
      </c>
      <c r="O33" s="15" t="n">
        <v>60.3</v>
      </c>
      <c r="P33" s="15">
        <f>100*(0.25*W33+0.1*X33+0.15*Y33+0.15*Z33+0.1*AA33+0.1*AB33+0.15*AC33)</f>
        <v/>
      </c>
      <c r="Q33" s="15">
        <f>0.5*O33+0.5*P33</f>
        <v/>
      </c>
      <c r="R33" s="15">
        <f>0.4*O33+0.4*P33+0.2*(N33/4*100)</f>
        <v/>
      </c>
      <c r="S33" s="10" t="inlineStr">
        <is>
          <t>2026-09-01</t>
        </is>
      </c>
      <c r="T33" s="13" t="n">
        <v>34.62</v>
      </c>
      <c r="U33" s="14">
        <f>IF(T33="","",I33/T33-1)</f>
        <v/>
      </c>
      <c r="V33" s="10" t="n">
        <v>3</v>
      </c>
      <c r="W33" s="16" t="n">
        <v>1</v>
      </c>
      <c r="X33" s="16" t="n">
        <v>1</v>
      </c>
      <c r="Y33" s="16" t="n">
        <v>0.733</v>
      </c>
      <c r="Z33" s="16" t="n">
        <v>0.99</v>
      </c>
      <c r="AA33" s="16" t="n">
        <v>0.982</v>
      </c>
      <c r="AB33" s="16" t="n">
        <v>0.863</v>
      </c>
      <c r="AC33" s="16" t="n">
        <v>0.7</v>
      </c>
      <c r="AD33" s="10" t="inlineStr">
        <is>
          <t>無</t>
        </is>
      </c>
      <c r="AE33" s="17" t="inlineStr">
        <is>
          <t>無個股催化 · 微型股低流動性反彈</t>
        </is>
      </c>
      <c r="AF33" s="10" t="inlineStr">
        <is>
          <t>低</t>
        </is>
      </c>
      <c r="AG33" s="10" t="inlineStr"/>
      <c r="AH33" s="10" t="inlineStr">
        <is>
          <t>新上榜</t>
        </is>
      </c>
    </row>
    <row r="34">
      <c r="A34" s="18" t="n">
        <v>33</v>
      </c>
      <c r="B34" s="19" t="inlineStr">
        <is>
          <t>REFI</t>
        </is>
      </c>
      <c r="C34" s="18" t="inlineStr">
        <is>
          <t>Chicago Atlantic Real Estate Finance Inc.</t>
        </is>
      </c>
      <c r="D34" s="18" t="inlineStr">
        <is>
          <t>NASDAQ</t>
        </is>
      </c>
      <c r="E34" s="18" t="inlineStr">
        <is>
          <t>房地產</t>
        </is>
      </c>
      <c r="F34" s="18" t="inlineStr">
        <is>
          <t>Real Estate Investment Trusts</t>
        </is>
      </c>
      <c r="G34" s="20" t="n">
        <v>2.86</v>
      </c>
      <c r="H34" s="18" t="inlineStr">
        <is>
          <t>小型</t>
        </is>
      </c>
      <c r="I34" s="21" t="n">
        <v>11.15</v>
      </c>
      <c r="J34" s="21" t="n">
        <v>11.01</v>
      </c>
      <c r="K34" s="22">
        <f>IF(J34="","",I34/J34-1)</f>
        <v/>
      </c>
      <c r="L34" s="21" t="n">
        <v>10.88</v>
      </c>
      <c r="M34" s="22">
        <f>I34/L34-1</f>
        <v/>
      </c>
      <c r="N34" s="18" t="n">
        <v>2</v>
      </c>
      <c r="O34" s="23" t="n">
        <v>62.7</v>
      </c>
      <c r="P34" s="23">
        <f>100*(0.25*W34+0.1*X34+0.15*Y34+0.15*Z34+0.1*AA34+0.1*AB34+0.15*AC34)</f>
        <v/>
      </c>
      <c r="Q34" s="23">
        <f>0.5*O34+0.5*P34</f>
        <v/>
      </c>
      <c r="R34" s="23">
        <f>0.4*O34+0.4*P34+0.2*(N34/4*100)</f>
        <v/>
      </c>
      <c r="S34" s="18" t="inlineStr">
        <is>
          <t>2026-09-10</t>
        </is>
      </c>
      <c r="T34" s="21" t="n">
        <v>10.7</v>
      </c>
      <c r="U34" s="22">
        <f>IF(T34="","",I34/T34-1)</f>
        <v/>
      </c>
      <c r="V34" s="18" t="n">
        <v>4</v>
      </c>
      <c r="W34" s="24" t="n">
        <v>1</v>
      </c>
      <c r="X34" s="24" t="n">
        <v>1</v>
      </c>
      <c r="Y34" s="24" t="n">
        <v>0.333</v>
      </c>
      <c r="Z34" s="24" t="n">
        <v>0.898</v>
      </c>
      <c r="AA34" s="24" t="n">
        <v>0.801</v>
      </c>
      <c r="AB34" s="24" t="n">
        <v>0.903</v>
      </c>
      <c r="AC34" s="24" t="n">
        <v>1</v>
      </c>
      <c r="AD34" s="18" t="inlineStr">
        <is>
          <t>無</t>
        </is>
      </c>
      <c r="AE34" s="25" t="inlineStr">
        <is>
          <t>無個股催化 · 隨大市／板塊回升</t>
        </is>
      </c>
      <c r="AF34" s="18" t="inlineStr">
        <is>
          <t>中</t>
        </is>
      </c>
      <c r="AG34" s="18" t="inlineStr"/>
      <c r="AH34" s="18" t="inlineStr">
        <is>
          <t>▼ 10</t>
        </is>
      </c>
    </row>
    <row r="35">
      <c r="A35" s="18" t="n">
        <v>34</v>
      </c>
      <c r="B35" s="19" t="inlineStr">
        <is>
          <t>INSW</t>
        </is>
      </c>
      <c r="C35" s="18" t="inlineStr">
        <is>
          <t>International Seaways Inc.</t>
        </is>
      </c>
      <c r="D35" s="18" t="inlineStr">
        <is>
          <t>NYSE</t>
        </is>
      </c>
      <c r="E35" s="18" t="inlineStr">
        <is>
          <t>非必需消費</t>
        </is>
      </c>
      <c r="F35" s="18" t="inlineStr">
        <is>
          <t>Marine Transportation</t>
        </is>
      </c>
      <c r="G35" s="20" t="n">
        <v>54.75</v>
      </c>
      <c r="H35" s="18" t="inlineStr">
        <is>
          <t>中型</t>
        </is>
      </c>
      <c r="I35" s="21" t="n">
        <v>110.53</v>
      </c>
      <c r="J35" s="21" t="n">
        <v>109.38</v>
      </c>
      <c r="K35" s="22">
        <f>IF(J35="","",I35/J35-1)</f>
        <v/>
      </c>
      <c r="L35" s="21" t="n">
        <v>105.45</v>
      </c>
      <c r="M35" s="22">
        <f>I35/L35-1</f>
        <v/>
      </c>
      <c r="N35" s="18" t="n">
        <v>4</v>
      </c>
      <c r="O35" s="23" t="n">
        <v>44.7</v>
      </c>
      <c r="P35" s="23">
        <f>100*(0.25*W35+0.1*X35+0.15*Y35+0.15*Z35+0.1*AA35+0.1*AB35+0.15*AC35)</f>
        <v/>
      </c>
      <c r="Q35" s="23">
        <f>0.5*O35+0.5*P35</f>
        <v/>
      </c>
      <c r="R35" s="23">
        <f>0.4*O35+0.4*P35+0.2*(N35/4*100)</f>
        <v/>
      </c>
      <c r="S35" s="18" t="inlineStr">
        <is>
          <t>2026-09-10</t>
        </is>
      </c>
      <c r="T35" s="21" t="n">
        <v>102.14</v>
      </c>
      <c r="U35" s="22">
        <f>IF(T35="","",I35/T35-1)</f>
        <v/>
      </c>
      <c r="V35" s="18" t="n">
        <v>4</v>
      </c>
      <c r="W35" s="24" t="n">
        <v>1</v>
      </c>
      <c r="X35" s="24" t="n">
        <v>1</v>
      </c>
      <c r="Y35" s="24" t="n">
        <v>0.333</v>
      </c>
      <c r="Z35" s="24" t="n">
        <v>0.719</v>
      </c>
      <c r="AA35" s="24" t="n">
        <v>0.205</v>
      </c>
      <c r="AB35" s="24" t="n">
        <v>0.9419999999999999</v>
      </c>
      <c r="AC35" s="24" t="n">
        <v>1</v>
      </c>
      <c r="AD35" s="18" t="inlineStr">
        <is>
          <t>業績</t>
        </is>
      </c>
      <c r="AE35" s="25" t="inlineStr">
        <is>
          <t>8/27 油輪運價續強、Q2 EPS $5.91超預期12% → 單日升6.0%</t>
        </is>
      </c>
      <c r="AF35" s="18" t="inlineStr">
        <is>
          <t>高</t>
        </is>
      </c>
      <c r="AG35" s="18" t="inlineStr"/>
      <c r="AH35" s="18" t="inlineStr">
        <is>
          <t>▼ 4</t>
        </is>
      </c>
    </row>
    <row r="36">
      <c r="A36" s="18" t="n">
        <v>35</v>
      </c>
      <c r="B36" s="19" t="inlineStr">
        <is>
          <t>EXPD</t>
        </is>
      </c>
      <c r="C36" s="18" t="inlineStr">
        <is>
          <t>Expeditors International of Washington Inc.</t>
        </is>
      </c>
      <c r="D36" s="18" t="inlineStr">
        <is>
          <t>NYSE</t>
        </is>
      </c>
      <c r="E36" s="18" t="inlineStr">
        <is>
          <t>工業</t>
        </is>
      </c>
      <c r="F36" s="18" t="inlineStr">
        <is>
          <t>Integrated Freight &amp; Logistics</t>
        </is>
      </c>
      <c r="G36" s="20" t="n">
        <v>245.79</v>
      </c>
      <c r="H36" s="18" t="inlineStr">
        <is>
          <t>大型</t>
        </is>
      </c>
      <c r="I36" s="21" t="n">
        <v>189.08</v>
      </c>
      <c r="J36" s="21" t="n">
        <v>189.04</v>
      </c>
      <c r="K36" s="22">
        <f>IF(J36="","",I36/J36-1)</f>
        <v/>
      </c>
      <c r="L36" s="21" t="n">
        <v>189.78</v>
      </c>
      <c r="M36" s="22">
        <f>I36/L36-1</f>
        <v/>
      </c>
      <c r="N36" s="18" t="n">
        <v>3</v>
      </c>
      <c r="O36" s="23" t="n">
        <v>66.5</v>
      </c>
      <c r="P36" s="23">
        <f>100*(0.25*W36+0.1*X36+0.15*Y36+0.15*Z36+0.1*AA36+0.1*AB36+0.15*AC36)</f>
        <v/>
      </c>
      <c r="Q36" s="23">
        <f>0.5*O36+0.5*P36</f>
        <v/>
      </c>
      <c r="R36" s="23">
        <f>0.4*O36+0.4*P36+0.2*(N36/4*100)</f>
        <v/>
      </c>
      <c r="S36" s="18" t="inlineStr">
        <is>
          <t>2026-09-08</t>
        </is>
      </c>
      <c r="T36" s="21" t="n">
        <v>185.96</v>
      </c>
      <c r="U36" s="22">
        <f>IF(T36="","",I36/T36-1)</f>
        <v/>
      </c>
      <c r="V36" s="18" t="n">
        <v>4</v>
      </c>
      <c r="W36" s="24" t="n">
        <v>1</v>
      </c>
      <c r="X36" s="24" t="n">
        <v>0.623</v>
      </c>
      <c r="Y36" s="24" t="n">
        <v>0.467</v>
      </c>
      <c r="Z36" s="24" t="n">
        <v>0.219</v>
      </c>
      <c r="AA36" s="24" t="n">
        <v>0.775</v>
      </c>
      <c r="AB36" s="24" t="n">
        <v>0.789</v>
      </c>
      <c r="AC36" s="24" t="n">
        <v>0.6</v>
      </c>
      <c r="AD36" s="18" t="inlineStr">
        <is>
          <t>業績</t>
        </is>
      </c>
      <c r="AE36" s="25" t="inlineStr">
        <is>
          <t>8/4 Q2 EPS升51%勝預期 → 股價近歷史高位</t>
        </is>
      </c>
      <c r="AF36" s="18" t="inlineStr">
        <is>
          <t>高</t>
        </is>
      </c>
      <c r="AG36" s="18" t="inlineStr"/>
      <c r="AH36" s="18" t="inlineStr">
        <is>
          <t>▼ 4</t>
        </is>
      </c>
    </row>
    <row r="37">
      <c r="A37" s="18" t="n">
        <v>36</v>
      </c>
      <c r="B37" s="19" t="inlineStr">
        <is>
          <t>XRX</t>
        </is>
      </c>
      <c r="C37" s="18" t="inlineStr">
        <is>
          <t>Xerox Holdings Corporation</t>
        </is>
      </c>
      <c r="D37" s="18" t="inlineStr">
        <is>
          <t>NASDAQ</t>
        </is>
      </c>
      <c r="E37" s="18" t="inlineStr">
        <is>
          <t>科技</t>
        </is>
      </c>
      <c r="F37" s="18" t="inlineStr">
        <is>
          <t>Computer peripheral equipment</t>
        </is>
      </c>
      <c r="G37" s="20" t="n">
        <v>4.75</v>
      </c>
      <c r="H37" s="18" t="inlineStr">
        <is>
          <t>小型</t>
        </is>
      </c>
      <c r="I37" s="21" t="n">
        <v>3.62</v>
      </c>
      <c r="J37" s="21" t="n">
        <v>3.48</v>
      </c>
      <c r="K37" s="22">
        <f>IF(J37="","",I37/J37-1)</f>
        <v/>
      </c>
      <c r="L37" s="21" t="n">
        <v>3.34</v>
      </c>
      <c r="M37" s="22">
        <f>I37/L37-1</f>
        <v/>
      </c>
      <c r="N37" s="18" t="n">
        <v>2</v>
      </c>
      <c r="O37" s="23" t="n">
        <v>61.9</v>
      </c>
      <c r="P37" s="23">
        <f>100*(0.25*W37+0.1*X37+0.15*Y37+0.15*Z37+0.1*AA37+0.1*AB37+0.15*AC37)</f>
        <v/>
      </c>
      <c r="Q37" s="23">
        <f>0.5*O37+0.5*P37</f>
        <v/>
      </c>
      <c r="R37" s="23">
        <f>0.4*O37+0.4*P37+0.2*(N37/4*100)</f>
        <v/>
      </c>
      <c r="S37" s="18" t="inlineStr">
        <is>
          <t>2026-09-09</t>
        </is>
      </c>
      <c r="T37" s="21" t="n">
        <v>3.14</v>
      </c>
      <c r="U37" s="22">
        <f>IF(T37="","",I37/T37-1)</f>
        <v/>
      </c>
      <c r="V37" s="18" t="n">
        <v>3</v>
      </c>
      <c r="W37" s="24" t="n">
        <v>1</v>
      </c>
      <c r="X37" s="24" t="n">
        <v>1</v>
      </c>
      <c r="Y37" s="24" t="n">
        <v>0.4</v>
      </c>
      <c r="Z37" s="24" t="n">
        <v>0.6929999999999999</v>
      </c>
      <c r="AA37" s="24" t="n">
        <v>0.459</v>
      </c>
      <c r="AB37" s="24" t="n">
        <v>0.974</v>
      </c>
      <c r="AC37" s="24" t="n">
        <v>1</v>
      </c>
      <c r="AD37" s="18" t="inlineStr">
        <is>
          <t>業績</t>
        </is>
      </c>
      <c r="AE37" s="25" t="inlineStr">
        <is>
          <t>7/30 Q2勝預期兼上調指引 → 單日+32%</t>
        </is>
      </c>
      <c r="AF37" s="18" t="inlineStr">
        <is>
          <t>高</t>
        </is>
      </c>
      <c r="AG37" s="18" t="inlineStr"/>
      <c r="AH37" s="18" t="inlineStr">
        <is>
          <t>▲ 2</t>
        </is>
      </c>
    </row>
    <row r="38">
      <c r="A38" s="18" t="n">
        <v>37</v>
      </c>
      <c r="B38" s="19" t="inlineStr">
        <is>
          <t>ADM</t>
        </is>
      </c>
      <c r="C38" s="18" t="inlineStr">
        <is>
          <t>Archer-Daniels-Midland Company</t>
        </is>
      </c>
      <c r="D38" s="18" t="inlineStr">
        <is>
          <t>NYSE</t>
        </is>
      </c>
      <c r="E38" s="18" t="inlineStr">
        <is>
          <t>必需消費</t>
        </is>
      </c>
      <c r="F38" s="18" t="inlineStr">
        <is>
          <t>Packaged Foods</t>
        </is>
      </c>
      <c r="G38" s="20" t="n">
        <v>424.56</v>
      </c>
      <c r="H38" s="18" t="inlineStr">
        <is>
          <t>大型</t>
        </is>
      </c>
      <c r="I38" s="21" t="n">
        <v>88.09</v>
      </c>
      <c r="J38" s="21" t="n">
        <v>85</v>
      </c>
      <c r="K38" s="22">
        <f>IF(J38="","",I38/J38-1)</f>
        <v/>
      </c>
      <c r="L38" s="21" t="n">
        <v>85.98</v>
      </c>
      <c r="M38" s="22">
        <f>I38/L38-1</f>
        <v/>
      </c>
      <c r="N38" s="18" t="n">
        <v>2</v>
      </c>
      <c r="O38" s="23" t="n">
        <v>54.4</v>
      </c>
      <c r="P38" s="23">
        <f>100*(0.25*W38+0.1*X38+0.15*Y38+0.15*Z38+0.1*AA38+0.1*AB38+0.15*AC38)</f>
        <v/>
      </c>
      <c r="Q38" s="23">
        <f>0.5*O38+0.5*P38</f>
        <v/>
      </c>
      <c r="R38" s="23">
        <f>0.4*O38+0.4*P38+0.2*(N38/4*100)</f>
        <v/>
      </c>
      <c r="S38" s="18" t="inlineStr">
        <is>
          <t>2026-08-24</t>
        </is>
      </c>
      <c r="T38" s="21" t="n">
        <v>78.16</v>
      </c>
      <c r="U38" s="22">
        <f>IF(T38="","",I38/T38-1)</f>
        <v/>
      </c>
      <c r="V38" s="18" t="n">
        <v>2</v>
      </c>
      <c r="W38" s="24" t="n">
        <v>1</v>
      </c>
      <c r="X38" s="24" t="n">
        <v>1</v>
      </c>
      <c r="Y38" s="24" t="n">
        <v>1</v>
      </c>
      <c r="Z38" s="24" t="n">
        <v>0.405</v>
      </c>
      <c r="AA38" s="24" t="n">
        <v>0.579</v>
      </c>
      <c r="AB38" s="24" t="n">
        <v>0.892</v>
      </c>
      <c r="AC38" s="24" t="n">
        <v>1</v>
      </c>
      <c r="AD38" s="18" t="inlineStr">
        <is>
          <t>業績</t>
        </is>
      </c>
      <c r="AE38" s="25" t="inlineStr">
        <is>
          <t>8/4 Q2勝預期、上調全年指引 → 事件日+2.3%</t>
        </is>
      </c>
      <c r="AF38" s="18" t="inlineStr">
        <is>
          <t>高</t>
        </is>
      </c>
      <c r="AG38" s="18" t="inlineStr"/>
      <c r="AH38" s="18" t="inlineStr">
        <is>
          <t>▼ 18</t>
        </is>
      </c>
    </row>
    <row r="39">
      <c r="A39" s="18" t="n">
        <v>38</v>
      </c>
      <c r="B39" s="19" t="inlineStr">
        <is>
          <t>BRK/B</t>
        </is>
      </c>
      <c r="C39" s="18" t="inlineStr">
        <is>
          <t>Berkshire Hathaway Inc.</t>
        </is>
      </c>
      <c r="D39" s="18" t="inlineStr">
        <is>
          <t>NYSE</t>
        </is>
      </c>
      <c r="E39" s="18" t="inlineStr">
        <is>
          <t>金融</t>
        </is>
      </c>
      <c r="F39" s="18" t="inlineStr">
        <is>
          <t>Uncategorized</t>
        </is>
      </c>
      <c r="G39" s="20" t="n">
        <v>11234.54</v>
      </c>
      <c r="H39" s="18" t="inlineStr">
        <is>
          <t>大型</t>
        </is>
      </c>
      <c r="I39" s="21" t="n">
        <v>509.2</v>
      </c>
      <c r="J39" s="21" t="n">
        <v>519.8</v>
      </c>
      <c r="K39" s="22">
        <f>IF(J39="","",I39/J39-1)</f>
        <v/>
      </c>
      <c r="L39" s="21" t="n">
        <v>510.48</v>
      </c>
      <c r="M39" s="22">
        <f>I39/L39-1</f>
        <v/>
      </c>
      <c r="N39" s="18" t="n">
        <v>2</v>
      </c>
      <c r="O39" s="23" t="n">
        <v>60.8</v>
      </c>
      <c r="P39" s="23">
        <f>100*(0.25*W39+0.1*X39+0.15*Y39+0.15*Z39+0.1*AA39+0.1*AB39+0.15*AC39)</f>
        <v/>
      </c>
      <c r="Q39" s="23">
        <f>0.5*O39+0.5*P39</f>
        <v/>
      </c>
      <c r="R39" s="23">
        <f>0.4*O39+0.4*P39+0.2*(N39/4*100)</f>
        <v/>
      </c>
      <c r="S39" s="18" t="inlineStr">
        <is>
          <t>2026-09-01</t>
        </is>
      </c>
      <c r="T39" s="21" t="n">
        <v>502.33</v>
      </c>
      <c r="U39" s="22">
        <f>IF(T39="","",I39/T39-1)</f>
        <v/>
      </c>
      <c r="V39" s="18" t="n">
        <v>3</v>
      </c>
      <c r="W39" s="24" t="n">
        <v>1</v>
      </c>
      <c r="X39" s="24" t="n">
        <v>1</v>
      </c>
      <c r="Y39" s="24" t="n">
        <v>0.733</v>
      </c>
      <c r="Z39" s="24" t="n">
        <v>0.133</v>
      </c>
      <c r="AA39" s="24" t="n">
        <v>0.705</v>
      </c>
      <c r="AB39" s="24" t="n">
        <v>0.774</v>
      </c>
      <c r="AC39" s="24" t="n">
        <v>1</v>
      </c>
      <c r="AD39" s="18" t="inlineStr">
        <is>
          <t>業績</t>
        </is>
      </c>
      <c r="AE39" s="25" t="inlineStr">
        <is>
          <t>8/8 Q2利潤升16% → 8/15加碼Alphabet$170億</t>
        </is>
      </c>
      <c r="AF39" s="18" t="inlineStr">
        <is>
          <t>中</t>
        </is>
      </c>
      <c r="AG39" s="18" t="inlineStr"/>
      <c r="AH39" s="18" t="inlineStr">
        <is>
          <t>▼ 25</t>
        </is>
      </c>
    </row>
    <row r="40">
      <c r="A40" s="10" t="n">
        <v>39</v>
      </c>
      <c r="B40" s="11" t="inlineStr">
        <is>
          <t>SLDE</t>
        </is>
      </c>
      <c r="C40" s="10" t="inlineStr">
        <is>
          <t>Slide Insurance Holdings Inc.</t>
        </is>
      </c>
      <c r="D40" s="10" t="inlineStr">
        <is>
          <t>NASDAQ</t>
        </is>
      </c>
      <c r="E40" s="10" t="inlineStr">
        <is>
          <t>金融</t>
        </is>
      </c>
      <c r="F40" s="10" t="inlineStr">
        <is>
          <t>Property-Casualty Insurers</t>
        </is>
      </c>
      <c r="G40" s="12" t="n">
        <v>29.2</v>
      </c>
      <c r="H40" s="10" t="inlineStr">
        <is>
          <t>中型</t>
        </is>
      </c>
      <c r="I40" s="13" t="n">
        <v>25</v>
      </c>
      <c r="J40" s="13" t="n">
        <v>25.67</v>
      </c>
      <c r="K40" s="14">
        <f>IF(J40="","",I40/J40-1)</f>
        <v/>
      </c>
      <c r="L40" s="13" t="n">
        <v>25.12</v>
      </c>
      <c r="M40" s="14">
        <f>I40/L40-1</f>
        <v/>
      </c>
      <c r="N40" s="10" t="n">
        <v>4</v>
      </c>
      <c r="O40" s="15" t="n">
        <v>27.1</v>
      </c>
      <c r="P40" s="15">
        <f>100*(0.25*W40+0.1*X40+0.15*Y40+0.15*Z40+0.1*AA40+0.1*AB40+0.15*AC40)</f>
        <v/>
      </c>
      <c r="Q40" s="15">
        <f>0.5*O40+0.5*P40</f>
        <v/>
      </c>
      <c r="R40" s="15">
        <f>0.4*O40+0.4*P40+0.2*(N40/4*100)</f>
        <v/>
      </c>
      <c r="S40" s="10" t="inlineStr">
        <is>
          <t>2026-09-10</t>
        </is>
      </c>
      <c r="T40" s="13" t="n">
        <v>24.45</v>
      </c>
      <c r="U40" s="14">
        <f>IF(T40="","",I40/T40-1)</f>
        <v/>
      </c>
      <c r="V40" s="10" t="n">
        <v>5</v>
      </c>
      <c r="W40" s="16" t="n">
        <v>1</v>
      </c>
      <c r="X40" s="16" t="n">
        <v>1</v>
      </c>
      <c r="Y40" s="16" t="n">
        <v>0.333</v>
      </c>
      <c r="Z40" s="16" t="n">
        <v>0.718</v>
      </c>
      <c r="AA40" s="16" t="n">
        <v>0.9360000000000001</v>
      </c>
      <c r="AB40" s="16" t="n">
        <v>0.944</v>
      </c>
      <c r="AC40" s="16" t="n">
        <v>1</v>
      </c>
      <c r="AD40" s="10" t="inlineStr">
        <is>
          <t>業績</t>
        </is>
      </c>
      <c r="AE40" s="17" t="inlineStr">
        <is>
          <t>7/28 Q2純利升92%、EPS $1.06勝預期兼首次派息 → 大行升目標價至$26-28</t>
        </is>
      </c>
      <c r="AF40" s="10" t="inlineStr">
        <is>
          <t>中</t>
        </is>
      </c>
      <c r="AG40" s="10" t="inlineStr"/>
      <c r="AH40" s="10" t="inlineStr">
        <is>
          <t>新上榜</t>
        </is>
      </c>
    </row>
    <row r="41">
      <c r="A41" s="18" t="n">
        <v>40</v>
      </c>
      <c r="B41" s="19" t="inlineStr">
        <is>
          <t>NAKA</t>
        </is>
      </c>
      <c r="C41" s="18" t="inlineStr">
        <is>
          <t>Nakamoto Inc.</t>
        </is>
      </c>
      <c r="D41" s="18" t="inlineStr">
        <is>
          <t>NASDAQ</t>
        </is>
      </c>
      <c r="E41" s="18" t="inlineStr">
        <is>
          <t>醫療保健</t>
        </is>
      </c>
      <c r="F41" s="18" t="inlineStr">
        <is>
          <t>Medical/Nursing Services</t>
        </is>
      </c>
      <c r="G41" s="20" t="n">
        <v>1.52</v>
      </c>
      <c r="H41" s="18" t="inlineStr">
        <is>
          <t>小型</t>
        </is>
      </c>
      <c r="I41" s="21" t="n">
        <v>8.5</v>
      </c>
      <c r="J41" s="21" t="n">
        <v>8.199999999999999</v>
      </c>
      <c r="K41" s="22">
        <f>IF(J41="","",I41/J41-1)</f>
        <v/>
      </c>
      <c r="L41" s="21" t="n">
        <v>8.1</v>
      </c>
      <c r="M41" s="22">
        <f>I41/L41-1</f>
        <v/>
      </c>
      <c r="N41" s="18" t="n">
        <v>3</v>
      </c>
      <c r="O41" s="23" t="n">
        <v>44.2</v>
      </c>
      <c r="P41" s="23">
        <f>100*(0.25*W41+0.1*X41+0.15*Y41+0.15*Z41+0.1*AA41+0.1*AB41+0.15*AC41)</f>
        <v/>
      </c>
      <c r="Q41" s="23">
        <f>0.5*O41+0.5*P41</f>
        <v/>
      </c>
      <c r="R41" s="23">
        <f>0.4*O41+0.4*P41+0.2*(N41/4*100)</f>
        <v/>
      </c>
      <c r="S41" s="18" t="inlineStr">
        <is>
          <t>2026-09-10</t>
        </is>
      </c>
      <c r="T41" s="21" t="n">
        <v>7.76</v>
      </c>
      <c r="U41" s="22">
        <f>IF(T41="","",I41/T41-1)</f>
        <v/>
      </c>
      <c r="V41" s="18" t="n">
        <v>4</v>
      </c>
      <c r="W41" s="24" t="n">
        <v>1</v>
      </c>
      <c r="X41" s="24" t="n">
        <v>1</v>
      </c>
      <c r="Y41" s="24" t="n">
        <v>0.333</v>
      </c>
      <c r="Z41" s="24" t="n">
        <v>0.612</v>
      </c>
      <c r="AA41" s="24" t="n">
        <v>0.585</v>
      </c>
      <c r="AB41" s="24" t="n">
        <v>0.996</v>
      </c>
      <c r="AC41" s="24" t="n">
        <v>1</v>
      </c>
      <c r="AD41" s="18" t="inlineStr">
        <is>
          <t>無</t>
        </is>
      </c>
      <c r="AE41" s="25" t="inlineStr">
        <is>
          <t>無個股催化 · 隨大市／板塊回升</t>
        </is>
      </c>
      <c r="AF41" s="18" t="inlineStr">
        <is>
          <t>中</t>
        </is>
      </c>
      <c r="AG41" s="18" t="inlineStr"/>
      <c r="AH41" s="18" t="inlineStr">
        <is>
          <t>▲ 11</t>
        </is>
      </c>
    </row>
    <row r="42">
      <c r="A42" s="10" t="n">
        <v>41</v>
      </c>
      <c r="B42" s="11" t="inlineStr">
        <is>
          <t>BRK/A</t>
        </is>
      </c>
      <c r="C42" s="10" t="inlineStr">
        <is>
          <t>Berkshire Hathaway Inc.</t>
        </is>
      </c>
      <c r="D42" s="10" t="inlineStr">
        <is>
          <t>NYSE</t>
        </is>
      </c>
      <c r="E42" s="10" t="inlineStr">
        <is>
          <t>Uncategorized</t>
        </is>
      </c>
      <c r="F42" s="10" t="inlineStr">
        <is>
          <t>Uncategorized</t>
        </is>
      </c>
      <c r="G42" s="12" t="n">
        <v>11236.54</v>
      </c>
      <c r="H42" s="10" t="inlineStr">
        <is>
          <t>大型</t>
        </is>
      </c>
      <c r="I42" s="13" t="n">
        <v>763935.95</v>
      </c>
      <c r="J42" s="13" t="n">
        <v>780297.1899999999</v>
      </c>
      <c r="K42" s="14">
        <f>IF(J42="","",I42/J42-1)</f>
        <v/>
      </c>
      <c r="L42" s="13" t="n">
        <v>765637.72</v>
      </c>
      <c r="M42" s="14">
        <f>I42/L42-1</f>
        <v/>
      </c>
      <c r="N42" s="10" t="n">
        <v>2</v>
      </c>
      <c r="O42" s="15" t="n">
        <v>53.6</v>
      </c>
      <c r="P42" s="15">
        <f>100*(0.25*W42+0.1*X42+0.15*Y42+0.15*Z42+0.1*AA42+0.1*AB42+0.15*AC42)</f>
        <v/>
      </c>
      <c r="Q42" s="15">
        <f>0.5*O42+0.5*P42</f>
        <v/>
      </c>
      <c r="R42" s="15">
        <f>0.4*O42+0.4*P42+0.2*(N42/4*100)</f>
        <v/>
      </c>
      <c r="S42" s="10" t="inlineStr">
        <is>
          <t>2026-09-08</t>
        </is>
      </c>
      <c r="T42" s="13" t="n">
        <v>757791</v>
      </c>
      <c r="U42" s="14">
        <f>IF(T42="","",I42/T42-1)</f>
        <v/>
      </c>
      <c r="V42" s="10" t="n">
        <v>4</v>
      </c>
      <c r="W42" s="16" t="n">
        <v>1</v>
      </c>
      <c r="X42" s="16" t="n">
        <v>1</v>
      </c>
      <c r="Y42" s="16" t="n">
        <v>0.467</v>
      </c>
      <c r="Z42" s="16" t="n">
        <v>0.61</v>
      </c>
      <c r="AA42" s="16" t="n">
        <v>0.734</v>
      </c>
      <c r="AB42" s="16" t="n">
        <v>0.779</v>
      </c>
      <c r="AC42" s="16" t="n">
        <v>1</v>
      </c>
      <c r="AD42" s="10" t="inlineStr">
        <is>
          <t>業績</t>
        </is>
      </c>
      <c r="AE42" s="17" t="inlineStr">
        <is>
          <t>8/8 Q2 EPS $6.02勝預期、季內回購$45億 → 下一交易日8/10升1.76%</t>
        </is>
      </c>
      <c r="AF42" s="10" t="inlineStr">
        <is>
          <t>中</t>
        </is>
      </c>
      <c r="AG42" s="10" t="inlineStr"/>
      <c r="AH42" s="10" t="inlineStr">
        <is>
          <t>新上榜</t>
        </is>
      </c>
    </row>
    <row r="43">
      <c r="A43" s="18" t="n">
        <v>42</v>
      </c>
      <c r="B43" s="19" t="inlineStr">
        <is>
          <t>SGP</t>
        </is>
      </c>
      <c r="C43" s="18" t="inlineStr">
        <is>
          <t>SpyGlass Pharma Inc.</t>
        </is>
      </c>
      <c r="D43" s="18" t="inlineStr">
        <is>
          <t>NASDAQ</t>
        </is>
      </c>
      <c r="E43" s="18" t="inlineStr">
        <is>
          <t>醫療保健</t>
        </is>
      </c>
      <c r="F43" s="18" t="inlineStr">
        <is>
          <t>Medical/Dental Instruments</t>
        </is>
      </c>
      <c r="G43" s="20" t="n">
        <v>9.81</v>
      </c>
      <c r="H43" s="18" t="inlineStr">
        <is>
          <t>小型</t>
        </is>
      </c>
      <c r="I43" s="21" t="n">
        <v>29.33</v>
      </c>
      <c r="J43" s="21" t="n">
        <v>28.6</v>
      </c>
      <c r="K43" s="22">
        <f>IF(J43="","",I43/J43-1)</f>
        <v/>
      </c>
      <c r="L43" s="21" t="n">
        <v>28.47</v>
      </c>
      <c r="M43" s="22">
        <f>I43/L43-1</f>
        <v/>
      </c>
      <c r="N43" s="18" t="n">
        <v>3</v>
      </c>
      <c r="O43" s="23" t="n">
        <v>38.4</v>
      </c>
      <c r="P43" s="23">
        <f>100*(0.25*W43+0.1*X43+0.15*Y43+0.15*Z43+0.1*AA43+0.1*AB43+0.15*AC43)</f>
        <v/>
      </c>
      <c r="Q43" s="23">
        <f>0.5*O43+0.5*P43</f>
        <v/>
      </c>
      <c r="R43" s="23">
        <f>0.4*O43+0.4*P43+0.2*(N43/4*100)</f>
        <v/>
      </c>
      <c r="S43" s="18" t="inlineStr">
        <is>
          <t>2026-09-10</t>
        </is>
      </c>
      <c r="T43" s="21" t="n">
        <v>27.31</v>
      </c>
      <c r="U43" s="22">
        <f>IF(T43="","",I43/T43-1)</f>
        <v/>
      </c>
      <c r="V43" s="18" t="n">
        <v>3</v>
      </c>
      <c r="W43" s="24" t="n">
        <v>1</v>
      </c>
      <c r="X43" s="24" t="n">
        <v>1</v>
      </c>
      <c r="Y43" s="24" t="n">
        <v>0.333</v>
      </c>
      <c r="Z43" s="24" t="n">
        <v>0.888</v>
      </c>
      <c r="AA43" s="24" t="n">
        <v>0.588</v>
      </c>
      <c r="AB43" s="24" t="n">
        <v>0.951</v>
      </c>
      <c r="AC43" s="24" t="n">
        <v>1</v>
      </c>
      <c r="AD43" s="18" t="inlineStr">
        <is>
          <t>評級</t>
        </is>
      </c>
      <c r="AE43" s="25" t="inlineStr">
        <is>
          <t>8/14 Raymond James首覆蓋跑贏大市，目標$39</t>
        </is>
      </c>
      <c r="AF43" s="18" t="inlineStr">
        <is>
          <t>中</t>
        </is>
      </c>
      <c r="AG43" s="18" t="inlineStr"/>
      <c r="AH43" s="18" t="inlineStr">
        <is>
          <t>▲ 14</t>
        </is>
      </c>
    </row>
    <row r="44">
      <c r="A44" s="18" t="n">
        <v>43</v>
      </c>
      <c r="B44" s="19" t="inlineStr">
        <is>
          <t>TWLO</t>
        </is>
      </c>
      <c r="C44" s="18" t="inlineStr">
        <is>
          <t>Twilio Inc. Class A</t>
        </is>
      </c>
      <c r="D44" s="18" t="inlineStr">
        <is>
          <t>NYSE</t>
        </is>
      </c>
      <c r="E44" s="18" t="inlineStr">
        <is>
          <t>科技</t>
        </is>
      </c>
      <c r="F44" s="18" t="inlineStr">
        <is>
          <t>Computer Software: Prepackaged Software</t>
        </is>
      </c>
      <c r="G44" s="20" t="n">
        <v>378.16</v>
      </c>
      <c r="H44" s="18" t="inlineStr">
        <is>
          <t>大型</t>
        </is>
      </c>
      <c r="I44" s="21" t="n">
        <v>246.24</v>
      </c>
      <c r="J44" s="21" t="n">
        <v>238.88</v>
      </c>
      <c r="K44" s="22">
        <f>IF(J44="","",I44/J44-1)</f>
        <v/>
      </c>
      <c r="L44" s="21" t="n">
        <v>234.42</v>
      </c>
      <c r="M44" s="22">
        <f>I44/L44-1</f>
        <v/>
      </c>
      <c r="N44" s="18" t="n">
        <v>1</v>
      </c>
      <c r="O44" s="23" t="n">
        <v>65.90000000000001</v>
      </c>
      <c r="P44" s="23">
        <f>100*(0.25*W44+0.1*X44+0.15*Y44+0.15*Z44+0.1*AA44+0.1*AB44+0.15*AC44)</f>
        <v/>
      </c>
      <c r="Q44" s="23">
        <f>0.5*O44+0.5*P44</f>
        <v/>
      </c>
      <c r="R44" s="23">
        <f>0.4*O44+0.4*P44+0.2*(N44/4*100)</f>
        <v/>
      </c>
      <c r="S44" s="18" t="inlineStr">
        <is>
          <t>2026-09-08</t>
        </is>
      </c>
      <c r="T44" s="21" t="n">
        <v>225.89</v>
      </c>
      <c r="U44" s="22">
        <f>IF(T44="","",I44/T44-1)</f>
        <v/>
      </c>
      <c r="V44" s="18" t="n">
        <v>5</v>
      </c>
      <c r="W44" s="24" t="n">
        <v>1</v>
      </c>
      <c r="X44" s="24" t="n">
        <v>1</v>
      </c>
      <c r="Y44" s="24" t="n">
        <v>0.467</v>
      </c>
      <c r="Z44" s="24" t="n">
        <v>0.508</v>
      </c>
      <c r="AA44" s="24" t="n">
        <v>0.661</v>
      </c>
      <c r="AB44" s="24" t="n">
        <v>0.881</v>
      </c>
      <c r="AC44" s="24" t="n">
        <v>1</v>
      </c>
      <c r="AD44" s="18" t="inlineStr">
        <is>
          <t>業績</t>
        </is>
      </c>
      <c r="AE44" s="25" t="inlineStr">
        <is>
          <t>8/7 Q2收入升22%、EPS勝預期、上調指引 → 單日飆24.9%</t>
        </is>
      </c>
      <c r="AF44" s="18" t="inlineStr">
        <is>
          <t>高</t>
        </is>
      </c>
      <c r="AG44" s="18" t="inlineStr"/>
      <c r="AH44" s="18" t="inlineStr">
        <is>
          <t>▼ 8</t>
        </is>
      </c>
    </row>
    <row r="45">
      <c r="A45" s="10" t="n">
        <v>44</v>
      </c>
      <c r="B45" s="11" t="inlineStr">
        <is>
          <t>OHI</t>
        </is>
      </c>
      <c r="C45" s="10" t="inlineStr">
        <is>
          <t>Omega Healthcare Investors Inc.</t>
        </is>
      </c>
      <c r="D45" s="10" t="inlineStr">
        <is>
          <t>NYSE</t>
        </is>
      </c>
      <c r="E45" s="10" t="inlineStr">
        <is>
          <t>房地產</t>
        </is>
      </c>
      <c r="F45" s="10" t="inlineStr">
        <is>
          <t>Real Estate Investment Trusts</t>
        </is>
      </c>
      <c r="G45" s="12" t="n">
        <v>143.54</v>
      </c>
      <c r="H45" s="10" t="inlineStr">
        <is>
          <t>大型</t>
        </is>
      </c>
      <c r="I45" s="13" t="n">
        <v>47.37</v>
      </c>
      <c r="J45" s="13" t="n">
        <v>46.91</v>
      </c>
      <c r="K45" s="14">
        <f>IF(J45="","",I45/J45-1)</f>
        <v/>
      </c>
      <c r="L45" s="13" t="n">
        <v>47.03</v>
      </c>
      <c r="M45" s="14">
        <f>I45/L45-1</f>
        <v/>
      </c>
      <c r="N45" s="10" t="n">
        <v>1</v>
      </c>
      <c r="O45" s="15" t="n">
        <v>66.2</v>
      </c>
      <c r="P45" s="15">
        <f>100*(0.25*W45+0.1*X45+0.15*Y45+0.15*Z45+0.1*AA45+0.1*AB45+0.15*AC45)</f>
        <v/>
      </c>
      <c r="Q45" s="15">
        <f>0.5*O45+0.5*P45</f>
        <v/>
      </c>
      <c r="R45" s="15">
        <f>0.4*O45+0.4*P45+0.2*(N45/4*100)</f>
        <v/>
      </c>
      <c r="S45" s="10" t="inlineStr">
        <is>
          <t>2026-09-04</t>
        </is>
      </c>
      <c r="T45" s="13" t="n">
        <v>46.38</v>
      </c>
      <c r="U45" s="14">
        <f>IF(T45="","",I45/T45-1)</f>
        <v/>
      </c>
      <c r="V45" s="10" t="n">
        <v>3</v>
      </c>
      <c r="W45" s="16" t="n">
        <v>1</v>
      </c>
      <c r="X45" s="16" t="n">
        <v>1</v>
      </c>
      <c r="Y45" s="16" t="n">
        <v>0.533</v>
      </c>
      <c r="Z45" s="16" t="n">
        <v>0.879</v>
      </c>
      <c r="AA45" s="16" t="n">
        <v>0.956</v>
      </c>
      <c r="AB45" s="16" t="n">
        <v>0.801</v>
      </c>
      <c r="AC45" s="16" t="n">
        <v>0.4</v>
      </c>
      <c r="AD45" s="10" t="inlineStr">
        <is>
          <t>大單</t>
        </is>
      </c>
      <c r="AE45" s="17" t="inlineStr">
        <is>
          <t>9/1 PACS接手32間佛州護理院、向Omega承租 → 單日+2.34%</t>
        </is>
      </c>
      <c r="AF45" s="10" t="inlineStr">
        <is>
          <t>高</t>
        </is>
      </c>
      <c r="AG45" s="10" t="inlineStr"/>
      <c r="AH45" s="10" t="inlineStr">
        <is>
          <t>新上榜</t>
        </is>
      </c>
    </row>
    <row r="46">
      <c r="A46" s="18" t="n">
        <v>45</v>
      </c>
      <c r="B46" s="19" t="inlineStr">
        <is>
          <t>COKE</t>
        </is>
      </c>
      <c r="C46" s="18" t="inlineStr">
        <is>
          <t>Coca-Cola Consolidated Inc.</t>
        </is>
      </c>
      <c r="D46" s="18" t="inlineStr">
        <is>
          <t>NASDAQ</t>
        </is>
      </c>
      <c r="E46" s="18" t="inlineStr">
        <is>
          <t>必需消費</t>
        </is>
      </c>
      <c r="F46" s="18" t="inlineStr">
        <is>
          <t>Beverages (Production/Distribution)</t>
        </is>
      </c>
      <c r="G46" s="20" t="n">
        <v>132.44</v>
      </c>
      <c r="H46" s="18" t="inlineStr">
        <is>
          <t>大型</t>
        </is>
      </c>
      <c r="I46" s="21" t="n">
        <v>198.97</v>
      </c>
      <c r="J46" s="21" t="n">
        <v>198.67</v>
      </c>
      <c r="K46" s="22">
        <f>IF(J46="","",I46/J46-1)</f>
        <v/>
      </c>
      <c r="L46" s="21" t="n">
        <v>194.24</v>
      </c>
      <c r="M46" s="22">
        <f>I46/L46-1</f>
        <v/>
      </c>
      <c r="N46" s="18" t="n">
        <v>3</v>
      </c>
      <c r="O46" s="23" t="n">
        <v>42.7</v>
      </c>
      <c r="P46" s="23">
        <f>100*(0.25*W46+0.1*X46+0.15*Y46+0.15*Z46+0.1*AA46+0.1*AB46+0.15*AC46)</f>
        <v/>
      </c>
      <c r="Q46" s="23">
        <f>0.5*O46+0.5*P46</f>
        <v/>
      </c>
      <c r="R46" s="23">
        <f>0.4*O46+0.4*P46+0.2*(N46/4*100)</f>
        <v/>
      </c>
      <c r="S46" s="18" t="inlineStr">
        <is>
          <t>2026-09-08</t>
        </is>
      </c>
      <c r="T46" s="21" t="n">
        <v>188.28</v>
      </c>
      <c r="U46" s="22">
        <f>IF(T46="","",I46/T46-1)</f>
        <v/>
      </c>
      <c r="V46" s="18" t="n">
        <v>5</v>
      </c>
      <c r="W46" s="24" t="n">
        <v>1</v>
      </c>
      <c r="X46" s="24" t="n">
        <v>1</v>
      </c>
      <c r="Y46" s="24" t="n">
        <v>0.467</v>
      </c>
      <c r="Z46" s="24" t="n">
        <v>0.617</v>
      </c>
      <c r="AA46" s="24" t="n">
        <v>0.076</v>
      </c>
      <c r="AB46" s="24" t="n">
        <v>0.872</v>
      </c>
      <c r="AC46" s="24" t="n">
        <v>1</v>
      </c>
      <c r="AD46" s="18" t="inlineStr">
        <is>
          <t>業績</t>
        </is>
      </c>
      <c r="AE46" s="25" t="inlineStr">
        <is>
          <t>8/5 Q2收入20.5億、EPS $2.39 → 事件日+2.1%</t>
        </is>
      </c>
      <c r="AF46" s="18" t="inlineStr">
        <is>
          <t>中</t>
        </is>
      </c>
      <c r="AG46" s="18" t="inlineStr"/>
      <c r="AH46" s="18" t="inlineStr">
        <is>
          <t>▼ 1</t>
        </is>
      </c>
    </row>
    <row r="47">
      <c r="A47" s="10" t="n">
        <v>46</v>
      </c>
      <c r="B47" s="11" t="inlineStr">
        <is>
          <t>SMCI</t>
        </is>
      </c>
      <c r="C47" s="10" t="inlineStr">
        <is>
          <t>Super Micro Computer Inc.</t>
        </is>
      </c>
      <c r="D47" s="10" t="inlineStr">
        <is>
          <t>NASDAQ</t>
        </is>
      </c>
      <c r="E47" s="10" t="inlineStr">
        <is>
          <t>科技</t>
        </is>
      </c>
      <c r="F47" s="10" t="inlineStr">
        <is>
          <t>Computer Manufacturing</t>
        </is>
      </c>
      <c r="G47" s="12" t="n">
        <v>265.09</v>
      </c>
      <c r="H47" s="10" t="inlineStr">
        <is>
          <t>大型</t>
        </is>
      </c>
      <c r="I47" s="13" t="n">
        <v>40.35</v>
      </c>
      <c r="J47" s="13" t="n">
        <v>36.85</v>
      </c>
      <c r="K47" s="14">
        <f>IF(J47="","",I47/J47-1)</f>
        <v/>
      </c>
      <c r="L47" s="13" t="n">
        <v>38.37</v>
      </c>
      <c r="M47" s="14">
        <f>I47/L47-1</f>
        <v/>
      </c>
      <c r="N47" s="10" t="n">
        <v>2</v>
      </c>
      <c r="O47" s="15" t="n">
        <v>47.2</v>
      </c>
      <c r="P47" s="15">
        <f>100*(0.25*W47+0.1*X47+0.15*Y47+0.15*Z47+0.1*AA47+0.1*AB47+0.15*AC47)</f>
        <v/>
      </c>
      <c r="Q47" s="15">
        <f>0.5*O47+0.5*P47</f>
        <v/>
      </c>
      <c r="R47" s="15">
        <f>0.4*O47+0.4*P47+0.2*(N47/4*100)</f>
        <v/>
      </c>
      <c r="S47" s="10" t="inlineStr">
        <is>
          <t>2026-09-01</t>
        </is>
      </c>
      <c r="T47" s="13" t="n">
        <v>36.71</v>
      </c>
      <c r="U47" s="14">
        <f>IF(T47="","",I47/T47-1)</f>
        <v/>
      </c>
      <c r="V47" s="10" t="n">
        <v>4</v>
      </c>
      <c r="W47" s="16" t="n">
        <v>1</v>
      </c>
      <c r="X47" s="16" t="n">
        <v>1</v>
      </c>
      <c r="Y47" s="16" t="n">
        <v>0.183</v>
      </c>
      <c r="Z47" s="16" t="n">
        <v>0.928</v>
      </c>
      <c r="AA47" s="16" t="n">
        <v>0.795</v>
      </c>
      <c r="AB47" s="16" t="n">
        <v>0.906</v>
      </c>
      <c r="AC47" s="16" t="n">
        <v>1</v>
      </c>
      <c r="AD47" s="10" t="inlineStr">
        <is>
          <t>指引</t>
        </is>
      </c>
      <c r="AE47" s="17" t="inlineStr">
        <is>
          <t>7/21 毛利指引倍升 → 翌日+19.8%</t>
        </is>
      </c>
      <c r="AF47" s="10" t="inlineStr">
        <is>
          <t>高</t>
        </is>
      </c>
      <c r="AG47" s="10" t="inlineStr"/>
      <c r="AH47" s="10" t="inlineStr">
        <is>
          <t>新上榜</t>
        </is>
      </c>
    </row>
    <row r="48">
      <c r="A48" s="18" t="n">
        <v>47</v>
      </c>
      <c r="B48" s="19" t="inlineStr">
        <is>
          <t>EPAM</t>
        </is>
      </c>
      <c r="C48" s="18" t="inlineStr">
        <is>
          <t>EPAM Systems Inc.</t>
        </is>
      </c>
      <c r="D48" s="18" t="inlineStr">
        <is>
          <t>NYSE</t>
        </is>
      </c>
      <c r="E48" s="18" t="inlineStr">
        <is>
          <t>科技</t>
        </is>
      </c>
      <c r="F48" s="18" t="inlineStr">
        <is>
          <t>EDP Services</t>
        </is>
      </c>
      <c r="G48" s="20" t="n">
        <v>60.41</v>
      </c>
      <c r="H48" s="18" t="inlineStr">
        <is>
          <t>中型</t>
        </is>
      </c>
      <c r="I48" s="21" t="n">
        <v>117.1</v>
      </c>
      <c r="J48" s="21" t="n">
        <v>117.17</v>
      </c>
      <c r="K48" s="22">
        <f>IF(J48="","",I48/J48-1)</f>
        <v/>
      </c>
      <c r="L48" s="21" t="n">
        <v>118.07</v>
      </c>
      <c r="M48" s="22">
        <f>I48/L48-1</f>
        <v/>
      </c>
      <c r="N48" s="18" t="n">
        <v>1</v>
      </c>
      <c r="O48" s="23" t="n">
        <v>69.59999999999999</v>
      </c>
      <c r="P48" s="23">
        <f>100*(0.25*W48+0.1*X48+0.15*Y48+0.15*Z48+0.1*AA48+0.1*AB48+0.15*AC48)</f>
        <v/>
      </c>
      <c r="Q48" s="23">
        <f>0.5*O48+0.5*P48</f>
        <v/>
      </c>
      <c r="R48" s="23">
        <f>0.4*O48+0.4*P48+0.2*(N48/4*100)</f>
        <v/>
      </c>
      <c r="S48" s="18" t="inlineStr">
        <is>
          <t>2026-09-10</t>
        </is>
      </c>
      <c r="T48" s="21" t="n">
        <v>114.52</v>
      </c>
      <c r="U48" s="22">
        <f>IF(T48="","",I48/T48-1)</f>
        <v/>
      </c>
      <c r="V48" s="18" t="n">
        <v>5</v>
      </c>
      <c r="W48" s="24" t="n">
        <v>1</v>
      </c>
      <c r="X48" s="24" t="n">
        <v>0.481</v>
      </c>
      <c r="Y48" s="24" t="n">
        <v>0.333</v>
      </c>
      <c r="Z48" s="24" t="n">
        <v>0.548</v>
      </c>
      <c r="AA48" s="24" t="n">
        <v>0.175</v>
      </c>
      <c r="AB48" s="24" t="n">
        <v>0.964</v>
      </c>
      <c r="AC48" s="24" t="n">
        <v>1</v>
      </c>
      <c r="AD48" s="18" t="inlineStr">
        <is>
          <t>AI</t>
        </is>
      </c>
      <c r="AE48" s="25" t="inlineStr">
        <is>
          <t>未有可考日期：AI業務重估、成OpenAI夥伴兼回購</t>
        </is>
      </c>
      <c r="AF48" s="18" t="inlineStr">
        <is>
          <t>高</t>
        </is>
      </c>
      <c r="AG48" s="18" t="inlineStr"/>
      <c r="AH48" s="18" t="inlineStr">
        <is>
          <t>▼ 21</t>
        </is>
      </c>
    </row>
    <row r="49">
      <c r="A49" s="10" t="n">
        <v>48</v>
      </c>
      <c r="B49" s="11" t="inlineStr">
        <is>
          <t>KOPN</t>
        </is>
      </c>
      <c r="C49" s="10" t="inlineStr">
        <is>
          <t>Kopin Corporation</t>
        </is>
      </c>
      <c r="D49" s="10" t="inlineStr">
        <is>
          <t>NASDAQ</t>
        </is>
      </c>
      <c r="E49" s="10" t="inlineStr">
        <is>
          <t>科技</t>
        </is>
      </c>
      <c r="F49" s="10" t="inlineStr">
        <is>
          <t>Semiconductors</t>
        </is>
      </c>
      <c r="G49" s="12" t="n">
        <v>8.789999999999999</v>
      </c>
      <c r="H49" s="10" t="inlineStr">
        <is>
          <t>小型</t>
        </is>
      </c>
      <c r="I49" s="13" t="n">
        <v>4.73</v>
      </c>
      <c r="J49" s="13" t="n">
        <v>4.34</v>
      </c>
      <c r="K49" s="14">
        <f>IF(J49="","",I49/J49-1)</f>
        <v/>
      </c>
      <c r="L49" s="13" t="n">
        <v>4.41</v>
      </c>
      <c r="M49" s="14">
        <f>I49/L49-1</f>
        <v/>
      </c>
      <c r="N49" s="10" t="n">
        <v>1</v>
      </c>
      <c r="O49" s="15" t="n">
        <v>62.9</v>
      </c>
      <c r="P49" s="15">
        <f>100*(0.25*W49+0.1*X49+0.15*Y49+0.15*Z49+0.1*AA49+0.1*AB49+0.15*AC49)</f>
        <v/>
      </c>
      <c r="Q49" s="15">
        <f>0.5*O49+0.5*P49</f>
        <v/>
      </c>
      <c r="R49" s="15">
        <f>0.4*O49+0.4*P49+0.2*(N49/4*100)</f>
        <v/>
      </c>
      <c r="S49" s="10" t="inlineStr">
        <is>
          <t>2026-09-09</t>
        </is>
      </c>
      <c r="T49" s="13" t="n">
        <v>4.26</v>
      </c>
      <c r="U49" s="14">
        <f>IF(T49="","",I49/T49-1)</f>
        <v/>
      </c>
      <c r="V49" s="10" t="n">
        <v>3</v>
      </c>
      <c r="W49" s="16" t="n">
        <v>1</v>
      </c>
      <c r="X49" s="16" t="n">
        <v>1</v>
      </c>
      <c r="Y49" s="16" t="n">
        <v>0.4</v>
      </c>
      <c r="Z49" s="16" t="n">
        <v>0.513</v>
      </c>
      <c r="AA49" s="16" t="n">
        <v>0.827</v>
      </c>
      <c r="AB49" s="16" t="n">
        <v>0.405</v>
      </c>
      <c r="AC49" s="16" t="n">
        <v>1</v>
      </c>
      <c r="AD49" s="10" t="inlineStr">
        <is>
          <t>大單</t>
        </is>
      </c>
      <c r="AE49" s="17" t="inlineStr">
        <is>
          <t>8/11 Q2收入增51%勝預期、Fabric.AI $1,500萬訂單兼入股19.9% → 單日+23.52%</t>
        </is>
      </c>
      <c r="AF49" s="10" t="inlineStr">
        <is>
          <t>高</t>
        </is>
      </c>
      <c r="AG49" s="10" t="inlineStr"/>
      <c r="AH49" s="10" t="inlineStr">
        <is>
          <t>新上榜</t>
        </is>
      </c>
    </row>
    <row r="50">
      <c r="A50" s="18" t="n">
        <v>49</v>
      </c>
      <c r="B50" s="19" t="inlineStr">
        <is>
          <t>META</t>
        </is>
      </c>
      <c r="C50" s="18" t="inlineStr">
        <is>
          <t>Meta Platforms Inc. Class A</t>
        </is>
      </c>
      <c r="D50" s="18" t="inlineStr">
        <is>
          <t>NASDAQ</t>
        </is>
      </c>
      <c r="E50" s="18" t="inlineStr">
        <is>
          <t>通訊服務</t>
        </is>
      </c>
      <c r="F50" s="18" t="inlineStr">
        <is>
          <t>Computer Software: Programming Data Processing</t>
        </is>
      </c>
      <c r="G50" s="20" t="n">
        <v>17381.89</v>
      </c>
      <c r="H50" s="18" t="inlineStr">
        <is>
          <t>大型</t>
        </is>
      </c>
      <c r="I50" s="21" t="n">
        <v>682.3099999999999</v>
      </c>
      <c r="J50" s="21" t="n">
        <v>673.3099999999999</v>
      </c>
      <c r="K50" s="22">
        <f>IF(J50="","",I50/J50-1)</f>
        <v/>
      </c>
      <c r="L50" s="21" t="n">
        <v>647.85</v>
      </c>
      <c r="M50" s="22">
        <f>I50/L50-1</f>
        <v/>
      </c>
      <c r="N50" s="18" t="n">
        <v>2</v>
      </c>
      <c r="O50" s="23" t="n">
        <v>34.8</v>
      </c>
      <c r="P50" s="23">
        <f>100*(0.25*W50+0.1*X50+0.15*Y50+0.15*Z50+0.1*AA50+0.1*AB50+0.15*AC50)</f>
        <v/>
      </c>
      <c r="Q50" s="23">
        <f>0.5*O50+0.5*P50</f>
        <v/>
      </c>
      <c r="R50" s="23">
        <f>0.4*O50+0.4*P50+0.2*(N50/4*100)</f>
        <v/>
      </c>
      <c r="S50" s="18" t="inlineStr">
        <is>
          <t>2026-08-18</t>
        </is>
      </c>
      <c r="T50" s="21" t="n">
        <v>543.67</v>
      </c>
      <c r="U50" s="22">
        <f>IF(T50="","",I50/T50-1)</f>
        <v/>
      </c>
      <c r="V50" s="18" t="n">
        <v>2</v>
      </c>
      <c r="W50" s="24" t="n">
        <v>1</v>
      </c>
      <c r="X50" s="24" t="n">
        <v>1</v>
      </c>
      <c r="Y50" s="24" t="n">
        <v>1</v>
      </c>
      <c r="Z50" s="24" t="n">
        <v>0.701</v>
      </c>
      <c r="AA50" s="24" t="n">
        <v>0.57</v>
      </c>
      <c r="AB50" s="24" t="n">
        <v>0.979</v>
      </c>
      <c r="AC50" s="24" t="n">
        <v>1</v>
      </c>
      <c r="AD50" s="18" t="inlineStr">
        <is>
          <t>監管</t>
        </is>
      </c>
      <c r="AE50" s="25" t="inlineStr">
        <is>
          <t>8/26 和解青少年社媒訴訟 → Evercore目標價升至$860</t>
        </is>
      </c>
      <c r="AF50" s="18" t="inlineStr">
        <is>
          <t>高</t>
        </is>
      </c>
      <c r="AG50" s="18" t="inlineStr"/>
      <c r="AH50" s="18" t="inlineStr">
        <is>
          <t>▼ 3</t>
        </is>
      </c>
    </row>
    <row r="51">
      <c r="A51" s="10" t="n">
        <v>50</v>
      </c>
      <c r="B51" s="11" t="inlineStr">
        <is>
          <t>CRCT</t>
        </is>
      </c>
      <c r="C51" s="10" t="inlineStr">
        <is>
          <t>Cricut Inc. Class A</t>
        </is>
      </c>
      <c r="D51" s="10" t="inlineStr">
        <is>
          <t>NASDAQ</t>
        </is>
      </c>
      <c r="E51" s="10" t="inlineStr">
        <is>
          <t>科技</t>
        </is>
      </c>
      <c r="F51" s="10" t="inlineStr">
        <is>
          <t>Industrial Machinery/Components</t>
        </is>
      </c>
      <c r="G51" s="12" t="n">
        <v>11.96</v>
      </c>
      <c r="H51" s="10" t="inlineStr">
        <is>
          <t>小型</t>
        </is>
      </c>
      <c r="I51" s="13" t="n">
        <v>5.71</v>
      </c>
      <c r="J51" s="13" t="n">
        <v>5.59</v>
      </c>
      <c r="K51" s="14">
        <f>IF(J51="","",I51/J51-1)</f>
        <v/>
      </c>
      <c r="L51" s="13" t="n">
        <v>5.6</v>
      </c>
      <c r="M51" s="14">
        <f>I51/L51-1</f>
        <v/>
      </c>
      <c r="N51" s="10" t="n">
        <v>1</v>
      </c>
      <c r="O51" s="15" t="n">
        <v>80.40000000000001</v>
      </c>
      <c r="P51" s="15">
        <f>100*(0.25*W51+0.1*X51+0.15*Y51+0.15*Z51+0.1*AA51+0.1*AB51+0.15*AC51)</f>
        <v/>
      </c>
      <c r="Q51" s="15">
        <f>0.5*O51+0.5*P51</f>
        <v/>
      </c>
      <c r="R51" s="15">
        <f>0.4*O51+0.4*P51+0.2*(N51/4*100)</f>
        <v/>
      </c>
      <c r="S51" s="10" t="inlineStr">
        <is>
          <t>2026-09-09</t>
        </is>
      </c>
      <c r="T51" s="13" t="n">
        <v>5.43</v>
      </c>
      <c r="U51" s="14">
        <f>IF(T51="","",I51/T51-1)</f>
        <v/>
      </c>
      <c r="V51" s="10" t="n">
        <v>3</v>
      </c>
      <c r="W51" s="16" t="n">
        <v>0.357</v>
      </c>
      <c r="X51" s="16" t="n">
        <v>0.596</v>
      </c>
      <c r="Y51" s="16" t="n">
        <v>0.4</v>
      </c>
      <c r="Z51" s="16" t="n">
        <v>0.627</v>
      </c>
      <c r="AA51" s="16" t="n">
        <v>0.371</v>
      </c>
      <c r="AB51" s="16" t="n">
        <v>0.846</v>
      </c>
      <c r="AC51" s="16" t="n">
        <v>1</v>
      </c>
      <c r="AD51" s="10" t="inlineStr">
        <is>
          <t>業績</t>
        </is>
      </c>
      <c r="AE51" s="17" t="inlineStr">
        <is>
          <t>8/4 Q2 EPS $0.19遠勝預期$0.04、毛利率74.5% → 翌日8/5升22.87%</t>
        </is>
      </c>
      <c r="AF51" s="10" t="inlineStr">
        <is>
          <t>高</t>
        </is>
      </c>
      <c r="AG51" s="10" t="inlineStr"/>
      <c r="AH51" s="10" t="inlineStr">
        <is>
          <t>新上榜</t>
        </is>
      </c>
    </row>
    <row r="52">
      <c r="A52" s="18" t="n">
        <v>51</v>
      </c>
      <c r="B52" s="19" t="inlineStr">
        <is>
          <t>REPX</t>
        </is>
      </c>
      <c r="C52" s="18" t="inlineStr">
        <is>
          <t>Riley Exploration Permian Inc.</t>
        </is>
      </c>
      <c r="D52" s="18" t="inlineStr">
        <is>
          <t>AMEX</t>
        </is>
      </c>
      <c r="E52" s="18" t="inlineStr">
        <is>
          <t>能源</t>
        </is>
      </c>
      <c r="F52" s="18" t="inlineStr">
        <is>
          <t>Oil &amp; Gas Production</t>
        </is>
      </c>
      <c r="G52" s="20" t="n">
        <v>9.59</v>
      </c>
      <c r="H52" s="18" t="inlineStr">
        <is>
          <t>小型</t>
        </is>
      </c>
      <c r="I52" s="21" t="n">
        <v>43.31</v>
      </c>
      <c r="J52" s="21" t="n">
        <v>43.08</v>
      </c>
      <c r="K52" s="22">
        <f>IF(J52="","",I52/J52-1)</f>
        <v/>
      </c>
      <c r="L52" s="21" t="n">
        <v>43.12</v>
      </c>
      <c r="M52" s="22">
        <f>I52/L52-1</f>
        <v/>
      </c>
      <c r="N52" s="18" t="n">
        <v>3</v>
      </c>
      <c r="O52" s="23" t="n">
        <v>26.3</v>
      </c>
      <c r="P52" s="23">
        <f>100*(0.25*W52+0.1*X52+0.15*Y52+0.15*Z52+0.1*AA52+0.1*AB52+0.15*AC52)</f>
        <v/>
      </c>
      <c r="Q52" s="23">
        <f>0.5*O52+0.5*P52</f>
        <v/>
      </c>
      <c r="R52" s="23">
        <f>0.4*O52+0.4*P52+0.2*(N52/4*100)</f>
        <v/>
      </c>
      <c r="S52" s="18" t="inlineStr">
        <is>
          <t>2026-08-25</t>
        </is>
      </c>
      <c r="T52" s="21" t="n">
        <v>37.36</v>
      </c>
      <c r="U52" s="22">
        <f>IF(T52="","",I52/T52-1)</f>
        <v/>
      </c>
      <c r="V52" s="18" t="n">
        <v>4</v>
      </c>
      <c r="W52" s="24" t="n">
        <v>1</v>
      </c>
      <c r="X52" s="24" t="n">
        <v>1</v>
      </c>
      <c r="Y52" s="24" t="n">
        <v>1</v>
      </c>
      <c r="Z52" s="24" t="n">
        <v>0.165</v>
      </c>
      <c r="AA52" s="24" t="n">
        <v>0.857</v>
      </c>
      <c r="AB52" s="24" t="n">
        <v>0.956</v>
      </c>
      <c r="AC52" s="24" t="n">
        <v>1</v>
      </c>
      <c r="AD52" s="18" t="inlineStr">
        <is>
          <t>業績</t>
        </is>
      </c>
      <c r="AE52" s="25" t="inlineStr">
        <is>
          <t>8/6 Q2產量+41%兼上調指引，油價助攻</t>
        </is>
      </c>
      <c r="AF52" s="18" t="inlineStr">
        <is>
          <t>中</t>
        </is>
      </c>
      <c r="AG52" s="18" t="inlineStr"/>
      <c r="AH52" s="18" t="inlineStr">
        <is>
          <t>▲ 4</t>
        </is>
      </c>
    </row>
    <row r="53">
      <c r="A53" s="18" t="n">
        <v>52</v>
      </c>
      <c r="B53" s="19" t="inlineStr">
        <is>
          <t>OSPN</t>
        </is>
      </c>
      <c r="C53" s="18" t="inlineStr">
        <is>
          <t>OneSpan Inc.</t>
        </is>
      </c>
      <c r="D53" s="18" t="inlineStr">
        <is>
          <t>NASDAQ</t>
        </is>
      </c>
      <c r="E53" s="18" t="inlineStr">
        <is>
          <t>科技</t>
        </is>
      </c>
      <c r="F53" s="18" t="inlineStr">
        <is>
          <t>EDP Services</t>
        </is>
      </c>
      <c r="G53" s="20" t="n">
        <v>6.61</v>
      </c>
      <c r="H53" s="18" t="inlineStr">
        <is>
          <t>小型</t>
        </is>
      </c>
      <c r="I53" s="21" t="n">
        <v>17.95</v>
      </c>
      <c r="J53" s="21" t="n">
        <v>17.86</v>
      </c>
      <c r="K53" s="22">
        <f>IF(J53="","",I53/J53-1)</f>
        <v/>
      </c>
      <c r="L53" s="21" t="n">
        <v>17.02</v>
      </c>
      <c r="M53" s="22">
        <f>I53/L53-1</f>
        <v/>
      </c>
      <c r="N53" s="18" t="n">
        <v>3</v>
      </c>
      <c r="O53" s="23" t="n">
        <v>26.4</v>
      </c>
      <c r="P53" s="23">
        <f>100*(0.25*W53+0.1*X53+0.15*Y53+0.15*Z53+0.1*AA53+0.1*AB53+0.15*AC53)</f>
        <v/>
      </c>
      <c r="Q53" s="23">
        <f>0.5*O53+0.5*P53</f>
        <v/>
      </c>
      <c r="R53" s="23">
        <f>0.4*O53+0.4*P53+0.2*(N53/4*100)</f>
        <v/>
      </c>
      <c r="S53" s="18" t="inlineStr">
        <is>
          <t>2026-09-08</t>
        </is>
      </c>
      <c r="T53" s="21" t="n">
        <v>16.1</v>
      </c>
      <c r="U53" s="22">
        <f>IF(T53="","",I53/T53-1)</f>
        <v/>
      </c>
      <c r="V53" s="18" t="n">
        <v>4</v>
      </c>
      <c r="W53" s="24" t="n">
        <v>1</v>
      </c>
      <c r="X53" s="24" t="n">
        <v>1</v>
      </c>
      <c r="Y53" s="24" t="n">
        <v>0.467</v>
      </c>
      <c r="Z53" s="24" t="n">
        <v>0.977</v>
      </c>
      <c r="AA53" s="24" t="n">
        <v>0.389</v>
      </c>
      <c r="AB53" s="24" t="n">
        <v>0.951</v>
      </c>
      <c r="AC53" s="24" t="n">
        <v>1</v>
      </c>
      <c r="AD53" s="18" t="inlineStr">
        <is>
          <t>指引</t>
        </is>
      </c>
      <c r="AE53" s="25" t="inlineStr">
        <is>
          <t>8/4 Q2訂閱收入升11%、上調全年指引至$2.52億 → 網安板塊重估</t>
        </is>
      </c>
      <c r="AF53" s="18" t="inlineStr">
        <is>
          <t>中</t>
        </is>
      </c>
      <c r="AG53" s="18" t="inlineStr"/>
      <c r="AH53" s="18" t="inlineStr">
        <is>
          <t>▼ 7</t>
        </is>
      </c>
    </row>
    <row r="54">
      <c r="A54" s="10" t="n">
        <v>53</v>
      </c>
      <c r="B54" s="11" t="inlineStr">
        <is>
          <t>XHLD</t>
        </is>
      </c>
      <c r="C54" s="10" t="inlineStr">
        <is>
          <t>TEN Holdings Inc.</t>
        </is>
      </c>
      <c r="D54" s="10" t="inlineStr">
        <is>
          <t>NASDAQ</t>
        </is>
      </c>
      <c r="E54" s="10" t="inlineStr">
        <is>
          <t>非必需消費</t>
        </is>
      </c>
      <c r="F54" s="10" t="inlineStr">
        <is>
          <t>Business Services</t>
        </is>
      </c>
      <c r="G54" s="12" t="n">
        <v>1.16</v>
      </c>
      <c r="H54" s="10" t="inlineStr">
        <is>
          <t>小型</t>
        </is>
      </c>
      <c r="I54" s="13" t="n">
        <v>9.720000000000001</v>
      </c>
      <c r="J54" s="13" t="n">
        <v>9.65</v>
      </c>
      <c r="K54" s="14">
        <f>IF(J54="","",I54/J54-1)</f>
        <v/>
      </c>
      <c r="L54" s="13" t="n">
        <v>9.949999999999999</v>
      </c>
      <c r="M54" s="14">
        <f>I54/L54-1</f>
        <v/>
      </c>
      <c r="N54" s="10" t="n">
        <v>3</v>
      </c>
      <c r="O54" s="15" t="n">
        <v>68.8</v>
      </c>
      <c r="P54" s="15">
        <f>100*(0.25*W54+0.1*X54+0.15*Y54+0.15*Z54+0.1*AA54+0.1*AB54+0.15*AC54)</f>
        <v/>
      </c>
      <c r="Q54" s="15">
        <f>0.5*O54+0.5*P54</f>
        <v/>
      </c>
      <c r="R54" s="15">
        <f>0.4*O54+0.4*P54+0.2*(N54/4*100)</f>
        <v/>
      </c>
      <c r="S54" s="10" t="inlineStr">
        <is>
          <t>2026-09-14</t>
        </is>
      </c>
      <c r="T54" s="13" t="n">
        <v>8.92</v>
      </c>
      <c r="U54" s="14">
        <f>IF(T54="","",I54/T54-1)</f>
        <v/>
      </c>
      <c r="V54" s="10" t="n">
        <v>2</v>
      </c>
      <c r="W54" s="16" t="n">
        <v>0.133</v>
      </c>
      <c r="X54" s="16" t="n">
        <v>0.222</v>
      </c>
      <c r="Y54" s="16" t="n">
        <v>0.2</v>
      </c>
      <c r="Z54" s="16" t="n">
        <v>0.13</v>
      </c>
      <c r="AA54" s="16" t="n">
        <v>0.599</v>
      </c>
      <c r="AB54" s="16" t="n">
        <v>0.993</v>
      </c>
      <c r="AC54" s="16" t="n">
        <v>1</v>
      </c>
      <c r="AD54" s="10" t="inlineStr">
        <is>
          <t>回購</t>
        </is>
      </c>
      <c r="AE54" s="17" t="inlineStr">
        <is>
          <t>9/16 授權$200萬回購兼同GLSoft建策略技術關係 → 翌日僅升0.73%</t>
        </is>
      </c>
      <c r="AF54" s="10" t="inlineStr">
        <is>
          <t>中</t>
        </is>
      </c>
      <c r="AG54" s="10" t="inlineStr"/>
      <c r="AH54" s="10" t="inlineStr">
        <is>
          <t>新上榜</t>
        </is>
      </c>
    </row>
    <row r="55">
      <c r="A55" s="18" t="n">
        <v>54</v>
      </c>
      <c r="B55" s="19" t="inlineStr">
        <is>
          <t>CNXN</t>
        </is>
      </c>
      <c r="C55" s="18" t="inlineStr">
        <is>
          <t>PC Connection Inc.</t>
        </is>
      </c>
      <c r="D55" s="18" t="inlineStr">
        <is>
          <t>NASDAQ</t>
        </is>
      </c>
      <c r="E55" s="18" t="inlineStr">
        <is>
          <t>非必需消費</t>
        </is>
      </c>
      <c r="F55" s="18" t="inlineStr">
        <is>
          <t>Catalog/Specialty Distribution</t>
        </is>
      </c>
      <c r="G55" s="20" t="n">
        <v>21.82</v>
      </c>
      <c r="H55" s="18" t="inlineStr">
        <is>
          <t>中型</t>
        </is>
      </c>
      <c r="I55" s="21" t="n">
        <v>86.45999999999999</v>
      </c>
      <c r="J55" s="21" t="n">
        <v>87.12</v>
      </c>
      <c r="K55" s="22">
        <f>IF(J55="","",I55/J55-1)</f>
        <v/>
      </c>
      <c r="L55" s="21" t="n">
        <v>84.70999999999999</v>
      </c>
      <c r="M55" s="22">
        <f>I55/L55-1</f>
        <v/>
      </c>
      <c r="N55" s="18" t="n">
        <v>2</v>
      </c>
      <c r="O55" s="23" t="n">
        <v>42.7</v>
      </c>
      <c r="P55" s="23">
        <f>100*(0.25*W55+0.1*X55+0.15*Y55+0.15*Z55+0.1*AA55+0.1*AB55+0.15*AC55)</f>
        <v/>
      </c>
      <c r="Q55" s="23">
        <f>0.5*O55+0.5*P55</f>
        <v/>
      </c>
      <c r="R55" s="23">
        <f>0.4*O55+0.4*P55+0.2*(N55/4*100)</f>
        <v/>
      </c>
      <c r="S55" s="18" t="inlineStr">
        <is>
          <t>2026-09-10</t>
        </is>
      </c>
      <c r="T55" s="21" t="n">
        <v>82.59</v>
      </c>
      <c r="U55" s="22">
        <f>IF(T55="","",I55/T55-1)</f>
        <v/>
      </c>
      <c r="V55" s="18" t="n">
        <v>2</v>
      </c>
      <c r="W55" s="24" t="n">
        <v>1</v>
      </c>
      <c r="X55" s="24" t="n">
        <v>1</v>
      </c>
      <c r="Y55" s="24" t="n">
        <v>0.333</v>
      </c>
      <c r="Z55" s="24" t="n">
        <v>0.533</v>
      </c>
      <c r="AA55" s="24" t="n">
        <v>0.778</v>
      </c>
      <c r="AB55" s="24" t="n">
        <v>0.926</v>
      </c>
      <c r="AC55" s="24" t="n">
        <v>1</v>
      </c>
      <c r="AD55" s="18" t="inlineStr">
        <is>
          <t>業績</t>
        </is>
      </c>
      <c r="AE55" s="25" t="inlineStr">
        <is>
          <t>7/29 Q2 EPS $1.31勝預期$1.04、淨銷售升12.4% → 毛利創新高</t>
        </is>
      </c>
      <c r="AF55" s="18" t="inlineStr">
        <is>
          <t>中</t>
        </is>
      </c>
      <c r="AG55" s="18" t="inlineStr"/>
      <c r="AH55" s="18" t="inlineStr">
        <is>
          <t>▼ 11</t>
        </is>
      </c>
    </row>
    <row r="56">
      <c r="A56" s="18" t="n">
        <v>55</v>
      </c>
      <c r="B56" s="19" t="inlineStr">
        <is>
          <t>HPQ</t>
        </is>
      </c>
      <c r="C56" s="18" t="inlineStr">
        <is>
          <t>HP Inc.</t>
        </is>
      </c>
      <c r="D56" s="18" t="inlineStr">
        <is>
          <t>NYSE</t>
        </is>
      </c>
      <c r="E56" s="18" t="inlineStr">
        <is>
          <t>科技</t>
        </is>
      </c>
      <c r="F56" s="18" t="inlineStr">
        <is>
          <t>Computer Manufacturing</t>
        </is>
      </c>
      <c r="G56" s="20" t="n">
        <v>312.56</v>
      </c>
      <c r="H56" s="18" t="inlineStr">
        <is>
          <t>大型</t>
        </is>
      </c>
      <c r="I56" s="21" t="n">
        <v>34.66</v>
      </c>
      <c r="J56" s="21" t="n">
        <v>32.7</v>
      </c>
      <c r="K56" s="22">
        <f>IF(J56="","",I56/J56-1)</f>
        <v/>
      </c>
      <c r="L56" s="21" t="n">
        <v>33.15</v>
      </c>
      <c r="M56" s="22">
        <f>I56/L56-1</f>
        <v/>
      </c>
      <c r="N56" s="18" t="n">
        <v>4</v>
      </c>
      <c r="O56" s="23" t="n">
        <v>22.9</v>
      </c>
      <c r="P56" s="23">
        <f>100*(0.25*W56+0.1*X56+0.15*Y56+0.15*Z56+0.1*AA56+0.1*AB56+0.15*AC56)</f>
        <v/>
      </c>
      <c r="Q56" s="23">
        <f>0.5*O56+0.5*P56</f>
        <v/>
      </c>
      <c r="R56" s="23">
        <f>0.4*O56+0.4*P56+0.2*(N56/4*100)</f>
        <v/>
      </c>
      <c r="S56" s="18" t="inlineStr">
        <is>
          <t>2026-09-08</t>
        </is>
      </c>
      <c r="T56" s="21" t="n">
        <v>31.17</v>
      </c>
      <c r="U56" s="22">
        <f>IF(T56="","",I56/T56-1)</f>
        <v/>
      </c>
      <c r="V56" s="18" t="n">
        <v>2</v>
      </c>
      <c r="W56" s="24" t="n">
        <v>1</v>
      </c>
      <c r="X56" s="24" t="n">
        <v>1</v>
      </c>
      <c r="Y56" s="24" t="n">
        <v>0.467</v>
      </c>
      <c r="Z56" s="24" t="n">
        <v>0.187</v>
      </c>
      <c r="AA56" s="24" t="n">
        <v>0.541</v>
      </c>
      <c r="AB56" s="24" t="n">
        <v>0.958</v>
      </c>
      <c r="AC56" s="24" t="n">
        <v>1</v>
      </c>
      <c r="AD56" s="18" t="inlineStr">
        <is>
          <t>業績</t>
        </is>
      </c>
      <c r="AE56" s="25" t="inlineStr">
        <is>
          <t>8/28 Q3勝預期後多行升目標價 → 單日升3%</t>
        </is>
      </c>
      <c r="AF56" s="18" t="inlineStr">
        <is>
          <t>高</t>
        </is>
      </c>
      <c r="AG56" s="18" t="inlineStr"/>
      <c r="AH56" s="18" t="inlineStr">
        <is>
          <t>▼ 6</t>
        </is>
      </c>
    </row>
    <row r="57">
      <c r="A57" s="10" t="n">
        <v>56</v>
      </c>
      <c r="B57" s="11" t="inlineStr">
        <is>
          <t>NATH</t>
        </is>
      </c>
      <c r="C57" s="10" t="inlineStr">
        <is>
          <t>Nathan's Famous Inc.</t>
        </is>
      </c>
      <c r="D57" s="10" t="inlineStr">
        <is>
          <t>NASDAQ</t>
        </is>
      </c>
      <c r="E57" s="10" t="inlineStr">
        <is>
          <t>非必需消費</t>
        </is>
      </c>
      <c r="F57" s="10" t="inlineStr">
        <is>
          <t>Restaurants</t>
        </is>
      </c>
      <c r="G57" s="12" t="n">
        <v>4.01</v>
      </c>
      <c r="H57" s="10" t="inlineStr">
        <is>
          <t>小型</t>
        </is>
      </c>
      <c r="I57" s="13" t="n">
        <v>97.94</v>
      </c>
      <c r="J57" s="13" t="n">
        <v>98.67</v>
      </c>
      <c r="K57" s="14">
        <f>IF(J57="","",I57/J57-1)</f>
        <v/>
      </c>
      <c r="L57" s="13" t="n">
        <v>98.15000000000001</v>
      </c>
      <c r="M57" s="14">
        <f>I57/L57-1</f>
        <v/>
      </c>
      <c r="N57" s="10" t="n">
        <v>2</v>
      </c>
      <c r="O57" s="15" t="n">
        <v>64</v>
      </c>
      <c r="P57" s="15">
        <f>100*(0.25*W57+0.1*X57+0.15*Y57+0.15*Z57+0.1*AA57+0.1*AB57+0.15*AC57)</f>
        <v/>
      </c>
      <c r="Q57" s="15">
        <f>0.5*O57+0.5*P57</f>
        <v/>
      </c>
      <c r="R57" s="15">
        <f>0.4*O57+0.4*P57+0.2*(N57/4*100)</f>
        <v/>
      </c>
      <c r="S57" s="10" t="inlineStr">
        <is>
          <t>2026-09-01</t>
        </is>
      </c>
      <c r="T57" s="13" t="n">
        <v>97.7</v>
      </c>
      <c r="U57" s="14">
        <f>IF(T57="","",I57/T57-1)</f>
        <v/>
      </c>
      <c r="V57" s="10" t="n">
        <v>5</v>
      </c>
      <c r="W57" s="16" t="n">
        <v>1</v>
      </c>
      <c r="X57" s="16" t="n">
        <v>0.312</v>
      </c>
      <c r="Y57" s="16" t="n">
        <v>0.733</v>
      </c>
      <c r="Z57" s="16" t="n">
        <v>0.021</v>
      </c>
      <c r="AA57" s="16" t="n">
        <v>0.9389999999999999</v>
      </c>
      <c r="AB57" s="16" t="n">
        <v>0.748</v>
      </c>
      <c r="AC57" s="16" t="n">
        <v>0</v>
      </c>
      <c r="AD57" s="10" t="inlineStr">
        <is>
          <t>併購</t>
        </is>
      </c>
      <c r="AE57" s="17" t="inlineStr">
        <is>
          <t>併購釘價：Smithfield $102 全現金 → 90 日內最大單日 1.5%</t>
        </is>
      </c>
      <c r="AF57" s="10" t="inlineStr">
        <is>
          <t>高</t>
        </is>
      </c>
      <c r="AG57" s="10" t="inlineStr">
        <is>
          <t>套利釘價 · 距作價+4.1%</t>
        </is>
      </c>
      <c r="AH57" s="10" t="inlineStr">
        <is>
          <t>新上榜</t>
        </is>
      </c>
    </row>
    <row r="58">
      <c r="A58" s="2" t="n">
        <v>57</v>
      </c>
      <c r="B58" s="3" t="inlineStr">
        <is>
          <t>QRVO</t>
        </is>
      </c>
      <c r="C58" s="2" t="inlineStr">
        <is>
          <t>Qorvo Inc.</t>
        </is>
      </c>
      <c r="D58" s="2" t="inlineStr">
        <is>
          <t>NASDAQ</t>
        </is>
      </c>
      <c r="E58" s="2" t="inlineStr">
        <is>
          <t>科技</t>
        </is>
      </c>
      <c r="F58" s="2" t="inlineStr">
        <is>
          <t>Semiconductors</t>
        </is>
      </c>
      <c r="G58" s="4" t="n">
        <v>105.43</v>
      </c>
      <c r="H58" s="2" t="inlineStr">
        <is>
          <t>大型</t>
        </is>
      </c>
      <c r="I58" s="5" t="n">
        <v>119.51</v>
      </c>
      <c r="J58" s="5" t="n">
        <v>113.97</v>
      </c>
      <c r="K58" s="6">
        <f>IF(J58="","",I58/J58-1)</f>
        <v/>
      </c>
      <c r="L58" s="5" t="n">
        <v>110.11</v>
      </c>
      <c r="M58" s="6">
        <f>I58/L58-1</f>
        <v/>
      </c>
      <c r="N58" s="2" t="n">
        <v>4</v>
      </c>
      <c r="O58" s="7" t="n">
        <v>7.8</v>
      </c>
      <c r="P58" s="7">
        <f>100*(0.25*W58+0.1*X58+0.15*Y58+0.15*Z58+0.1*AA58+0.1*AB58+0.15*AC58)</f>
        <v/>
      </c>
      <c r="Q58" s="7">
        <f>0.5*O58+0.5*P58</f>
        <v/>
      </c>
      <c r="R58" s="7">
        <f>0.4*O58+0.4*P58+0.2*(N58/4*100)</f>
        <v/>
      </c>
      <c r="S58" s="2" t="inlineStr">
        <is>
          <t>2026-08-25</t>
        </is>
      </c>
      <c r="T58" s="5" t="n">
        <v>94.34</v>
      </c>
      <c r="U58" s="6">
        <f>IF(T58="","",I58/T58-1)</f>
        <v/>
      </c>
      <c r="V58" s="2" t="n">
        <v>3</v>
      </c>
      <c r="W58" s="8" t="n">
        <v>1</v>
      </c>
      <c r="X58" s="8" t="n">
        <v>1</v>
      </c>
      <c r="Y58" s="8" t="n">
        <v>1</v>
      </c>
      <c r="Z58" s="8" t="n">
        <v>0.656</v>
      </c>
      <c r="AA58" s="8" t="n">
        <v>0.12</v>
      </c>
      <c r="AB58" s="8" t="n">
        <v>0.977</v>
      </c>
      <c r="AC58" s="8" t="n">
        <v>1</v>
      </c>
      <c r="AD58" s="2" t="inlineStr">
        <is>
          <t>併購</t>
        </is>
      </c>
      <c r="AE58" s="9" t="inlineStr">
        <is>
          <t>8/4 HSR清關+Q1勝預期 → 單日+6.2%</t>
        </is>
      </c>
      <c r="AF58" s="2" t="inlineStr">
        <is>
          <t>高</t>
        </is>
      </c>
      <c r="AG58" s="2" t="inlineStr">
        <is>
          <t>換股釘價 · 距作價+0.5%</t>
        </is>
      </c>
      <c r="AH58" s="2" t="inlineStr">
        <is>
          <t>▼ 5</t>
        </is>
      </c>
    </row>
    <row r="59">
      <c r="A59" s="10" t="n">
        <v>58</v>
      </c>
      <c r="B59" s="11" t="inlineStr">
        <is>
          <t>DFIN</t>
        </is>
      </c>
      <c r="C59" s="10" t="inlineStr">
        <is>
          <t>Donnelley Financial Solutions Inc.</t>
        </is>
      </c>
      <c r="D59" s="10" t="inlineStr">
        <is>
          <t>NYSE</t>
        </is>
      </c>
      <c r="E59" s="10" t="inlineStr">
        <is>
          <t>非必需消費</t>
        </is>
      </c>
      <c r="F59" s="10" t="inlineStr">
        <is>
          <t>Other Consumer Services</t>
        </is>
      </c>
      <c r="G59" s="12" t="n">
        <v>11.81</v>
      </c>
      <c r="H59" s="10" t="inlineStr">
        <is>
          <t>小型</t>
        </is>
      </c>
      <c r="I59" s="13" t="n">
        <v>48.02</v>
      </c>
      <c r="J59" s="13" t="n">
        <v>48.91</v>
      </c>
      <c r="K59" s="14">
        <f>IF(J59="","",I59/J59-1)</f>
        <v/>
      </c>
      <c r="L59" s="13" t="n">
        <v>48.82</v>
      </c>
      <c r="M59" s="14">
        <f>I59/L59-1</f>
        <v/>
      </c>
      <c r="N59" s="10" t="n">
        <v>1</v>
      </c>
      <c r="O59" s="15" t="n">
        <v>54.8</v>
      </c>
      <c r="P59" s="15">
        <f>100*(0.25*W59+0.1*X59+0.15*Y59+0.15*Z59+0.1*AA59+0.1*AB59+0.15*AC59)</f>
        <v/>
      </c>
      <c r="Q59" s="15">
        <f>0.5*O59+0.5*P59</f>
        <v/>
      </c>
      <c r="R59" s="15">
        <f>0.4*O59+0.4*P59+0.2*(N59/4*100)</f>
        <v/>
      </c>
      <c r="S59" s="10" t="inlineStr">
        <is>
          <t>2026-09-02</t>
        </is>
      </c>
      <c r="T59" s="13" t="n">
        <v>47.87</v>
      </c>
      <c r="U59" s="14">
        <f>IF(T59="","",I59/T59-1)</f>
        <v/>
      </c>
      <c r="V59" s="10" t="n">
        <v>5</v>
      </c>
      <c r="W59" s="16" t="n">
        <v>1</v>
      </c>
      <c r="X59" s="16" t="n">
        <v>0.333</v>
      </c>
      <c r="Y59" s="16" t="n">
        <v>0.667</v>
      </c>
      <c r="Z59" s="16" t="n">
        <v>0.806</v>
      </c>
      <c r="AA59" s="16" t="n">
        <v>0.953</v>
      </c>
      <c r="AB59" s="16" t="n">
        <v>0.698</v>
      </c>
      <c r="AC59" s="16" t="n">
        <v>0.6</v>
      </c>
      <c r="AD59" s="10" t="inlineStr">
        <is>
          <t>回購</t>
        </is>
      </c>
      <c r="AE59" s="17" t="inlineStr">
        <is>
          <t>7/30 Q2勝預期但當日反挫8.5% → 翌日僅回+0.6%，之後靠回購慢慢爬</t>
        </is>
      </c>
      <c r="AF59" s="10" t="inlineStr">
        <is>
          <t>中</t>
        </is>
      </c>
      <c r="AG59" s="10" t="inlineStr"/>
      <c r="AH59" s="10" t="inlineStr">
        <is>
          <t>新上榜</t>
        </is>
      </c>
    </row>
    <row r="60">
      <c r="A60" s="10" t="n">
        <v>59</v>
      </c>
      <c r="B60" s="11" t="inlineStr">
        <is>
          <t>TSLA</t>
        </is>
      </c>
      <c r="C60" s="10" t="inlineStr">
        <is>
          <t>Tesla Inc.</t>
        </is>
      </c>
      <c r="D60" s="10" t="inlineStr">
        <is>
          <t>NASDAQ</t>
        </is>
      </c>
      <c r="E60" s="10" t="inlineStr">
        <is>
          <t>非必需消費</t>
        </is>
      </c>
      <c r="F60" s="10" t="inlineStr">
        <is>
          <t>Auto Manufacturing</t>
        </is>
      </c>
      <c r="G60" s="12" t="n">
        <v>14463.24</v>
      </c>
      <c r="H60" s="10" t="inlineStr">
        <is>
          <t>大型</t>
        </is>
      </c>
      <c r="I60" s="13" t="n">
        <v>366.2</v>
      </c>
      <c r="J60" s="13" t="n">
        <v>358.08</v>
      </c>
      <c r="K60" s="14">
        <f>IF(J60="","",I60/J60-1)</f>
        <v/>
      </c>
      <c r="L60" s="13" t="n">
        <v>363.52</v>
      </c>
      <c r="M60" s="14">
        <f>I60/L60-1</f>
        <v/>
      </c>
      <c r="N60" s="10" t="n">
        <v>2</v>
      </c>
      <c r="O60" s="15" t="n">
        <v>55.8</v>
      </c>
      <c r="P60" s="15">
        <f>100*(0.25*W60+0.1*X60+0.15*Y60+0.15*Z60+0.1*AA60+0.1*AB60+0.15*AC60)</f>
        <v/>
      </c>
      <c r="Q60" s="15">
        <f>0.5*O60+0.5*P60</f>
        <v/>
      </c>
      <c r="R60" s="15">
        <f>0.4*O60+0.4*P60+0.2*(N60/4*100)</f>
        <v/>
      </c>
      <c r="S60" s="10" t="inlineStr">
        <is>
          <t>2026-09-04</t>
        </is>
      </c>
      <c r="T60" s="13" t="n">
        <v>354.08</v>
      </c>
      <c r="U60" s="14">
        <f>IF(T60="","",I60/T60-1)</f>
        <v/>
      </c>
      <c r="V60" s="10" t="n">
        <v>6</v>
      </c>
      <c r="W60" s="16" t="n">
        <v>0.326</v>
      </c>
      <c r="X60" s="16" t="n">
        <v>0.544</v>
      </c>
      <c r="Y60" s="16" t="n">
        <v>0.533</v>
      </c>
      <c r="Z60" s="16" t="n">
        <v>0.773</v>
      </c>
      <c r="AA60" s="16" t="n">
        <v>0.851</v>
      </c>
      <c r="AB60" s="16" t="n">
        <v>0.916</v>
      </c>
      <c r="AC60" s="16" t="n">
        <v>0.7</v>
      </c>
      <c r="AD60" s="10" t="inlineStr">
        <is>
          <t>監管</t>
        </is>
      </c>
      <c r="AE60" s="17" t="inlineStr">
        <is>
          <t>8/21 內華達放行Robotaxi→單日升5.1%</t>
        </is>
      </c>
      <c r="AF60" s="10" t="inlineStr">
        <is>
          <t>高</t>
        </is>
      </c>
      <c r="AG60" s="10" t="inlineStr"/>
      <c r="AH60" s="10" t="inlineStr">
        <is>
          <t>新上榜</t>
        </is>
      </c>
    </row>
    <row r="61">
      <c r="A61" s="10" t="n">
        <v>60</v>
      </c>
      <c r="B61" s="11" t="inlineStr">
        <is>
          <t>IBM</t>
        </is>
      </c>
      <c r="C61" s="10" t="inlineStr">
        <is>
          <t>International Business Machines Corporation</t>
        </is>
      </c>
      <c r="D61" s="10" t="inlineStr">
        <is>
          <t>NYSE</t>
        </is>
      </c>
      <c r="E61" s="10" t="inlineStr">
        <is>
          <t>科技</t>
        </is>
      </c>
      <c r="F61" s="10" t="inlineStr">
        <is>
          <t>Computer Manufacturing</t>
        </is>
      </c>
      <c r="G61" s="12" t="n">
        <v>2239.92</v>
      </c>
      <c r="H61" s="10" t="inlineStr">
        <is>
          <t>大型</t>
        </is>
      </c>
      <c r="I61" s="13" t="n">
        <v>237.75</v>
      </c>
      <c r="J61" s="13" t="n">
        <v>237.49</v>
      </c>
      <c r="K61" s="14">
        <f>IF(J61="","",I61/J61-1)</f>
        <v/>
      </c>
      <c r="L61" s="13" t="n">
        <v>239.16</v>
      </c>
      <c r="M61" s="14">
        <f>I61/L61-1</f>
        <v/>
      </c>
      <c r="N61" s="10" t="n">
        <v>1</v>
      </c>
      <c r="O61" s="15" t="n">
        <v>45.2</v>
      </c>
      <c r="P61" s="15">
        <f>100*(0.25*W61+0.1*X61+0.15*Y61+0.15*Z61+0.1*AA61+0.1*AB61+0.15*AC61)</f>
        <v/>
      </c>
      <c r="Q61" s="15">
        <f>0.5*O61+0.5*P61</f>
        <v/>
      </c>
      <c r="R61" s="15">
        <f>0.4*O61+0.4*P61+0.2*(N61/4*100)</f>
        <v/>
      </c>
      <c r="S61" s="10" t="inlineStr">
        <is>
          <t>2026-09-01</t>
        </is>
      </c>
      <c r="T61" s="13" t="n">
        <v>231.4</v>
      </c>
      <c r="U61" s="14">
        <f>IF(T61="","",I61/T61-1)</f>
        <v/>
      </c>
      <c r="V61" s="10" t="n">
        <v>4</v>
      </c>
      <c r="W61" s="16" t="n">
        <v>1</v>
      </c>
      <c r="X61" s="16" t="n">
        <v>0.859</v>
      </c>
      <c r="Y61" s="16" t="n">
        <v>0.733</v>
      </c>
      <c r="Z61" s="16" t="n">
        <v>0.64</v>
      </c>
      <c r="AA61" s="16" t="n">
        <v>0.98</v>
      </c>
      <c r="AB61" s="16" t="n">
        <v>0.806</v>
      </c>
      <c r="AC61" s="16" t="n">
        <v>0.7</v>
      </c>
      <c r="AD61" s="10" t="inlineStr">
        <is>
          <t>大單</t>
        </is>
      </c>
      <c r="AE61" s="17" t="inlineStr">
        <is>
          <t>9/10 瑞士CSCS裝Quantum System Two兼登月AI合作 → 翌日9/11升3.96%</t>
        </is>
      </c>
      <c r="AF61" s="10" t="inlineStr">
        <is>
          <t>中</t>
        </is>
      </c>
      <c r="AG61" s="10" t="inlineStr"/>
      <c r="AH61" s="10" t="inlineStr">
        <is>
          <t>新上榜</t>
        </is>
      </c>
    </row>
    <row r="62">
      <c r="A62" s="18" t="n">
        <v>61</v>
      </c>
      <c r="B62" s="19" t="inlineStr">
        <is>
          <t>MDT</t>
        </is>
      </c>
      <c r="C62" s="18" t="inlineStr">
        <is>
          <t>Medtronic plc.</t>
        </is>
      </c>
      <c r="D62" s="18" t="inlineStr">
        <is>
          <t>NYSE</t>
        </is>
      </c>
      <c r="E62" s="18" t="inlineStr">
        <is>
          <t>醫療保健</t>
        </is>
      </c>
      <c r="F62" s="18" t="inlineStr">
        <is>
          <t>Biotechnology: Electromedical &amp; Electrotherapeutic Apparatus</t>
        </is>
      </c>
      <c r="G62" s="20" t="n">
        <v>1186.66</v>
      </c>
      <c r="H62" s="18" t="inlineStr">
        <is>
          <t>大型</t>
        </is>
      </c>
      <c r="I62" s="21" t="n">
        <v>92.77</v>
      </c>
      <c r="J62" s="21" t="n">
        <v>92.59999999999999</v>
      </c>
      <c r="K62" s="22">
        <f>IF(J62="","",I62/J62-1)</f>
        <v/>
      </c>
      <c r="L62" s="21" t="n">
        <v>92.7</v>
      </c>
      <c r="M62" s="22">
        <f>I62/L62-1</f>
        <v/>
      </c>
      <c r="N62" s="18" t="n">
        <v>3</v>
      </c>
      <c r="O62" s="23" t="n">
        <v>47.3</v>
      </c>
      <c r="P62" s="23">
        <f>100*(0.25*W62+0.1*X62+0.15*Y62+0.15*Z62+0.1*AA62+0.1*AB62+0.15*AC62)</f>
        <v/>
      </c>
      <c r="Q62" s="23">
        <f>0.5*O62+0.5*P62</f>
        <v/>
      </c>
      <c r="R62" s="23">
        <f>0.4*O62+0.4*P62+0.2*(N62/4*100)</f>
        <v/>
      </c>
      <c r="S62" s="18" t="inlineStr">
        <is>
          <t>2026-09-11</t>
        </is>
      </c>
      <c r="T62" s="21" t="n">
        <v>90.95999999999999</v>
      </c>
      <c r="U62" s="22">
        <f>IF(T62="","",I62/T62-1)</f>
        <v/>
      </c>
      <c r="V62" s="18" t="n">
        <v>5</v>
      </c>
      <c r="W62" s="24" t="n">
        <v>0.338</v>
      </c>
      <c r="X62" s="24" t="n">
        <v>0.5639999999999999</v>
      </c>
      <c r="Y62" s="24" t="n">
        <v>0.267</v>
      </c>
      <c r="Z62" s="24" t="n">
        <v>0.863</v>
      </c>
      <c r="AA62" s="24" t="n">
        <v>0.117</v>
      </c>
      <c r="AB62" s="24" t="n">
        <v>0.759</v>
      </c>
      <c r="AC62" s="24" t="n">
        <v>1</v>
      </c>
      <c r="AD62" s="18" t="inlineStr">
        <is>
          <t>業績</t>
        </is>
      </c>
      <c r="AE62" s="25" t="inlineStr">
        <is>
          <t>9/1 Q1有機增長13.7%兼上調FY27指引</t>
        </is>
      </c>
      <c r="AF62" s="18" t="inlineStr">
        <is>
          <t>高</t>
        </is>
      </c>
      <c r="AG62" s="18" t="inlineStr"/>
      <c r="AH62" s="18" t="inlineStr">
        <is>
          <t>▼ 7</t>
        </is>
      </c>
    </row>
    <row r="63">
      <c r="A63" s="18" t="n">
        <v>62</v>
      </c>
      <c r="B63" s="19" t="inlineStr">
        <is>
          <t>TMO</t>
        </is>
      </c>
      <c r="C63" s="18" t="inlineStr">
        <is>
          <t>Thermo Fisher Scientific Inc</t>
        </is>
      </c>
      <c r="D63" s="18" t="inlineStr">
        <is>
          <t>NYSE</t>
        </is>
      </c>
      <c r="E63" s="18" t="inlineStr">
        <is>
          <t>醫療保健</t>
        </is>
      </c>
      <c r="F63" s="18" t="inlineStr">
        <is>
          <t>Industrial Machinery/Components</t>
        </is>
      </c>
      <c r="G63" s="20" t="n">
        <v>2434.12</v>
      </c>
      <c r="H63" s="18" t="inlineStr">
        <is>
          <t>大型</t>
        </is>
      </c>
      <c r="I63" s="21" t="n">
        <v>658.3200000000001</v>
      </c>
      <c r="J63" s="21" t="n">
        <v>648.4299999999999</v>
      </c>
      <c r="K63" s="22">
        <f>IF(J63="","",I63/J63-1)</f>
        <v/>
      </c>
      <c r="L63" s="21" t="n">
        <v>621.5700000000001</v>
      </c>
      <c r="M63" s="22">
        <f>I63/L63-1</f>
        <v/>
      </c>
      <c r="N63" s="18" t="n">
        <v>1</v>
      </c>
      <c r="O63" s="23" t="n">
        <v>40</v>
      </c>
      <c r="P63" s="23">
        <f>100*(0.25*W63+0.1*X63+0.15*Y63+0.15*Z63+0.1*AA63+0.1*AB63+0.15*AC63)</f>
        <v/>
      </c>
      <c r="Q63" s="23">
        <f>0.5*O63+0.5*P63</f>
        <v/>
      </c>
      <c r="R63" s="23">
        <f>0.4*O63+0.4*P63+0.2*(N63/4*100)</f>
        <v/>
      </c>
      <c r="S63" s="18" t="inlineStr">
        <is>
          <t>2026-09-08</t>
        </is>
      </c>
      <c r="T63" s="21" t="n">
        <v>603.02</v>
      </c>
      <c r="U63" s="22">
        <f>IF(T63="","",I63/T63-1)</f>
        <v/>
      </c>
      <c r="V63" s="18" t="n">
        <v>5</v>
      </c>
      <c r="W63" s="24" t="n">
        <v>1</v>
      </c>
      <c r="X63" s="24" t="n">
        <v>1</v>
      </c>
      <c r="Y63" s="24" t="n">
        <v>0.467</v>
      </c>
      <c r="Z63" s="24" t="n">
        <v>0.964</v>
      </c>
      <c r="AA63" s="24" t="n">
        <v>0.424</v>
      </c>
      <c r="AB63" s="24" t="n">
        <v>0.9409999999999999</v>
      </c>
      <c r="AC63" s="24" t="n">
        <v>1</v>
      </c>
      <c r="AD63" s="18" t="inlineStr">
        <is>
          <t>業績</t>
        </is>
      </c>
      <c r="AE63" s="25" t="inlineStr">
        <is>
          <t>7/23 Q2勝預期兼上調全年指引 → 單日+8.7%</t>
        </is>
      </c>
      <c r="AF63" s="18" t="inlineStr">
        <is>
          <t>高</t>
        </is>
      </c>
      <c r="AG63" s="18" t="inlineStr"/>
      <c r="AH63" s="18" t="inlineStr">
        <is>
          <t>▼ 12</t>
        </is>
      </c>
    </row>
    <row r="64">
      <c r="A64" s="10" t="n">
        <v>63</v>
      </c>
      <c r="B64" s="11" t="inlineStr">
        <is>
          <t>CURI</t>
        </is>
      </c>
      <c r="C64" s="10" t="inlineStr">
        <is>
          <t>CuriosityStream Inc. Class A</t>
        </is>
      </c>
      <c r="D64" s="10" t="inlineStr">
        <is>
          <t>NASDAQ</t>
        </is>
      </c>
      <c r="E64" s="10" t="inlineStr">
        <is>
          <t>非必需消費</t>
        </is>
      </c>
      <c r="F64" s="10" t="inlineStr">
        <is>
          <t>Movies/Entertainment</t>
        </is>
      </c>
      <c r="G64" s="12" t="n">
        <v>1.66</v>
      </c>
      <c r="H64" s="10" t="inlineStr">
        <is>
          <t>小型</t>
        </is>
      </c>
      <c r="I64" s="13" t="n">
        <v>2.795</v>
      </c>
      <c r="J64" s="13" t="n">
        <v>2.79</v>
      </c>
      <c r="K64" s="14">
        <f>IF(J64="","",I64/J64-1)</f>
        <v/>
      </c>
      <c r="L64" s="13" t="n">
        <v>2.74</v>
      </c>
      <c r="M64" s="14">
        <f>I64/L64-1</f>
        <v/>
      </c>
      <c r="N64" s="10" t="n">
        <v>1</v>
      </c>
      <c r="O64" s="15" t="n">
        <v>67</v>
      </c>
      <c r="P64" s="15">
        <f>100*(0.25*W64+0.1*X64+0.15*Y64+0.15*Z64+0.1*AA64+0.1*AB64+0.15*AC64)</f>
        <v/>
      </c>
      <c r="Q64" s="15">
        <f>0.5*O64+0.5*P64</f>
        <v/>
      </c>
      <c r="R64" s="15">
        <f>0.4*O64+0.4*P64+0.2*(N64/4*100)</f>
        <v/>
      </c>
      <c r="S64" s="10" t="inlineStr">
        <is>
          <t>2026-09-09</t>
        </is>
      </c>
      <c r="T64" s="13" t="n">
        <v>2.6</v>
      </c>
      <c r="U64" s="14">
        <f>IF(T64="","",I64/T64-1)</f>
        <v/>
      </c>
      <c r="V64" s="10" t="n">
        <v>4</v>
      </c>
      <c r="W64" s="16" t="n">
        <v>0.366</v>
      </c>
      <c r="X64" s="16" t="n">
        <v>0.609</v>
      </c>
      <c r="Y64" s="16" t="n">
        <v>0.4</v>
      </c>
      <c r="Z64" s="16" t="n">
        <v>0.776</v>
      </c>
      <c r="AA64" s="16" t="n">
        <v>0.289</v>
      </c>
      <c r="AB64" s="16" t="n">
        <v>0.63</v>
      </c>
      <c r="AC64" s="16" t="n">
        <v>1</v>
      </c>
      <c r="AD64" s="10" t="inlineStr">
        <is>
          <t>業績</t>
        </is>
      </c>
      <c r="AE64" s="17" t="inlineStr">
        <is>
          <t>8/13 Q2授權收入增48%、調整EBITDA增276%創新高 → 單日+42.5%</t>
        </is>
      </c>
      <c r="AF64" s="10" t="inlineStr">
        <is>
          <t>高</t>
        </is>
      </c>
      <c r="AG64" s="10" t="inlineStr"/>
      <c r="AH64" s="10" t="inlineStr">
        <is>
          <t>新上榜</t>
        </is>
      </c>
    </row>
    <row r="65">
      <c r="A65" s="18" t="n">
        <v>64</v>
      </c>
      <c r="B65" s="19" t="inlineStr">
        <is>
          <t>CRWD</t>
        </is>
      </c>
      <c r="C65" s="18" t="inlineStr">
        <is>
          <t>CrowdStrike Holdings Inc. Class A</t>
        </is>
      </c>
      <c r="D65" s="18" t="inlineStr">
        <is>
          <t>NASDAQ</t>
        </is>
      </c>
      <c r="E65" s="18" t="inlineStr">
        <is>
          <t>科技</t>
        </is>
      </c>
      <c r="F65" s="18" t="inlineStr">
        <is>
          <t>Computer Software: Prepackaged Software</t>
        </is>
      </c>
      <c r="G65" s="20" t="n">
        <v>2515.81</v>
      </c>
      <c r="H65" s="18" t="inlineStr">
        <is>
          <t>大型</t>
        </is>
      </c>
      <c r="I65" s="21" t="n">
        <v>245.7</v>
      </c>
      <c r="J65" s="21" t="n">
        <v>241.36</v>
      </c>
      <c r="K65" s="22">
        <f>IF(J65="","",I65/J65-1)</f>
        <v/>
      </c>
      <c r="L65" s="21" t="n">
        <v>222.64</v>
      </c>
      <c r="M65" s="22">
        <f>I65/L65-1</f>
        <v/>
      </c>
      <c r="N65" s="18" t="n">
        <v>2</v>
      </c>
      <c r="O65" s="23" t="n">
        <v>22.9</v>
      </c>
      <c r="P65" s="23">
        <f>100*(0.25*W65+0.1*X65+0.15*Y65+0.15*Z65+0.1*AA65+0.1*AB65+0.15*AC65)</f>
        <v/>
      </c>
      <c r="Q65" s="23">
        <f>0.5*O65+0.5*P65</f>
        <v/>
      </c>
      <c r="R65" s="23">
        <f>0.4*O65+0.4*P65+0.2*(N65/4*100)</f>
        <v/>
      </c>
      <c r="S65" s="18" t="inlineStr">
        <is>
          <t>2026-09-11</t>
        </is>
      </c>
      <c r="T65" s="21" t="n">
        <v>206.74</v>
      </c>
      <c r="U65" s="22">
        <f>IF(T65="","",I65/T65-1)</f>
        <v/>
      </c>
      <c r="V65" s="18" t="n">
        <v>4</v>
      </c>
      <c r="W65" s="24" t="n">
        <v>1</v>
      </c>
      <c r="X65" s="24" t="n">
        <v>1</v>
      </c>
      <c r="Y65" s="24" t="n">
        <v>0.267</v>
      </c>
      <c r="Z65" s="24" t="n">
        <v>0.974</v>
      </c>
      <c r="AA65" s="24" t="n">
        <v>0.792</v>
      </c>
      <c r="AB65" s="24" t="n">
        <v>0.958</v>
      </c>
      <c r="AC65" s="24" t="n">
        <v>1</v>
      </c>
      <c r="AD65" s="18" t="inlineStr">
        <is>
          <t>業績</t>
        </is>
      </c>
      <c r="AE65" s="25" t="inlineStr">
        <is>
          <t>8/27 Q2創紀錄單日+20.5%；9/14網安輪動+13.9%</t>
        </is>
      </c>
      <c r="AF65" s="18" t="inlineStr">
        <is>
          <t>高</t>
        </is>
      </c>
      <c r="AG65" s="18" t="inlineStr"/>
      <c r="AH65" s="18" t="inlineStr">
        <is>
          <t>▲ 1</t>
        </is>
      </c>
    </row>
    <row r="66">
      <c r="A66" s="2" t="n">
        <v>65</v>
      </c>
      <c r="B66" s="3" t="inlineStr">
        <is>
          <t>NSIT</t>
        </is>
      </c>
      <c r="C66" s="2" t="inlineStr">
        <is>
          <t>Insight Enterprises Inc.</t>
        </is>
      </c>
      <c r="D66" s="2" t="inlineStr">
        <is>
          <t>NASDAQ</t>
        </is>
      </c>
      <c r="E66" s="2" t="inlineStr">
        <is>
          <t>非必需消費</t>
        </is>
      </c>
      <c r="F66" s="2" t="inlineStr">
        <is>
          <t>Catalog/Specialty Distribution</t>
        </is>
      </c>
      <c r="G66" s="4" t="n">
        <v>45.39</v>
      </c>
      <c r="H66" s="2" t="inlineStr">
        <is>
          <t>中型</t>
        </is>
      </c>
      <c r="I66" s="5" t="n">
        <v>154.65</v>
      </c>
      <c r="J66" s="5" t="n">
        <v>165.19</v>
      </c>
      <c r="K66" s="6">
        <f>IF(J66="","",I66/J66-1)</f>
        <v/>
      </c>
      <c r="L66" s="5" t="n">
        <v>159.72</v>
      </c>
      <c r="M66" s="6">
        <f>I66/L66-1</f>
        <v/>
      </c>
      <c r="N66" s="2" t="n">
        <v>3</v>
      </c>
      <c r="O66" s="7" t="n">
        <v>45.1</v>
      </c>
      <c r="P66" s="7">
        <f>100*(0.25*W66+0.1*X66+0.15*Y66+0.15*Z66+0.1*AA66+0.1*AB66+0.15*AC66)</f>
        <v/>
      </c>
      <c r="Q66" s="7">
        <f>0.5*O66+0.5*P66</f>
        <v/>
      </c>
      <c r="R66" s="7">
        <f>0.4*O66+0.4*P66+0.2*(N66/4*100)</f>
        <v/>
      </c>
      <c r="S66" s="2" t="inlineStr">
        <is>
          <t>2026-09-10</t>
        </is>
      </c>
      <c r="T66" s="5" t="n">
        <v>155.87</v>
      </c>
      <c r="U66" s="6">
        <f>IF(T66="","",I66/T66-1)</f>
        <v/>
      </c>
      <c r="V66" s="2" t="n">
        <v>4</v>
      </c>
      <c r="W66" s="8" t="n">
        <v>1</v>
      </c>
      <c r="X66" s="8" t="n">
        <v>0</v>
      </c>
      <c r="Y66" s="8" t="n">
        <v>0.083</v>
      </c>
      <c r="Z66" s="8" t="n">
        <v>0.167</v>
      </c>
      <c r="AA66" s="8" t="n">
        <v>0.526</v>
      </c>
      <c r="AB66" s="8" t="n">
        <v>0.838</v>
      </c>
      <c r="AC66" s="8" t="n">
        <v>0.6</v>
      </c>
      <c r="AD66" s="2" t="inlineStr">
        <is>
          <t>業績</t>
        </is>
      </c>
      <c r="AE66" s="9" t="inlineStr">
        <is>
          <t>8/6 Q2 EPS升44%、上調全年指引 → 目標價升至$175</t>
        </is>
      </c>
      <c r="AF66" s="2" t="inlineStr">
        <is>
          <t>高</t>
        </is>
      </c>
      <c r="AG66" s="2" t="inlineStr">
        <is>
          <t>已跌穿底</t>
        </is>
      </c>
      <c r="AH66" s="2" t="inlineStr">
        <is>
          <t>▼ 43</t>
        </is>
      </c>
    </row>
    <row r="67">
      <c r="A67" s="10" t="n">
        <v>66</v>
      </c>
      <c r="B67" s="11" t="inlineStr">
        <is>
          <t>HYPD</t>
        </is>
      </c>
      <c r="C67" s="10" t="inlineStr">
        <is>
          <t>Hyperion DeFi Inc.</t>
        </is>
      </c>
      <c r="D67" s="10" t="inlineStr">
        <is>
          <t>NASDAQ</t>
        </is>
      </c>
      <c r="E67" s="10" t="inlineStr">
        <is>
          <t>醫療保健</t>
        </is>
      </c>
      <c r="F67" s="10" t="inlineStr">
        <is>
          <t>Biotechnology: Pharmaceutical Preparations</t>
        </is>
      </c>
      <c r="G67" s="12" t="n">
        <v>0.54</v>
      </c>
      <c r="H67" s="10" t="inlineStr">
        <is>
          <t>小型</t>
        </is>
      </c>
      <c r="I67" s="13" t="n">
        <v>3.47</v>
      </c>
      <c r="J67" s="13" t="n">
        <v>3.27</v>
      </c>
      <c r="K67" s="14">
        <f>IF(J67="","",I67/J67-1)</f>
        <v/>
      </c>
      <c r="L67" s="13" t="n">
        <v>3.46</v>
      </c>
      <c r="M67" s="14">
        <f>I67/L67-1</f>
        <v/>
      </c>
      <c r="N67" s="10" t="n">
        <v>2</v>
      </c>
      <c r="O67" s="15" t="n">
        <v>22.9</v>
      </c>
      <c r="P67" s="15">
        <f>100*(0.25*W67+0.1*X67+0.15*Y67+0.15*Z67+0.1*AA67+0.1*AB67+0.15*AC67)</f>
        <v/>
      </c>
      <c r="Q67" s="15">
        <f>0.5*O67+0.5*P67</f>
        <v/>
      </c>
      <c r="R67" s="15">
        <f>0.4*O67+0.4*P67+0.2*(N67/4*100)</f>
        <v/>
      </c>
      <c r="S67" s="10" t="inlineStr">
        <is>
          <t>2026-09-02</t>
        </is>
      </c>
      <c r="T67" s="13" t="n">
        <v>3.06</v>
      </c>
      <c r="U67" s="14">
        <f>IF(T67="","",I67/T67-1)</f>
        <v/>
      </c>
      <c r="V67" s="10" t="n">
        <v>4</v>
      </c>
      <c r="W67" s="16" t="n">
        <v>1</v>
      </c>
      <c r="X67" s="16" t="n">
        <v>0.732</v>
      </c>
      <c r="Y67" s="16" t="n">
        <v>0.667</v>
      </c>
      <c r="Z67" s="16" t="n">
        <v>0.971</v>
      </c>
      <c r="AA67" s="16" t="n">
        <v>0.421</v>
      </c>
      <c r="AB67" s="16" t="n">
        <v>0.983</v>
      </c>
      <c r="AC67" s="16" t="n">
        <v>1</v>
      </c>
      <c r="AD67" s="10" t="inlineStr">
        <is>
          <t>指引</t>
        </is>
      </c>
      <c r="AE67" s="17" t="inlineStr">
        <is>
          <t>9/8 上調指引兼回購 → 單日+8.5%</t>
        </is>
      </c>
      <c r="AF67" s="10" t="inlineStr">
        <is>
          <t>中</t>
        </is>
      </c>
      <c r="AG67" s="10" t="inlineStr"/>
      <c r="AH67" s="10" t="inlineStr">
        <is>
          <t>新上榜</t>
        </is>
      </c>
    </row>
    <row r="68">
      <c r="A68" s="2" t="n">
        <v>67</v>
      </c>
      <c r="B68" s="3" t="inlineStr">
        <is>
          <t>SWKS</t>
        </is>
      </c>
      <c r="C68" s="2" t="inlineStr">
        <is>
          <t>Skyworks Solutions Inc.</t>
        </is>
      </c>
      <c r="D68" s="2" t="inlineStr">
        <is>
          <t>NASDAQ</t>
        </is>
      </c>
      <c r="E68" s="2" t="inlineStr">
        <is>
          <t>科技</t>
        </is>
      </c>
      <c r="F68" s="2" t="inlineStr">
        <is>
          <t>Semiconductors</t>
        </is>
      </c>
      <c r="G68" s="4" t="n">
        <v>137.41</v>
      </c>
      <c r="H68" s="2" t="inlineStr">
        <is>
          <t>大型</t>
        </is>
      </c>
      <c r="I68" s="5" t="n">
        <v>91.31999999999999</v>
      </c>
      <c r="J68" s="5" t="n">
        <v>85.59</v>
      </c>
      <c r="K68" s="6">
        <f>IF(J68="","",I68/J68-1)</f>
        <v/>
      </c>
      <c r="L68" s="5" t="n">
        <v>81.59999999999999</v>
      </c>
      <c r="M68" s="6">
        <f>I68/L68-1</f>
        <v/>
      </c>
      <c r="N68" s="2" t="n">
        <v>3</v>
      </c>
      <c r="O68" s="7" t="n">
        <v>5.1</v>
      </c>
      <c r="P68" s="7">
        <f>100*(0.25*W68+0.1*X68+0.15*Y68+0.15*Z68+0.1*AA68+0.1*AB68+0.15*AC68)</f>
        <v/>
      </c>
      <c r="Q68" s="7">
        <f>0.5*O68+0.5*P68</f>
        <v/>
      </c>
      <c r="R68" s="7">
        <f>0.4*O68+0.4*P68+0.2*(N68/4*100)</f>
        <v/>
      </c>
      <c r="S68" s="2" t="inlineStr">
        <is>
          <t>2026-08-25</t>
        </is>
      </c>
      <c r="T68" s="5" t="n">
        <v>65.7</v>
      </c>
      <c r="U68" s="6">
        <f>IF(T68="","",I68/T68-1)</f>
        <v/>
      </c>
      <c r="V68" s="2" t="n">
        <v>2</v>
      </c>
      <c r="W68" s="8" t="n">
        <v>1</v>
      </c>
      <c r="X68" s="8" t="n">
        <v>1</v>
      </c>
      <c r="Y68" s="8" t="n">
        <v>1</v>
      </c>
      <c r="Z68" s="8" t="n">
        <v>0.87</v>
      </c>
      <c r="AA68" s="8" t="n">
        <v>0.111</v>
      </c>
      <c r="AB68" s="8" t="n">
        <v>0.988</v>
      </c>
      <c r="AC68" s="8" t="n">
        <v>1</v>
      </c>
      <c r="AD68" s="2" t="inlineStr">
        <is>
          <t>併購</t>
        </is>
      </c>
      <c r="AE68" s="9" t="inlineStr">
        <is>
          <t>7/28 Q3 EPS 1.08勝預期兼$20億回購 → 事件日只+2.0%</t>
        </is>
      </c>
      <c r="AF68" s="2" t="inlineStr">
        <is>
          <t>高</t>
        </is>
      </c>
      <c r="AG68" s="2" t="inlineStr">
        <is>
          <t>QRVO收購方</t>
        </is>
      </c>
      <c r="AH68" s="2" t="inlineStr">
        <is>
          <t>▼ 3</t>
        </is>
      </c>
    </row>
    <row r="69">
      <c r="A69" s="10" t="n">
        <v>68</v>
      </c>
      <c r="B69" s="11" t="inlineStr">
        <is>
          <t>OBIO</t>
        </is>
      </c>
      <c r="C69" s="10" t="inlineStr">
        <is>
          <t>Orchestra BioMed Holdings Inc.</t>
        </is>
      </c>
      <c r="D69" s="10" t="inlineStr">
        <is>
          <t>NASDAQ</t>
        </is>
      </c>
      <c r="E69" s="10" t="inlineStr">
        <is>
          <t>醫療保健</t>
        </is>
      </c>
      <c r="F69" s="10" t="inlineStr">
        <is>
          <t>Medicinal Chemicals and Botanical Products</t>
        </is>
      </c>
      <c r="G69" s="12" t="n">
        <v>3.47</v>
      </c>
      <c r="H69" s="10" t="inlineStr">
        <is>
          <t>小型</t>
        </is>
      </c>
      <c r="I69" s="13" t="n">
        <v>5.78</v>
      </c>
      <c r="J69" s="13" t="n">
        <v>6.01</v>
      </c>
      <c r="K69" s="14">
        <f>IF(J69="","",I69/J69-1)</f>
        <v/>
      </c>
      <c r="L69" s="13" t="n">
        <v>5.64</v>
      </c>
      <c r="M69" s="14">
        <f>I69/L69-1</f>
        <v/>
      </c>
      <c r="N69" s="10" t="n">
        <v>3</v>
      </c>
      <c r="O69" s="15" t="n">
        <v>12</v>
      </c>
      <c r="P69" s="15">
        <f>100*(0.25*W69+0.1*X69+0.15*Y69+0.15*Z69+0.1*AA69+0.1*AB69+0.15*AC69)</f>
        <v/>
      </c>
      <c r="Q69" s="15">
        <f>0.5*O69+0.5*P69</f>
        <v/>
      </c>
      <c r="R69" s="15">
        <f>0.4*O69+0.4*P69+0.2*(N69/4*100)</f>
        <v/>
      </c>
      <c r="S69" s="10" t="inlineStr">
        <is>
          <t>2026-09-03</t>
        </is>
      </c>
      <c r="T69" s="13" t="n">
        <v>4.74</v>
      </c>
      <c r="U69" s="14">
        <f>IF(T69="","",I69/T69-1)</f>
        <v/>
      </c>
      <c r="V69" s="10" t="n">
        <v>2</v>
      </c>
      <c r="W69" s="16" t="n">
        <v>1</v>
      </c>
      <c r="X69" s="16" t="n">
        <v>1</v>
      </c>
      <c r="Y69" s="16" t="n">
        <v>0.6</v>
      </c>
      <c r="Z69" s="16" t="n">
        <v>0.8100000000000001</v>
      </c>
      <c r="AA69" s="16" t="n">
        <v>0.058</v>
      </c>
      <c r="AB69" s="16" t="n">
        <v>0.805</v>
      </c>
      <c r="AC69" s="16" t="n">
        <v>1</v>
      </c>
      <c r="AD69" s="10" t="inlineStr">
        <is>
          <t>臨床</t>
        </is>
      </c>
      <c r="AE69" s="17" t="inlineStr">
        <is>
          <t>8/10 Q2更新：BACKBEAT Q3內完成招募、現金$1.1億 → 8/11 Piper Sandler升目標價至$10</t>
        </is>
      </c>
      <c r="AF69" s="10" t="inlineStr">
        <is>
          <t>中</t>
        </is>
      </c>
      <c r="AG69" s="10" t="inlineStr"/>
      <c r="AH69" s="10" t="inlineStr">
        <is>
          <t>新上榜</t>
        </is>
      </c>
    </row>
    <row r="70">
      <c r="A70" s="18" t="n">
        <v>69</v>
      </c>
      <c r="B70" s="19" t="inlineStr">
        <is>
          <t>NPK</t>
        </is>
      </c>
      <c r="C70" s="18" t="inlineStr">
        <is>
          <t>National Presto Industries Inc.</t>
        </is>
      </c>
      <c r="D70" s="18" t="inlineStr">
        <is>
          <t>NYSE</t>
        </is>
      </c>
      <c r="E70" s="18" t="inlineStr">
        <is>
          <t>工業</t>
        </is>
      </c>
      <c r="F70" s="18" t="inlineStr">
        <is>
          <t>Ordnance And Accessories</t>
        </is>
      </c>
      <c r="G70" s="20" t="n">
        <v>10.85</v>
      </c>
      <c r="H70" s="18" t="inlineStr">
        <is>
          <t>小型</t>
        </is>
      </c>
      <c r="I70" s="21" t="n">
        <v>152.08</v>
      </c>
      <c r="J70" s="21" t="n">
        <v>152.84</v>
      </c>
      <c r="K70" s="22">
        <f>IF(J70="","",I70/J70-1)</f>
        <v/>
      </c>
      <c r="L70" s="21" t="n">
        <v>150.35</v>
      </c>
      <c r="M70" s="22">
        <f>I70/L70-1</f>
        <v/>
      </c>
      <c r="N70" s="18" t="n">
        <v>1</v>
      </c>
      <c r="O70" s="23" t="n">
        <v>58.9</v>
      </c>
      <c r="P70" s="23">
        <f>100*(0.25*W70+0.1*X70+0.15*Y70+0.15*Z70+0.1*AA70+0.1*AB70+0.15*AC70)</f>
        <v/>
      </c>
      <c r="Q70" s="23">
        <f>0.5*O70+0.5*P70</f>
        <v/>
      </c>
      <c r="R70" s="23">
        <f>0.4*O70+0.4*P70+0.2*(N70/4*100)</f>
        <v/>
      </c>
      <c r="S70" s="18" t="inlineStr">
        <is>
          <t>2026-09-02</t>
        </is>
      </c>
      <c r="T70" s="21" t="n">
        <v>144.69</v>
      </c>
      <c r="U70" s="22">
        <f>IF(T70="","",I70/T70-1)</f>
        <v/>
      </c>
      <c r="V70" s="18" t="n">
        <v>4</v>
      </c>
      <c r="W70" s="24" t="n">
        <v>0.366</v>
      </c>
      <c r="X70" s="24" t="n">
        <v>0.61</v>
      </c>
      <c r="Y70" s="24" t="n">
        <v>0.667</v>
      </c>
      <c r="Z70" s="24" t="n">
        <v>0.456</v>
      </c>
      <c r="AA70" s="24" t="n">
        <v>0.032</v>
      </c>
      <c r="AB70" s="24" t="n">
        <v>0.831</v>
      </c>
      <c r="AC70" s="24" t="n">
        <v>1</v>
      </c>
      <c r="AD70" s="18" t="inlineStr">
        <is>
          <t>業績</t>
        </is>
      </c>
      <c r="AE70" s="25" t="inlineStr">
        <is>
          <t>7/31 Q2防務EPS飆207% → 翌日+11.1%</t>
        </is>
      </c>
      <c r="AF70" s="18" t="inlineStr">
        <is>
          <t>高</t>
        </is>
      </c>
      <c r="AG70" s="18" t="inlineStr"/>
      <c r="AH70" s="18" t="inlineStr">
        <is>
          <t>▼ 2</t>
        </is>
      </c>
    </row>
    <row r="71">
      <c r="A71" s="18" t="n">
        <v>70</v>
      </c>
      <c r="B71" s="19" t="inlineStr">
        <is>
          <t>UNM</t>
        </is>
      </c>
      <c r="C71" s="18" t="inlineStr">
        <is>
          <t>Unum Group</t>
        </is>
      </c>
      <c r="D71" s="18" t="inlineStr">
        <is>
          <t>NYSE</t>
        </is>
      </c>
      <c r="E71" s="18" t="inlineStr">
        <is>
          <t>金融</t>
        </is>
      </c>
      <c r="F71" s="18" t="inlineStr">
        <is>
          <t>Accident &amp;Health Insurance</t>
        </is>
      </c>
      <c r="G71" s="20" t="n">
        <v>151.37</v>
      </c>
      <c r="H71" s="18" t="inlineStr">
        <is>
          <t>大型</t>
        </is>
      </c>
      <c r="I71" s="21" t="n">
        <v>95.62</v>
      </c>
      <c r="J71" s="21" t="n">
        <v>94.81999999999999</v>
      </c>
      <c r="K71" s="22">
        <f>IF(J71="","",I71/J71-1)</f>
        <v/>
      </c>
      <c r="L71" s="21" t="n">
        <v>94.95</v>
      </c>
      <c r="M71" s="22">
        <f>I71/L71-1</f>
        <v/>
      </c>
      <c r="N71" s="18" t="n">
        <v>1</v>
      </c>
      <c r="O71" s="23" t="n">
        <v>51.1</v>
      </c>
      <c r="P71" s="23">
        <f>100*(0.25*W71+0.1*X71+0.15*Y71+0.15*Z71+0.1*AA71+0.1*AB71+0.15*AC71)</f>
        <v/>
      </c>
      <c r="Q71" s="23">
        <f>0.5*O71+0.5*P71</f>
        <v/>
      </c>
      <c r="R71" s="23">
        <f>0.4*O71+0.4*P71+0.2*(N71/4*100)</f>
        <v/>
      </c>
      <c r="S71" s="18" t="inlineStr">
        <is>
          <t>2026-09-09</t>
        </is>
      </c>
      <c r="T71" s="21" t="n">
        <v>93.06999999999999</v>
      </c>
      <c r="U71" s="22">
        <f>IF(T71="","",I71/T71-1)</f>
        <v/>
      </c>
      <c r="V71" s="18" t="n">
        <v>4</v>
      </c>
      <c r="W71" s="24" t="n">
        <v>0.437</v>
      </c>
      <c r="X71" s="24" t="n">
        <v>0.729</v>
      </c>
      <c r="Y71" s="24" t="n">
        <v>0.4</v>
      </c>
      <c r="Z71" s="24" t="n">
        <v>0.642</v>
      </c>
      <c r="AA71" s="24" t="n">
        <v>0.518</v>
      </c>
      <c r="AB71" s="24" t="n">
        <v>0.889</v>
      </c>
      <c r="AC71" s="24" t="n">
        <v>1</v>
      </c>
      <c r="AD71" s="18" t="inlineStr">
        <is>
          <t>跟大市</t>
        </is>
      </c>
      <c r="AE71" s="25" t="inlineStr">
        <is>
          <t>無個股催化，回購+資本回報撐反彈</t>
        </is>
      </c>
      <c r="AF71" s="18" t="inlineStr">
        <is>
          <t>低</t>
        </is>
      </c>
      <c r="AG71" s="18" t="inlineStr"/>
      <c r="AH71" s="18" t="inlineStr">
        <is>
          <t>▼ 1</t>
        </is>
      </c>
    </row>
    <row r="72">
      <c r="A72" s="18" t="n">
        <v>71</v>
      </c>
      <c r="B72" s="19" t="inlineStr">
        <is>
          <t>NTSK</t>
        </is>
      </c>
      <c r="C72" s="18" t="inlineStr">
        <is>
          <t>Netskope Inc. Class A</t>
        </is>
      </c>
      <c r="D72" s="18" t="inlineStr">
        <is>
          <t>NASDAQ</t>
        </is>
      </c>
      <c r="E72" s="18" t="inlineStr">
        <is>
          <t>科技</t>
        </is>
      </c>
      <c r="F72" s="18" t="inlineStr">
        <is>
          <t>Computer Software: Prepackaged Software</t>
        </is>
      </c>
      <c r="G72" s="20" t="n">
        <v>70.31999999999999</v>
      </c>
      <c r="H72" s="18" t="inlineStr">
        <is>
          <t>中型</t>
        </is>
      </c>
      <c r="I72" s="21" t="n">
        <v>17.21</v>
      </c>
      <c r="J72" s="21" t="n">
        <v>17.29</v>
      </c>
      <c r="K72" s="22">
        <f>IF(J72="","",I72/J72-1)</f>
        <v/>
      </c>
      <c r="L72" s="21" t="n">
        <v>15.59</v>
      </c>
      <c r="M72" s="22">
        <f>I72/L72-1</f>
        <v/>
      </c>
      <c r="N72" s="18" t="n">
        <v>2</v>
      </c>
      <c r="O72" s="23" t="n">
        <v>12.6</v>
      </c>
      <c r="P72" s="23">
        <f>100*(0.25*W72+0.1*X72+0.15*Y72+0.15*Z72+0.1*AA72+0.1*AB72+0.15*AC72)</f>
        <v/>
      </c>
      <c r="Q72" s="23">
        <f>0.5*O72+0.5*P72</f>
        <v/>
      </c>
      <c r="R72" s="23">
        <f>0.4*O72+0.4*P72+0.2*(N72/4*100)</f>
        <v/>
      </c>
      <c r="S72" s="18" t="inlineStr">
        <is>
          <t>2026-09-02</t>
        </is>
      </c>
      <c r="T72" s="21" t="n">
        <v>13.75</v>
      </c>
      <c r="U72" s="22">
        <f>IF(T72="","",I72/T72-1)</f>
        <v/>
      </c>
      <c r="V72" s="18" t="n">
        <v>3</v>
      </c>
      <c r="W72" s="24" t="n">
        <v>1</v>
      </c>
      <c r="X72" s="24" t="n">
        <v>1</v>
      </c>
      <c r="Y72" s="24" t="n">
        <v>0.667</v>
      </c>
      <c r="Z72" s="24" t="n">
        <v>0.866</v>
      </c>
      <c r="AA72" s="24" t="n">
        <v>0.591</v>
      </c>
      <c r="AB72" s="24" t="n">
        <v>0.9419999999999999</v>
      </c>
      <c r="AC72" s="24" t="n">
        <v>1</v>
      </c>
      <c r="AD72" s="18" t="inlineStr">
        <is>
          <t>評級</t>
        </is>
      </c>
      <c r="AE72" s="25" t="inlineStr">
        <is>
          <t>7/31膺Gartner SASE領導者、大行齊升目標價</t>
        </is>
      </c>
      <c r="AF72" s="18" t="inlineStr">
        <is>
          <t>中</t>
        </is>
      </c>
      <c r="AG72" s="18" t="inlineStr"/>
      <c r="AH72" s="18" t="inlineStr">
        <is>
          <t>▲ 4</t>
        </is>
      </c>
    </row>
    <row r="73">
      <c r="A73" s="10" t="n">
        <v>72</v>
      </c>
      <c r="B73" s="11" t="inlineStr">
        <is>
          <t>OESX</t>
        </is>
      </c>
      <c r="C73" s="10" t="inlineStr">
        <is>
          <t>Orion Energy Systems Inc.</t>
        </is>
      </c>
      <c r="D73" s="10" t="inlineStr">
        <is>
          <t>NASDAQ</t>
        </is>
      </c>
      <c r="E73" s="10" t="inlineStr">
        <is>
          <t>非必需消費</t>
        </is>
      </c>
      <c r="F73" s="10" t="inlineStr">
        <is>
          <t>Building Products</t>
        </is>
      </c>
      <c r="G73" s="12" t="n">
        <v>1.1</v>
      </c>
      <c r="H73" s="10" t="inlineStr">
        <is>
          <t>小型</t>
        </is>
      </c>
      <c r="I73" s="13" t="n">
        <v>26.99</v>
      </c>
      <c r="J73" s="13" t="n">
        <v>27.96</v>
      </c>
      <c r="K73" s="14">
        <f>IF(J73="","",I73/J73-1)</f>
        <v/>
      </c>
      <c r="L73" s="13" t="n">
        <v>26.91</v>
      </c>
      <c r="M73" s="14">
        <f>I73/L73-1</f>
        <v/>
      </c>
      <c r="N73" s="10" t="n">
        <v>3</v>
      </c>
      <c r="O73" s="15" t="n">
        <v>38.4</v>
      </c>
      <c r="P73" s="15">
        <f>100*(0.25*W73+0.1*X73+0.15*Y73+0.15*Z73+0.1*AA73+0.1*AB73+0.15*AC73)</f>
        <v/>
      </c>
      <c r="Q73" s="15">
        <f>0.5*O73+0.5*P73</f>
        <v/>
      </c>
      <c r="R73" s="15">
        <f>0.4*O73+0.4*P73+0.2*(N73/4*100)</f>
        <v/>
      </c>
      <c r="S73" s="10" t="inlineStr">
        <is>
          <t>2026-09-14</t>
        </is>
      </c>
      <c r="T73" s="13" t="n">
        <v>25.29</v>
      </c>
      <c r="U73" s="14">
        <f>IF(T73="","",I73/T73-1)</f>
        <v/>
      </c>
      <c r="V73" s="10" t="n">
        <v>4</v>
      </c>
      <c r="W73" s="16" t="n">
        <v>0.195</v>
      </c>
      <c r="X73" s="16" t="n">
        <v>0.325</v>
      </c>
      <c r="Y73" s="16" t="n">
        <v>0.2</v>
      </c>
      <c r="Z73" s="16" t="n">
        <v>0.765</v>
      </c>
      <c r="AA73" s="16" t="n">
        <v>0.14</v>
      </c>
      <c r="AB73" s="16" t="n">
        <v>0.991</v>
      </c>
      <c r="AC73" s="16" t="n">
        <v>1</v>
      </c>
      <c r="AD73" s="10" t="inlineStr">
        <is>
          <t>業績</t>
        </is>
      </c>
      <c r="AE73" s="17" t="inlineStr">
        <is>
          <t>8/5 FY27 Q1 EPS $0.47勝預期$0.14、收入增32% → 單日急升54%</t>
        </is>
      </c>
      <c r="AF73" s="10" t="inlineStr">
        <is>
          <t>高</t>
        </is>
      </c>
      <c r="AG73" s="10" t="inlineStr"/>
      <c r="AH73" s="10" t="inlineStr">
        <is>
          <t>新上榜</t>
        </is>
      </c>
    </row>
    <row r="74">
      <c r="A74" s="10" t="n">
        <v>73</v>
      </c>
      <c r="B74" s="11" t="inlineStr">
        <is>
          <t>NOW</t>
        </is>
      </c>
      <c r="C74" s="10" t="inlineStr">
        <is>
          <t>ServiceNow Inc.</t>
        </is>
      </c>
      <c r="D74" s="10" t="inlineStr">
        <is>
          <t>NYSE</t>
        </is>
      </c>
      <c r="E74" s="10" t="inlineStr">
        <is>
          <t>科技</t>
        </is>
      </c>
      <c r="F74" s="10" t="inlineStr">
        <is>
          <t>Computer Software: Prepackaged Software</t>
        </is>
      </c>
      <c r="G74" s="12" t="n">
        <v>1431.78</v>
      </c>
      <c r="H74" s="10" t="inlineStr">
        <is>
          <t>大型</t>
        </is>
      </c>
      <c r="I74" s="13" t="n">
        <v>138.47</v>
      </c>
      <c r="J74" s="13" t="n">
        <v>139.82</v>
      </c>
      <c r="K74" s="14">
        <f>IF(J74="","",I74/J74-1)</f>
        <v/>
      </c>
      <c r="L74" s="13" t="n">
        <v>137.84</v>
      </c>
      <c r="M74" s="14">
        <f>I74/L74-1</f>
        <v/>
      </c>
      <c r="N74" s="10" t="n">
        <v>1</v>
      </c>
      <c r="O74" s="15" t="n">
        <v>51.2</v>
      </c>
      <c r="P74" s="15">
        <f>100*(0.25*W74+0.1*X74+0.15*Y74+0.15*Z74+0.1*AA74+0.1*AB74+0.15*AC74)</f>
        <v/>
      </c>
      <c r="Q74" s="15">
        <f>0.5*O74+0.5*P74</f>
        <v/>
      </c>
      <c r="R74" s="15">
        <f>0.4*O74+0.4*P74+0.2*(N74/4*100)</f>
        <v/>
      </c>
      <c r="S74" s="10" t="inlineStr">
        <is>
          <t>2026-09-09</t>
        </is>
      </c>
      <c r="T74" s="13" t="n">
        <v>131.11</v>
      </c>
      <c r="U74" s="14">
        <f>IF(T74="","",I74/T74-1)</f>
        <v/>
      </c>
      <c r="V74" s="10" t="n">
        <v>4</v>
      </c>
      <c r="W74" s="16" t="n">
        <v>0.262</v>
      </c>
      <c r="X74" s="16" t="n">
        <v>0.436</v>
      </c>
      <c r="Y74" s="16" t="n">
        <v>0.4</v>
      </c>
      <c r="Z74" s="16" t="n">
        <v>0.97</v>
      </c>
      <c r="AA74" s="16" t="n">
        <v>0.447</v>
      </c>
      <c r="AB74" s="16" t="n">
        <v>0.959</v>
      </c>
      <c r="AC74" s="16" t="n">
        <v>1</v>
      </c>
      <c r="AD74" s="10" t="inlineStr">
        <is>
          <t>AI</t>
        </is>
      </c>
      <c r="AE74" s="17" t="inlineStr">
        <is>
          <t>7/22 Q2 EPS超預期18%、AI年合約值破$10億 → 兩日後抽7.4%</t>
        </is>
      </c>
      <c r="AF74" s="10" t="inlineStr">
        <is>
          <t>高</t>
        </is>
      </c>
      <c r="AG74" s="10" t="inlineStr"/>
      <c r="AH74" s="10" t="inlineStr">
        <is>
          <t>新上榜</t>
        </is>
      </c>
    </row>
    <row r="75">
      <c r="A75" s="10" t="n">
        <v>74</v>
      </c>
      <c r="B75" s="11" t="inlineStr">
        <is>
          <t>SPT</t>
        </is>
      </c>
      <c r="C75" s="10" t="inlineStr">
        <is>
          <t>Sprout Social Inc Class A</t>
        </is>
      </c>
      <c r="D75" s="10" t="inlineStr">
        <is>
          <t>NASDAQ</t>
        </is>
      </c>
      <c r="E75" s="10" t="inlineStr">
        <is>
          <t>科技</t>
        </is>
      </c>
      <c r="F75" s="10" t="inlineStr">
        <is>
          <t>Computer Software: Prepackaged Software</t>
        </is>
      </c>
      <c r="G75" s="12" t="n">
        <v>6.56</v>
      </c>
      <c r="H75" s="10" t="inlineStr">
        <is>
          <t>小型</t>
        </is>
      </c>
      <c r="I75" s="13" t="n">
        <v>10.82</v>
      </c>
      <c r="J75" s="13" t="n">
        <v>11.27</v>
      </c>
      <c r="K75" s="14">
        <f>IF(J75="","",I75/J75-1)</f>
        <v/>
      </c>
      <c r="L75" s="13" t="n">
        <v>10.97</v>
      </c>
      <c r="M75" s="14">
        <f>I75/L75-1</f>
        <v/>
      </c>
      <c r="N75" s="10" t="n">
        <v>1</v>
      </c>
      <c r="O75" s="15" t="n">
        <v>42.3</v>
      </c>
      <c r="P75" s="15">
        <f>100*(0.25*W75+0.1*X75+0.15*Y75+0.15*Z75+0.1*AA75+0.1*AB75+0.15*AC75)</f>
        <v/>
      </c>
      <c r="Q75" s="15">
        <f>0.5*O75+0.5*P75</f>
        <v/>
      </c>
      <c r="R75" s="15">
        <f>0.4*O75+0.4*P75+0.2*(N75/4*100)</f>
        <v/>
      </c>
      <c r="S75" s="10" t="inlineStr">
        <is>
          <t>2026-09-09</t>
        </is>
      </c>
      <c r="T75" s="13" t="n">
        <v>10.13</v>
      </c>
      <c r="U75" s="14">
        <f>IF(T75="","",I75/T75-1)</f>
        <v/>
      </c>
      <c r="V75" s="10" t="n">
        <v>3</v>
      </c>
      <c r="W75" s="16" t="n">
        <v>1</v>
      </c>
      <c r="X75" s="16" t="n">
        <v>0.507</v>
      </c>
      <c r="Y75" s="16" t="n">
        <v>0.4</v>
      </c>
      <c r="Z75" s="16" t="n">
        <v>0.621</v>
      </c>
      <c r="AA75" s="16" t="n">
        <v>0.406</v>
      </c>
      <c r="AB75" s="16" t="n">
        <v>0.9320000000000001</v>
      </c>
      <c r="AC75" s="16" t="n">
        <v>0.6</v>
      </c>
      <c r="AD75" s="10" t="inlineStr">
        <is>
          <t>業績</t>
        </is>
      </c>
      <c r="AE75" s="17" t="inlineStr">
        <is>
          <t>8/6 Q2績後上調全年營運利潤指引20%、裁員20%慳$5,000萬 → 翌日單日+26.3%</t>
        </is>
      </c>
      <c r="AF75" s="10" t="inlineStr">
        <is>
          <t>高</t>
        </is>
      </c>
      <c r="AG75" s="10" t="inlineStr"/>
      <c r="AH75" s="10" t="inlineStr">
        <is>
          <t>新上榜</t>
        </is>
      </c>
    </row>
    <row r="76">
      <c r="A76" s="18" t="n">
        <v>75</v>
      </c>
      <c r="B76" s="19" t="inlineStr">
        <is>
          <t>AESI</t>
        </is>
      </c>
      <c r="C76" s="18" t="inlineStr">
        <is>
          <t>Atlas Energy Solutions Inc.</t>
        </is>
      </c>
      <c r="D76" s="18" t="inlineStr">
        <is>
          <t>NYSE</t>
        </is>
      </c>
      <c r="E76" s="18" t="inlineStr">
        <is>
          <t>工業</t>
        </is>
      </c>
      <c r="F76" s="18" t="inlineStr">
        <is>
          <t>Mining &amp; Quarrying of Nonmetallic Minerals (No Fuels)</t>
        </is>
      </c>
      <c r="G76" s="20" t="n">
        <v>16.78</v>
      </c>
      <c r="H76" s="18" t="inlineStr">
        <is>
          <t>小型</t>
        </is>
      </c>
      <c r="I76" s="21" t="n">
        <v>13.42</v>
      </c>
      <c r="J76" s="21" t="n">
        <v>13.57</v>
      </c>
      <c r="K76" s="22">
        <f>IF(J76="","",I76/J76-1)</f>
        <v/>
      </c>
      <c r="L76" s="21" t="n">
        <v>13.7</v>
      </c>
      <c r="M76" s="22">
        <f>I76/L76-1</f>
        <v/>
      </c>
      <c r="N76" s="18" t="n">
        <v>2</v>
      </c>
      <c r="O76" s="23" t="n">
        <v>49.7</v>
      </c>
      <c r="P76" s="23">
        <f>100*(0.25*W76+0.1*X76+0.15*Y76+0.15*Z76+0.1*AA76+0.1*AB76+0.15*AC76)</f>
        <v/>
      </c>
      <c r="Q76" s="23">
        <f>0.5*O76+0.5*P76</f>
        <v/>
      </c>
      <c r="R76" s="23">
        <f>0.4*O76+0.4*P76+0.2*(N76/4*100)</f>
        <v/>
      </c>
      <c r="S76" s="18" t="inlineStr">
        <is>
          <t>2026-09-14</t>
        </is>
      </c>
      <c r="T76" s="21" t="n">
        <v>13.14</v>
      </c>
      <c r="U76" s="22">
        <f>IF(T76="","",I76/T76-1)</f>
        <v/>
      </c>
      <c r="V76" s="18" t="n">
        <v>5</v>
      </c>
      <c r="W76" s="24" t="n">
        <v>0.117</v>
      </c>
      <c r="X76" s="24" t="n">
        <v>0.194</v>
      </c>
      <c r="Y76" s="24" t="n">
        <v>0.2</v>
      </c>
      <c r="Z76" s="24" t="n">
        <v>0.832</v>
      </c>
      <c r="AA76" s="24" t="n">
        <v>0.737</v>
      </c>
      <c r="AB76" s="24" t="n">
        <v>0.881</v>
      </c>
      <c r="AC76" s="24" t="n">
        <v>0.7</v>
      </c>
      <c r="AD76" s="18" t="inlineStr">
        <is>
          <t>無</t>
        </is>
      </c>
      <c r="AE76" s="25" t="inlineStr">
        <is>
          <t>無個股催化 · 隨大市／板塊回升</t>
        </is>
      </c>
      <c r="AF76" s="18" t="inlineStr">
        <is>
          <t>中</t>
        </is>
      </c>
      <c r="AG76" s="18" t="inlineStr"/>
      <c r="AH76" s="18" t="inlineStr">
        <is>
          <t>▼ 34</t>
        </is>
      </c>
    </row>
    <row r="77">
      <c r="A77" s="18" t="n">
        <v>76</v>
      </c>
      <c r="B77" s="19" t="inlineStr">
        <is>
          <t>CYPH</t>
        </is>
      </c>
      <c r="C77" s="18" t="inlineStr">
        <is>
          <t>Cypherpunk Technologies Inc.</t>
        </is>
      </c>
      <c r="D77" s="18" t="inlineStr">
        <is>
          <t>NASDAQ</t>
        </is>
      </c>
      <c r="E77" s="18" t="inlineStr">
        <is>
          <t>醫療保健</t>
        </is>
      </c>
      <c r="F77" s="18" t="inlineStr">
        <is>
          <t>Biotechnology: Pharmaceutical Preparations</t>
        </is>
      </c>
      <c r="G77" s="20" t="n">
        <v>3.31</v>
      </c>
      <c r="H77" s="18" t="inlineStr">
        <is>
          <t>小型</t>
        </is>
      </c>
      <c r="I77" s="21" t="n">
        <v>3.07</v>
      </c>
      <c r="J77" s="21" t="n">
        <v>2.44</v>
      </c>
      <c r="K77" s="22">
        <f>IF(J77="","",I77/J77-1)</f>
        <v/>
      </c>
      <c r="L77" s="21" t="n">
        <v>2.45</v>
      </c>
      <c r="M77" s="22">
        <f>I77/L77-1</f>
        <v/>
      </c>
      <c r="N77" s="18" t="n">
        <v>3</v>
      </c>
      <c r="O77" s="23" t="n">
        <v>2.7</v>
      </c>
      <c r="P77" s="23">
        <f>100*(0.25*W77+0.1*X77+0.15*Y77+0.15*Z77+0.1*AA77+0.1*AB77+0.15*AC77)</f>
        <v/>
      </c>
      <c r="Q77" s="23">
        <f>0.5*O77+0.5*P77</f>
        <v/>
      </c>
      <c r="R77" s="23">
        <f>0.4*O77+0.4*P77+0.2*(N77/4*100)</f>
        <v/>
      </c>
      <c r="S77" s="18" t="inlineStr">
        <is>
          <t>2026-09-10</t>
        </is>
      </c>
      <c r="T77" s="21" t="n">
        <v>2.2</v>
      </c>
      <c r="U77" s="22">
        <f>IF(T77="","",I77/T77-1)</f>
        <v/>
      </c>
      <c r="V77" s="18" t="n">
        <v>4</v>
      </c>
      <c r="W77" s="24" t="n">
        <v>1</v>
      </c>
      <c r="X77" s="24" t="n">
        <v>1</v>
      </c>
      <c r="Y77" s="24" t="n">
        <v>0.333</v>
      </c>
      <c r="Z77" s="24" t="n">
        <v>0.86</v>
      </c>
      <c r="AA77" s="24" t="n">
        <v>0.36</v>
      </c>
      <c r="AB77" s="24" t="n">
        <v>0.999</v>
      </c>
      <c r="AC77" s="24" t="n">
        <v>1</v>
      </c>
      <c r="AD77" s="18" t="inlineStr">
        <is>
          <t>評級</t>
        </is>
      </c>
      <c r="AE77" s="25" t="inlineStr">
        <is>
          <t>8/19 Cantor升目標價 → 單日+32.9%</t>
        </is>
      </c>
      <c r="AF77" s="18" t="inlineStr">
        <is>
          <t>中</t>
        </is>
      </c>
      <c r="AG77" s="18" t="inlineStr"/>
      <c r="AH77" s="18" t="inlineStr">
        <is>
          <t>—</t>
        </is>
      </c>
    </row>
    <row r="78">
      <c r="A78" s="18" t="n">
        <v>77</v>
      </c>
      <c r="B78" s="19" t="inlineStr">
        <is>
          <t>FEIM</t>
        </is>
      </c>
      <c r="C78" s="18" t="inlineStr">
        <is>
          <t>Frequency Electronics Inc.</t>
        </is>
      </c>
      <c r="D78" s="18" t="inlineStr">
        <is>
          <t>NASDAQ</t>
        </is>
      </c>
      <c r="E78" s="18" t="inlineStr">
        <is>
          <t>工業</t>
        </is>
      </c>
      <c r="F78" s="18" t="inlineStr">
        <is>
          <t>Electrical Products</t>
        </is>
      </c>
      <c r="G78" s="20" t="n">
        <v>9.449999999999999</v>
      </c>
      <c r="H78" s="18" t="inlineStr">
        <is>
          <t>小型</t>
        </is>
      </c>
      <c r="I78" s="21" t="n">
        <v>83.81999999999999</v>
      </c>
      <c r="J78" s="21" t="n">
        <v>84.59999999999999</v>
      </c>
      <c r="K78" s="22">
        <f>IF(J78="","",I78/J78-1)</f>
        <v/>
      </c>
      <c r="L78" s="21" t="n">
        <v>73.89</v>
      </c>
      <c r="M78" s="22">
        <f>I78/L78-1</f>
        <v/>
      </c>
      <c r="N78" s="18" t="n">
        <v>2</v>
      </c>
      <c r="O78" s="23" t="n">
        <v>8.199999999999999</v>
      </c>
      <c r="P78" s="23">
        <f>100*(0.25*W78+0.1*X78+0.15*Y78+0.15*Z78+0.1*AA78+0.1*AB78+0.15*AC78)</f>
        <v/>
      </c>
      <c r="Q78" s="23">
        <f>0.5*O78+0.5*P78</f>
        <v/>
      </c>
      <c r="R78" s="23">
        <f>0.4*O78+0.4*P78+0.2*(N78/4*100)</f>
        <v/>
      </c>
      <c r="S78" s="18" t="inlineStr">
        <is>
          <t>2026-09-01</t>
        </is>
      </c>
      <c r="T78" s="21" t="n">
        <v>58.98</v>
      </c>
      <c r="U78" s="22">
        <f>IF(T78="","",I78/T78-1)</f>
        <v/>
      </c>
      <c r="V78" s="18" t="n">
        <v>3</v>
      </c>
      <c r="W78" s="24" t="n">
        <v>1</v>
      </c>
      <c r="X78" s="24" t="n">
        <v>1</v>
      </c>
      <c r="Y78" s="24" t="n">
        <v>0.733</v>
      </c>
      <c r="Z78" s="24" t="n">
        <v>0.881</v>
      </c>
      <c r="AA78" s="24" t="n">
        <v>0.8070000000000001</v>
      </c>
      <c r="AB78" s="24" t="n">
        <v>0.9389999999999999</v>
      </c>
      <c r="AC78" s="24" t="n">
        <v>0.7</v>
      </c>
      <c r="AD78" s="18" t="inlineStr">
        <is>
          <t>業績</t>
        </is>
      </c>
      <c r="AE78" s="25" t="inlineStr">
        <is>
          <t>9/10收市後Q1收入+70% → 翌日+42.4%</t>
        </is>
      </c>
      <c r="AF78" s="18" t="inlineStr">
        <is>
          <t>中</t>
        </is>
      </c>
      <c r="AG78" s="18" t="inlineStr"/>
      <c r="AH78" s="18" t="inlineStr">
        <is>
          <t>▼ 7</t>
        </is>
      </c>
    </row>
    <row r="79">
      <c r="A79" s="18" t="n">
        <v>78</v>
      </c>
      <c r="B79" s="19" t="inlineStr">
        <is>
          <t>PEGA</t>
        </is>
      </c>
      <c r="C79" s="18" t="inlineStr">
        <is>
          <t>Pegasystems Inc.</t>
        </is>
      </c>
      <c r="D79" s="18" t="inlineStr">
        <is>
          <t>NASDAQ</t>
        </is>
      </c>
      <c r="E79" s="18" t="inlineStr">
        <is>
          <t>科技</t>
        </is>
      </c>
      <c r="F79" s="18" t="inlineStr">
        <is>
          <t>EDP Services</t>
        </is>
      </c>
      <c r="G79" s="20" t="n">
        <v>59.3</v>
      </c>
      <c r="H79" s="18" t="inlineStr">
        <is>
          <t>中型</t>
        </is>
      </c>
      <c r="I79" s="21" t="n">
        <v>36.07</v>
      </c>
      <c r="J79" s="21" t="n">
        <v>36.84</v>
      </c>
      <c r="K79" s="22">
        <f>IF(J79="","",I79/J79-1)</f>
        <v/>
      </c>
      <c r="L79" s="21" t="n">
        <v>36.71</v>
      </c>
      <c r="M79" s="22">
        <f>I79/L79-1</f>
        <v/>
      </c>
      <c r="N79" s="18" t="n">
        <v>1</v>
      </c>
      <c r="O79" s="23" t="n">
        <v>37.5</v>
      </c>
      <c r="P79" s="23">
        <f>100*(0.25*W79+0.1*X79+0.15*Y79+0.15*Z79+0.1*AA79+0.1*AB79+0.15*AC79)</f>
        <v/>
      </c>
      <c r="Q79" s="23">
        <f>0.5*O79+0.5*P79</f>
        <v/>
      </c>
      <c r="R79" s="23">
        <f>0.4*O79+0.4*P79+0.2*(N79/4*100)</f>
        <v/>
      </c>
      <c r="S79" s="18" t="inlineStr">
        <is>
          <t>2026-09-09</t>
        </is>
      </c>
      <c r="T79" s="21" t="n">
        <v>35.03</v>
      </c>
      <c r="U79" s="22">
        <f>IF(T79="","",I79/T79-1)</f>
        <v/>
      </c>
      <c r="V79" s="18" t="n">
        <v>3</v>
      </c>
      <c r="W79" s="24" t="n">
        <v>1</v>
      </c>
      <c r="X79" s="24" t="n">
        <v>0.387</v>
      </c>
      <c r="Y79" s="24" t="n">
        <v>0.4</v>
      </c>
      <c r="Z79" s="24" t="n">
        <v>0.219</v>
      </c>
      <c r="AA79" s="24" t="n">
        <v>0.719</v>
      </c>
      <c r="AB79" s="24" t="n">
        <v>0.9360000000000001</v>
      </c>
      <c r="AC79" s="24" t="n">
        <v>1</v>
      </c>
      <c r="AD79" s="18" t="inlineStr">
        <is>
          <t>跟大市</t>
        </is>
      </c>
      <c r="AE79" s="25" t="inlineStr">
        <is>
          <t>無個股催化：7/22 Q2遜預期插16.0%後靠軟件股輪動</t>
        </is>
      </c>
      <c r="AF79" s="18" t="inlineStr">
        <is>
          <t>中</t>
        </is>
      </c>
      <c r="AG79" s="18" t="inlineStr"/>
      <c r="AH79" s="18" t="inlineStr">
        <is>
          <t>▼ 44</t>
        </is>
      </c>
    </row>
    <row r="80">
      <c r="A80" s="10" t="n">
        <v>79</v>
      </c>
      <c r="B80" s="11" t="inlineStr">
        <is>
          <t>CTKB</t>
        </is>
      </c>
      <c r="C80" s="10" t="inlineStr">
        <is>
          <t>Cytek Biosciences Inc.</t>
        </is>
      </c>
      <c r="D80" s="10" t="inlineStr">
        <is>
          <t>NASDAQ</t>
        </is>
      </c>
      <c r="E80" s="10" t="inlineStr">
        <is>
          <t>工業</t>
        </is>
      </c>
      <c r="F80" s="10" t="inlineStr">
        <is>
          <t>Biotechnology: Laboratory Analytical Instruments</t>
        </is>
      </c>
      <c r="G80" s="12" t="n">
        <v>6.77</v>
      </c>
      <c r="H80" s="10" t="inlineStr">
        <is>
          <t>小型</t>
        </is>
      </c>
      <c r="I80" s="13" t="n">
        <v>5.21</v>
      </c>
      <c r="J80" s="13" t="n">
        <v>4.93</v>
      </c>
      <c r="K80" s="14">
        <f>IF(J80="","",I80/J80-1)</f>
        <v/>
      </c>
      <c r="L80" s="13" t="n">
        <v>4.78</v>
      </c>
      <c r="M80" s="14">
        <f>I80/L80-1</f>
        <v/>
      </c>
      <c r="N80" s="10" t="n">
        <v>2</v>
      </c>
      <c r="O80" s="15" t="n">
        <v>21.4</v>
      </c>
      <c r="P80" s="15">
        <f>100*(0.25*W80+0.1*X80+0.15*Y80+0.15*Z80+0.1*AA80+0.1*AB80+0.15*AC80)</f>
        <v/>
      </c>
      <c r="Q80" s="15">
        <f>0.5*O80+0.5*P80</f>
        <v/>
      </c>
      <c r="R80" s="15">
        <f>0.4*O80+0.4*P80+0.2*(N80/4*100)</f>
        <v/>
      </c>
      <c r="S80" s="10" t="inlineStr">
        <is>
          <t>2026-09-10</t>
        </is>
      </c>
      <c r="T80" s="13" t="n">
        <v>4.53</v>
      </c>
      <c r="U80" s="14">
        <f>IF(T80="","",I80/T80-1)</f>
        <v/>
      </c>
      <c r="V80" s="10" t="n">
        <v>3</v>
      </c>
      <c r="W80" s="16" t="n">
        <v>1</v>
      </c>
      <c r="X80" s="16" t="n">
        <v>1</v>
      </c>
      <c r="Y80" s="16" t="n">
        <v>0.333</v>
      </c>
      <c r="Z80" s="16" t="n">
        <v>0.177</v>
      </c>
      <c r="AA80" s="16" t="n">
        <v>0.48</v>
      </c>
      <c r="AB80" s="16" t="n">
        <v>0.9399999999999999</v>
      </c>
      <c r="AC80" s="16" t="n">
        <v>1</v>
      </c>
      <c r="AD80" s="10" t="inlineStr">
        <is>
          <t>無</t>
        </is>
      </c>
      <c r="AE80" s="17" t="inlineStr">
        <is>
          <t>無個股催化 · 隨生命科學工具板塊回升</t>
        </is>
      </c>
      <c r="AF80" s="10" t="inlineStr">
        <is>
          <t>低</t>
        </is>
      </c>
      <c r="AG80" s="10" t="inlineStr"/>
      <c r="AH80" s="10" t="inlineStr">
        <is>
          <t>新上榜</t>
        </is>
      </c>
    </row>
    <row r="81">
      <c r="A81" s="2" t="n">
        <v>80</v>
      </c>
      <c r="B81" s="3" t="inlineStr">
        <is>
          <t>EFSI</t>
        </is>
      </c>
      <c r="C81" s="2" t="inlineStr">
        <is>
          <t>Eagle Financial Services Inc</t>
        </is>
      </c>
      <c r="D81" s="2" t="inlineStr">
        <is>
          <t>NASDAQ</t>
        </is>
      </c>
      <c r="E81" s="2" t="inlineStr">
        <is>
          <t>金融</t>
        </is>
      </c>
      <c r="F81" s="2" t="inlineStr">
        <is>
          <t>Major Banks</t>
        </is>
      </c>
      <c r="G81" s="4" t="n">
        <v>2.48</v>
      </c>
      <c r="H81" s="2" t="inlineStr">
        <is>
          <t>小型</t>
        </is>
      </c>
      <c r="I81" s="5" t="n">
        <v>45.89</v>
      </c>
      <c r="J81" s="5" t="n">
        <v>45.76</v>
      </c>
      <c r="K81" s="6">
        <f>IF(J81="","",I81/J81-1)</f>
        <v/>
      </c>
      <c r="L81" s="5" t="n">
        <v>45.08</v>
      </c>
      <c r="M81" s="6">
        <f>I81/L81-1</f>
        <v/>
      </c>
      <c r="N81" s="2" t="n">
        <v>2</v>
      </c>
      <c r="O81" s="7" t="n">
        <v>18</v>
      </c>
      <c r="P81" s="7">
        <f>100*(0.25*W81+0.1*X81+0.15*Y81+0.15*Z81+0.1*AA81+0.1*AB81+0.15*AC81)</f>
        <v/>
      </c>
      <c r="Q81" s="7">
        <f>0.5*O81+0.5*P81</f>
        <v/>
      </c>
      <c r="R81" s="7">
        <f>0.4*O81+0.4*P81+0.2*(N81/4*100)</f>
        <v/>
      </c>
      <c r="S81" s="2" t="inlineStr">
        <is>
          <t>2026-09-11</t>
        </is>
      </c>
      <c r="T81" s="5" t="n">
        <v>45.52</v>
      </c>
      <c r="U81" s="6">
        <f>IF(T81="","",I81/T81-1)</f>
        <v/>
      </c>
      <c r="V81" s="2" t="n">
        <v>4</v>
      </c>
      <c r="W81" s="8" t="n">
        <v>1</v>
      </c>
      <c r="X81" s="8" t="n">
        <v>0.493</v>
      </c>
      <c r="Y81" s="8" t="n">
        <v>0.267</v>
      </c>
      <c r="Z81" s="8" t="n">
        <v>0.613</v>
      </c>
      <c r="AA81" s="8" t="n">
        <v>0.836</v>
      </c>
      <c r="AB81" s="8" t="n">
        <v>0.867</v>
      </c>
      <c r="AC81" s="8" t="n">
        <v>1</v>
      </c>
      <c r="AD81" s="2" t="inlineStr">
        <is>
          <t>併購</t>
        </is>
      </c>
      <c r="AE81" s="9" t="inlineStr">
        <is>
          <t>9/8 全股票被併購（2股JMSB）→ 單日+10.4%</t>
        </is>
      </c>
      <c r="AF81" s="2" t="inlineStr">
        <is>
          <t>高</t>
        </is>
      </c>
      <c r="AG81" s="2" t="inlineStr">
        <is>
          <t>換股釘價 · 距作價+0.8%</t>
        </is>
      </c>
      <c r="AH81" s="2" t="inlineStr">
        <is>
          <t>▼ 7</t>
        </is>
      </c>
    </row>
    <row r="82">
      <c r="A82" s="2" t="n">
        <v>81</v>
      </c>
      <c r="B82" s="3" t="inlineStr">
        <is>
          <t>AGM</t>
        </is>
      </c>
      <c r="C82" s="2" t="inlineStr">
        <is>
          <t>Federal Agricultural Mortgage Corporation</t>
        </is>
      </c>
      <c r="D82" s="2" t="inlineStr">
        <is>
          <t>NYSE</t>
        </is>
      </c>
      <c r="E82" s="2" t="inlineStr">
        <is>
          <t>金融</t>
        </is>
      </c>
      <c r="F82" s="2" t="inlineStr">
        <is>
          <t>Finance Companies</t>
        </is>
      </c>
      <c r="G82" s="4" t="n">
        <v>24.23</v>
      </c>
      <c r="H82" s="2" t="inlineStr">
        <is>
          <t>中型</t>
        </is>
      </c>
      <c r="I82" s="5" t="n">
        <v>223.29</v>
      </c>
      <c r="J82" s="5" t="n">
        <v>220.65</v>
      </c>
      <c r="K82" s="6">
        <f>IF(J82="","",I82/J82-1)</f>
        <v/>
      </c>
      <c r="L82" s="5" t="n">
        <v>224.82</v>
      </c>
      <c r="M82" s="6">
        <f>I82/L82-1</f>
        <v/>
      </c>
      <c r="N82" s="2" t="n">
        <v>1</v>
      </c>
      <c r="O82" s="7" t="n">
        <v>74.59999999999999</v>
      </c>
      <c r="P82" s="7">
        <f>100*(0.25*W82+0.1*X82+0.15*Y82+0.15*Z82+0.1*AA82+0.1*AB82+0.15*AC82)</f>
        <v/>
      </c>
      <c r="Q82" s="7">
        <f>0.5*O82+0.5*P82</f>
        <v/>
      </c>
      <c r="R82" s="7">
        <f>0.4*O82+0.4*P82+0.2*(N82/4*100)</f>
        <v/>
      </c>
      <c r="S82" s="2" t="inlineStr">
        <is>
          <t>2026-09-09</t>
        </is>
      </c>
      <c r="T82" s="5" t="n">
        <v>224.45</v>
      </c>
      <c r="U82" s="6">
        <f>IF(T82="","",I82/T82-1)</f>
        <v/>
      </c>
      <c r="V82" s="2" t="n">
        <v>4</v>
      </c>
      <c r="W82" s="8" t="n">
        <v>0</v>
      </c>
      <c r="X82" s="8" t="n">
        <v>0</v>
      </c>
      <c r="Y82" s="8" t="n">
        <v>0.1</v>
      </c>
      <c r="Z82" s="8" t="n">
        <v>0.366</v>
      </c>
      <c r="AA82" s="8" t="n">
        <v>0.178</v>
      </c>
      <c r="AB82" s="8" t="n">
        <v>0.608</v>
      </c>
      <c r="AC82" s="8" t="n">
        <v>1</v>
      </c>
      <c r="AD82" s="2" t="inlineStr">
        <is>
          <t>業績</t>
        </is>
      </c>
      <c r="AE82" s="9" t="inlineStr">
        <is>
          <t>7/30 Q2核心盈利創新高 → 翌日+3.3%</t>
        </is>
      </c>
      <c r="AF82" s="2" t="inlineStr">
        <is>
          <t>高</t>
        </is>
      </c>
      <c r="AG82" s="2" t="inlineStr">
        <is>
          <t>已跌穿底</t>
        </is>
      </c>
      <c r="AH82" s="2" t="inlineStr">
        <is>
          <t>▼ 7</t>
        </is>
      </c>
    </row>
    <row r="83">
      <c r="A83" s="10" t="n">
        <v>82</v>
      </c>
      <c r="B83" s="11" t="inlineStr">
        <is>
          <t>ABTC</t>
        </is>
      </c>
      <c r="C83" s="10" t="inlineStr">
        <is>
          <t>American Bitcoin Corp. Class A</t>
        </is>
      </c>
      <c r="D83" s="10" t="inlineStr">
        <is>
          <t>NASDAQ</t>
        </is>
      </c>
      <c r="E83" s="10" t="inlineStr">
        <is>
          <t>金融</t>
        </is>
      </c>
      <c r="F83" s="10" t="inlineStr">
        <is>
          <t>Finance: Consumer Services</t>
        </is>
      </c>
      <c r="G83" s="12" t="n">
        <v>6.43</v>
      </c>
      <c r="H83" s="10" t="inlineStr">
        <is>
          <t>小型</t>
        </is>
      </c>
      <c r="I83" s="13" t="n">
        <v>8.83</v>
      </c>
      <c r="J83" s="13" t="n">
        <v>8.140000000000001</v>
      </c>
      <c r="K83" s="14">
        <f>IF(J83="","",I83/J83-1)</f>
        <v/>
      </c>
      <c r="L83" s="13" t="n">
        <v>8.380000000000001</v>
      </c>
      <c r="M83" s="14">
        <f>I83/L83-1</f>
        <v/>
      </c>
      <c r="N83" s="10" t="n">
        <v>2</v>
      </c>
      <c r="O83" s="15" t="n">
        <v>19.4</v>
      </c>
      <c r="P83" s="15">
        <f>100*(0.25*W83+0.1*X83+0.15*Y83+0.15*Z83+0.1*AA83+0.1*AB83+0.15*AC83)</f>
        <v/>
      </c>
      <c r="Q83" s="15">
        <f>0.5*O83+0.5*P83</f>
        <v/>
      </c>
      <c r="R83" s="15">
        <f>0.4*O83+0.4*P83+0.2*(N83/4*100)</f>
        <v/>
      </c>
      <c r="S83" s="10" t="inlineStr">
        <is>
          <t>2026-08-28</t>
        </is>
      </c>
      <c r="T83" s="13" t="n">
        <v>7.69</v>
      </c>
      <c r="U83" s="14">
        <f>IF(T83="","",I83/T83-1)</f>
        <v/>
      </c>
      <c r="V83" s="10" t="n">
        <v>3</v>
      </c>
      <c r="W83" s="16" t="n">
        <v>1</v>
      </c>
      <c r="X83" s="16" t="n">
        <v>0.735</v>
      </c>
      <c r="Y83" s="16" t="n">
        <v>0.867</v>
      </c>
      <c r="Z83" s="16" t="n">
        <v>0.228</v>
      </c>
      <c r="AA83" s="16" t="n">
        <v>0.333</v>
      </c>
      <c r="AB83" s="16" t="n">
        <v>0.982</v>
      </c>
      <c r="AC83" s="16" t="n">
        <v>0.7</v>
      </c>
      <c r="AD83" s="10" t="inlineStr">
        <is>
          <t>評級</t>
        </is>
      </c>
      <c r="AE83" s="17" t="inlineStr">
        <is>
          <t>9/16 BTIG首予買入、目標價$15 → 翌日單日+8.5%</t>
        </is>
      </c>
      <c r="AF83" s="10" t="inlineStr">
        <is>
          <t>高</t>
        </is>
      </c>
      <c r="AG83" s="10" t="inlineStr"/>
      <c r="AH83" s="10" t="inlineStr">
        <is>
          <t>新上榜</t>
        </is>
      </c>
    </row>
    <row r="84">
      <c r="A84" s="18" t="n">
        <v>83</v>
      </c>
      <c r="B84" s="19" t="inlineStr">
        <is>
          <t>CRVL</t>
        </is>
      </c>
      <c r="C84" s="18" t="inlineStr">
        <is>
          <t>CorVel Corp.</t>
        </is>
      </c>
      <c r="D84" s="18" t="inlineStr">
        <is>
          <t>NASDAQ</t>
        </is>
      </c>
      <c r="E84" s="18" t="inlineStr">
        <is>
          <t>金融</t>
        </is>
      </c>
      <c r="F84" s="18" t="inlineStr">
        <is>
          <t>Specialty Insurers</t>
        </is>
      </c>
      <c r="G84" s="20" t="n">
        <v>35.62</v>
      </c>
      <c r="H84" s="18" t="inlineStr">
        <is>
          <t>中型</t>
        </is>
      </c>
      <c r="I84" s="21" t="n">
        <v>70.505</v>
      </c>
      <c r="J84" s="21" t="n">
        <v>71.23</v>
      </c>
      <c r="K84" s="22">
        <f>IF(J84="","",I84/J84-1)</f>
        <v/>
      </c>
      <c r="L84" s="21" t="n">
        <v>69.34999999999999</v>
      </c>
      <c r="M84" s="22">
        <f>I84/L84-1</f>
        <v/>
      </c>
      <c r="N84" s="18" t="n">
        <v>1</v>
      </c>
      <c r="O84" s="23" t="n">
        <v>25.2</v>
      </c>
      <c r="P84" s="23">
        <f>100*(0.25*W84+0.1*X84+0.15*Y84+0.15*Z84+0.1*AA84+0.1*AB84+0.15*AC84)</f>
        <v/>
      </c>
      <c r="Q84" s="23">
        <f>0.5*O84+0.5*P84</f>
        <v/>
      </c>
      <c r="R84" s="23">
        <f>0.4*O84+0.4*P84+0.2*(N84/4*100)</f>
        <v/>
      </c>
      <c r="S84" s="18" t="inlineStr">
        <is>
          <t>2026-09-09</t>
        </is>
      </c>
      <c r="T84" s="21" t="n">
        <v>66.44</v>
      </c>
      <c r="U84" s="22">
        <f>IF(T84="","",I84/T84-1)</f>
        <v/>
      </c>
      <c r="V84" s="18" t="n">
        <v>4</v>
      </c>
      <c r="W84" s="24" t="n">
        <v>1</v>
      </c>
      <c r="X84" s="24" t="n">
        <v>0.849</v>
      </c>
      <c r="Y84" s="24" t="n">
        <v>0.4</v>
      </c>
      <c r="Z84" s="24" t="n">
        <v>0.898</v>
      </c>
      <c r="AA84" s="24" t="n">
        <v>0.243</v>
      </c>
      <c r="AB84" s="24" t="n">
        <v>0.856</v>
      </c>
      <c r="AC84" s="24" t="n">
        <v>1</v>
      </c>
      <c r="AD84" s="18" t="inlineStr">
        <is>
          <t>業績</t>
        </is>
      </c>
      <c r="AE84" s="25" t="inlineStr">
        <is>
          <t>8/5 季度收入2.6億、EPS 0.63勝0.52 → 單日+5.9%</t>
        </is>
      </c>
      <c r="AF84" s="18" t="inlineStr">
        <is>
          <t>中</t>
        </is>
      </c>
      <c r="AG84" s="18" t="inlineStr"/>
      <c r="AH84" s="18" t="inlineStr">
        <is>
          <t>▼ 11</t>
        </is>
      </c>
    </row>
    <row r="85">
      <c r="A85" s="10" t="n">
        <v>84</v>
      </c>
      <c r="B85" s="11" t="inlineStr">
        <is>
          <t>NWSA</t>
        </is>
      </c>
      <c r="C85" s="10" t="inlineStr">
        <is>
          <t>News Corporation Class A</t>
        </is>
      </c>
      <c r="D85" s="10" t="inlineStr">
        <is>
          <t>NASDAQ</t>
        </is>
      </c>
      <c r="E85" s="10" t="inlineStr">
        <is>
          <t>通訊服務</t>
        </is>
      </c>
      <c r="F85" s="10" t="inlineStr">
        <is>
          <t>Newspapers/Magazines</t>
        </is>
      </c>
      <c r="G85" s="12" t="n">
        <v>163.29</v>
      </c>
      <c r="H85" s="10" t="inlineStr">
        <is>
          <t>大型</t>
        </is>
      </c>
      <c r="I85" s="13" t="n">
        <v>30.18</v>
      </c>
      <c r="J85" s="13" t="n">
        <v>30.19</v>
      </c>
      <c r="K85" s="14">
        <f>IF(J85="","",I85/J85-1)</f>
        <v/>
      </c>
      <c r="L85" s="13" t="n">
        <v>30.09</v>
      </c>
      <c r="M85" s="14">
        <f>I85/L85-1</f>
        <v/>
      </c>
      <c r="N85" s="10" t="n">
        <v>1</v>
      </c>
      <c r="O85" s="15" t="n">
        <v>53.4</v>
      </c>
      <c r="P85" s="15">
        <f>100*(0.25*W85+0.1*X85+0.15*Y85+0.15*Z85+0.1*AA85+0.1*AB85+0.15*AC85)</f>
        <v/>
      </c>
      <c r="Q85" s="15">
        <f>0.5*O85+0.5*P85</f>
        <v/>
      </c>
      <c r="R85" s="15">
        <f>0.4*O85+0.4*P85+0.2*(N85/4*100)</f>
        <v/>
      </c>
      <c r="S85" s="10" t="inlineStr">
        <is>
          <t>2026-09-10</t>
        </is>
      </c>
      <c r="T85" s="13" t="n">
        <v>29.38</v>
      </c>
      <c r="U85" s="14">
        <f>IF(T85="","",I85/T85-1)</f>
        <v/>
      </c>
      <c r="V85" s="10" t="n">
        <v>4</v>
      </c>
      <c r="W85" s="16" t="n">
        <v>0.265</v>
      </c>
      <c r="X85" s="16" t="n">
        <v>0.442</v>
      </c>
      <c r="Y85" s="16" t="n">
        <v>0.333</v>
      </c>
      <c r="Z85" s="16" t="n">
        <v>0.663</v>
      </c>
      <c r="AA85" s="16" t="n">
        <v>0.412</v>
      </c>
      <c r="AB85" s="16" t="n">
        <v>0.819</v>
      </c>
      <c r="AC85" s="16" t="n">
        <v>0.6</v>
      </c>
      <c r="AD85" s="10" t="inlineStr">
        <is>
          <t>業績</t>
        </is>
      </c>
      <c r="AE85" s="17" t="inlineStr">
        <is>
          <t>8/5 Q4分部EBITDA創紀錄飆31%、回購加碼至$6.43億 → 股價回升</t>
        </is>
      </c>
      <c r="AF85" s="10" t="inlineStr">
        <is>
          <t>中</t>
        </is>
      </c>
      <c r="AG85" s="10" t="inlineStr"/>
      <c r="AH85" s="10" t="inlineStr">
        <is>
          <t>新上榜</t>
        </is>
      </c>
    </row>
    <row r="86">
      <c r="A86" s="10" t="n">
        <v>85</v>
      </c>
      <c r="B86" s="11" t="inlineStr">
        <is>
          <t>APPF</t>
        </is>
      </c>
      <c r="C86" s="10" t="inlineStr">
        <is>
          <t>AppFolio Inc. Class A</t>
        </is>
      </c>
      <c r="D86" s="10" t="inlineStr">
        <is>
          <t>NASDAQ</t>
        </is>
      </c>
      <c r="E86" s="10" t="inlineStr">
        <is>
          <t>科技</t>
        </is>
      </c>
      <c r="F86" s="10" t="inlineStr">
        <is>
          <t>Computer Software: Prepackaged Software</t>
        </is>
      </c>
      <c r="G86" s="12" t="n">
        <v>77.81999999999999</v>
      </c>
      <c r="H86" s="10" t="inlineStr">
        <is>
          <t>中型</t>
        </is>
      </c>
      <c r="I86" s="13" t="n">
        <v>219.735</v>
      </c>
      <c r="J86" s="13" t="n">
        <v>221.17</v>
      </c>
      <c r="K86" s="14">
        <f>IF(J86="","",I86/J86-1)</f>
        <v/>
      </c>
      <c r="L86" s="13" t="n">
        <v>215.25</v>
      </c>
      <c r="M86" s="14">
        <f>I86/L86-1</f>
        <v/>
      </c>
      <c r="N86" s="10" t="n">
        <v>1</v>
      </c>
      <c r="O86" s="15" t="n">
        <v>49.7</v>
      </c>
      <c r="P86" s="15">
        <f>100*(0.25*W86+0.1*X86+0.15*Y86+0.15*Z86+0.1*AA86+0.1*AB86+0.15*AC86)</f>
        <v/>
      </c>
      <c r="Q86" s="15">
        <f>0.5*O86+0.5*P86</f>
        <v/>
      </c>
      <c r="R86" s="15">
        <f>0.4*O86+0.4*P86+0.2*(N86/4*100)</f>
        <v/>
      </c>
      <c r="S86" s="10" t="inlineStr">
        <is>
          <t>2026-09-09</t>
        </is>
      </c>
      <c r="T86" s="13" t="n">
        <v>205.65</v>
      </c>
      <c r="U86" s="14">
        <f>IF(T86="","",I86/T86-1)</f>
        <v/>
      </c>
      <c r="V86" s="10" t="n">
        <v>3</v>
      </c>
      <c r="W86" s="16" t="n">
        <v>0.293</v>
      </c>
      <c r="X86" s="16" t="n">
        <v>0.488</v>
      </c>
      <c r="Y86" s="16" t="n">
        <v>0.4</v>
      </c>
      <c r="Z86" s="16" t="n">
        <v>0.543</v>
      </c>
      <c r="AA86" s="16" t="n">
        <v>0.193</v>
      </c>
      <c r="AB86" s="16" t="n">
        <v>0.906</v>
      </c>
      <c r="AC86" s="16" t="n">
        <v>0.6</v>
      </c>
      <c r="AD86" s="10" t="inlineStr">
        <is>
          <t>業績</t>
        </is>
      </c>
      <c r="AE86" s="17" t="inlineStr">
        <is>
          <t>7/23 Q2收入增19%、TTM首破10億美元兼上調全年指引 → 扭轉七月跌勢</t>
        </is>
      </c>
      <c r="AF86" s="10" t="inlineStr">
        <is>
          <t>中</t>
        </is>
      </c>
      <c r="AG86" s="10" t="inlineStr"/>
      <c r="AH86" s="10" t="inlineStr">
        <is>
          <t>新上榜</t>
        </is>
      </c>
    </row>
    <row r="87">
      <c r="A87" s="10" t="n">
        <v>86</v>
      </c>
      <c r="B87" s="11" t="inlineStr">
        <is>
          <t>CTSH</t>
        </is>
      </c>
      <c r="C87" s="10" t="inlineStr">
        <is>
          <t>Cognizant Technology Solutions Corporation Class A</t>
        </is>
      </c>
      <c r="D87" s="10" t="inlineStr">
        <is>
          <t>NASDAQ</t>
        </is>
      </c>
      <c r="E87" s="10" t="inlineStr">
        <is>
          <t>科技</t>
        </is>
      </c>
      <c r="F87" s="10" t="inlineStr">
        <is>
          <t>EDP Services</t>
        </is>
      </c>
      <c r="G87" s="12" t="n">
        <v>278.73</v>
      </c>
      <c r="H87" s="10" t="inlineStr">
        <is>
          <t>大型</t>
        </is>
      </c>
      <c r="I87" s="13" t="n">
        <v>61.88</v>
      </c>
      <c r="J87" s="13" t="n">
        <v>61.85</v>
      </c>
      <c r="K87" s="14">
        <f>IF(J87="","",I87/J87-1)</f>
        <v/>
      </c>
      <c r="L87" s="13" t="n">
        <v>61.45</v>
      </c>
      <c r="M87" s="14">
        <f>I87/L87-1</f>
        <v/>
      </c>
      <c r="N87" s="10" t="n">
        <v>1</v>
      </c>
      <c r="O87" s="15" t="n">
        <v>50.1</v>
      </c>
      <c r="P87" s="15">
        <f>100*(0.25*W87+0.1*X87+0.15*Y87+0.15*Z87+0.1*AA87+0.1*AB87+0.15*AC87)</f>
        <v/>
      </c>
      <c r="Q87" s="15">
        <f>0.5*O87+0.5*P87</f>
        <v/>
      </c>
      <c r="R87" s="15">
        <f>0.4*O87+0.4*P87+0.2*(N87/4*100)</f>
        <v/>
      </c>
      <c r="S87" s="10" t="inlineStr">
        <is>
          <t>2026-09-09</t>
        </is>
      </c>
      <c r="T87" s="13" t="n">
        <v>58.2</v>
      </c>
      <c r="U87" s="14">
        <f>IF(T87="","",I87/T87-1)</f>
        <v/>
      </c>
      <c r="V87" s="10" t="n">
        <v>3</v>
      </c>
      <c r="W87" s="16" t="n">
        <v>0.343</v>
      </c>
      <c r="X87" s="16" t="n">
        <v>0.571</v>
      </c>
      <c r="Y87" s="16" t="n">
        <v>0.4</v>
      </c>
      <c r="Z87" s="16" t="n">
        <v>0.324</v>
      </c>
      <c r="AA87" s="16" t="n">
        <v>0.023</v>
      </c>
      <c r="AB87" s="16" t="n">
        <v>0.897</v>
      </c>
      <c r="AC87" s="16" t="n">
        <v>0.6</v>
      </c>
      <c r="AD87" s="10" t="inlineStr">
        <is>
          <t>業績</t>
        </is>
      </c>
      <c r="AE87" s="17" t="inlineStr">
        <is>
          <t>7/29 Q2收入$55億升4.1%、上調EPS指引 → 大行齊升目標價</t>
        </is>
      </c>
      <c r="AF87" s="10" t="inlineStr">
        <is>
          <t>高</t>
        </is>
      </c>
      <c r="AG87" s="10" t="inlineStr"/>
      <c r="AH87" s="10" t="inlineStr">
        <is>
          <t>新上榜</t>
        </is>
      </c>
    </row>
    <row r="88">
      <c r="A88" s="18" t="n">
        <v>87</v>
      </c>
      <c r="B88" s="19" t="inlineStr">
        <is>
          <t>ITIC</t>
        </is>
      </c>
      <c r="C88" s="18" t="inlineStr">
        <is>
          <t>Investors Title Company</t>
        </is>
      </c>
      <c r="D88" s="18" t="inlineStr">
        <is>
          <t>NASDAQ</t>
        </is>
      </c>
      <c r="E88" s="18" t="inlineStr">
        <is>
          <t>金融</t>
        </is>
      </c>
      <c r="F88" s="18" t="inlineStr">
        <is>
          <t>Specialty Insurers</t>
        </is>
      </c>
      <c r="G88" s="20" t="n">
        <v>5.59</v>
      </c>
      <c r="H88" s="18" t="inlineStr">
        <is>
          <t>小型</t>
        </is>
      </c>
      <c r="I88" s="21" t="n">
        <v>296</v>
      </c>
      <c r="J88" s="21" t="n">
        <v>299.43</v>
      </c>
      <c r="K88" s="22">
        <f>IF(J88="","",I88/J88-1)</f>
        <v/>
      </c>
      <c r="L88" s="21" t="n">
        <v>298.74</v>
      </c>
      <c r="M88" s="22">
        <f>I88/L88-1</f>
        <v/>
      </c>
      <c r="N88" s="18" t="n">
        <v>1</v>
      </c>
      <c r="O88" s="23" t="n">
        <v>54.5</v>
      </c>
      <c r="P88" s="23">
        <f>100*(0.25*W88+0.1*X88+0.15*Y88+0.15*Z88+0.1*AA88+0.1*AB88+0.15*AC88)</f>
        <v/>
      </c>
      <c r="Q88" s="23">
        <f>0.5*O88+0.5*P88</f>
        <v/>
      </c>
      <c r="R88" s="23">
        <f>0.4*O88+0.4*P88+0.2*(N88/4*100)</f>
        <v/>
      </c>
      <c r="S88" s="18" t="inlineStr">
        <is>
          <t>2026-09-02</t>
        </is>
      </c>
      <c r="T88" s="21" t="n">
        <v>291.71</v>
      </c>
      <c r="U88" s="22">
        <f>IF(T88="","",I88/T88-1)</f>
        <v/>
      </c>
      <c r="V88" s="18" t="n">
        <v>4</v>
      </c>
      <c r="W88" s="24" t="n">
        <v>0.18</v>
      </c>
      <c r="X88" s="24" t="n">
        <v>0.301</v>
      </c>
      <c r="Y88" s="24" t="n">
        <v>0.667</v>
      </c>
      <c r="Z88" s="24" t="n">
        <v>0.128</v>
      </c>
      <c r="AA88" s="24" t="n">
        <v>0.228</v>
      </c>
      <c r="AB88" s="24" t="n">
        <v>0.788</v>
      </c>
      <c r="AC88" s="24" t="n">
        <v>0.6</v>
      </c>
      <c r="AD88" s="18" t="inlineStr">
        <is>
          <t>業績</t>
        </is>
      </c>
      <c r="AE88" s="25" t="inlineStr">
        <is>
          <t>8/6 Q2收入升17.5%勝預期 → 股價回升</t>
        </is>
      </c>
      <c r="AF88" s="18" t="inlineStr">
        <is>
          <t>中</t>
        </is>
      </c>
      <c r="AG88" s="18" t="inlineStr"/>
      <c r="AH88" s="18" t="inlineStr">
        <is>
          <t>▼ 21</t>
        </is>
      </c>
    </row>
    <row r="89">
      <c r="A89" s="10" t="n">
        <v>88</v>
      </c>
      <c r="B89" s="11" t="inlineStr">
        <is>
          <t>IESC</t>
        </is>
      </c>
      <c r="C89" s="10" t="inlineStr">
        <is>
          <t>IES Holdings Inc.</t>
        </is>
      </c>
      <c r="D89" s="10" t="inlineStr">
        <is>
          <t>NASDAQ</t>
        </is>
      </c>
      <c r="E89" s="10" t="inlineStr">
        <is>
          <t>工業</t>
        </is>
      </c>
      <c r="F89" s="10" t="inlineStr">
        <is>
          <t>Engineering &amp; Construction</t>
        </is>
      </c>
      <c r="G89" s="12" t="n">
        <v>126.38</v>
      </c>
      <c r="H89" s="10" t="inlineStr">
        <is>
          <t>大型</t>
        </is>
      </c>
      <c r="I89" s="13" t="n">
        <v>317.16</v>
      </c>
      <c r="J89" s="13" t="n">
        <v>325.02</v>
      </c>
      <c r="K89" s="14">
        <f>IF(J89="","",I89/J89-1)</f>
        <v/>
      </c>
      <c r="L89" s="13" t="n">
        <v>324.35</v>
      </c>
      <c r="M89" s="14">
        <f>I89/L89-1</f>
        <v/>
      </c>
      <c r="N89" s="10" t="n">
        <v>1</v>
      </c>
      <c r="O89" s="15" t="n">
        <v>60.3</v>
      </c>
      <c r="P89" s="15">
        <f>100*(0.25*W89+0.1*X89+0.15*Y89+0.15*Z89+0.1*AA89+0.1*AB89+0.15*AC89)</f>
        <v/>
      </c>
      <c r="Q89" s="15">
        <f>0.5*O89+0.5*P89</f>
        <v/>
      </c>
      <c r="R89" s="15">
        <f>0.4*O89+0.4*P89+0.2*(N89/4*100)</f>
        <v/>
      </c>
      <c r="S89" s="10" t="inlineStr">
        <is>
          <t>2026-09-01</t>
        </is>
      </c>
      <c r="T89" s="13" t="n">
        <v>300.59</v>
      </c>
      <c r="U89" s="14">
        <f>IF(T89="","",I89/T89-1)</f>
        <v/>
      </c>
      <c r="V89" s="10" t="n">
        <v>2</v>
      </c>
      <c r="W89" s="16" t="n">
        <v>0.103</v>
      </c>
      <c r="X89" s="16" t="n">
        <v>0.172</v>
      </c>
      <c r="Y89" s="16" t="n">
        <v>0.733</v>
      </c>
      <c r="Z89" s="16" t="n">
        <v>0.474</v>
      </c>
      <c r="AA89" s="16" t="n">
        <v>0.284</v>
      </c>
      <c r="AB89" s="16" t="n">
        <v>0.132</v>
      </c>
      <c r="AC89" s="16" t="n">
        <v>0</v>
      </c>
      <c r="AD89" s="10" t="inlineStr">
        <is>
          <t>業績</t>
        </is>
      </c>
      <c r="AE89" s="17" t="inlineStr">
        <is>
          <t>7/31 Q3收入增40%、調整EPS $6.70勝預期39%兼1拆2 → 單日+30.3%</t>
        </is>
      </c>
      <c r="AF89" s="10" t="inlineStr">
        <is>
          <t>高</t>
        </is>
      </c>
      <c r="AG89" s="10" t="inlineStr"/>
      <c r="AH89" s="10" t="inlineStr">
        <is>
          <t>新上榜</t>
        </is>
      </c>
    </row>
    <row r="90">
      <c r="A90" s="18" t="n">
        <v>89</v>
      </c>
      <c r="B90" s="19" t="inlineStr">
        <is>
          <t>NKTX</t>
        </is>
      </c>
      <c r="C90" s="18" t="inlineStr">
        <is>
          <t>Nkarta Inc.</t>
        </is>
      </c>
      <c r="D90" s="18" t="inlineStr">
        <is>
          <t>NASDAQ</t>
        </is>
      </c>
      <c r="E90" s="18" t="inlineStr">
        <is>
          <t>醫療保健</t>
        </is>
      </c>
      <c r="F90" s="18" t="inlineStr">
        <is>
          <t>Biotechnology: Pharmaceutical Preparations</t>
        </is>
      </c>
      <c r="G90" s="20" t="n">
        <v>2.01</v>
      </c>
      <c r="H90" s="18" t="inlineStr">
        <is>
          <t>小型</t>
        </is>
      </c>
      <c r="I90" s="21" t="n">
        <v>2.81</v>
      </c>
      <c r="J90" s="21" t="n">
        <v>2.87</v>
      </c>
      <c r="K90" s="22">
        <f>IF(J90="","",I90/J90-1)</f>
        <v/>
      </c>
      <c r="L90" s="21" t="n">
        <v>2.91</v>
      </c>
      <c r="M90" s="22">
        <f>I90/L90-1</f>
        <v/>
      </c>
      <c r="N90" s="18" t="n">
        <v>2</v>
      </c>
      <c r="O90" s="23" t="n">
        <v>19.5</v>
      </c>
      <c r="P90" s="23">
        <f>100*(0.25*W90+0.1*X90+0.15*Y90+0.15*Z90+0.1*AA90+0.1*AB90+0.15*AC90)</f>
        <v/>
      </c>
      <c r="Q90" s="23">
        <f>0.5*O90+0.5*P90</f>
        <v/>
      </c>
      <c r="R90" s="23">
        <f>0.4*O90+0.4*P90+0.2*(N90/4*100)</f>
        <v/>
      </c>
      <c r="S90" s="18" t="inlineStr">
        <is>
          <t>2026-09-10</t>
        </is>
      </c>
      <c r="T90" s="21" t="n">
        <v>2.81</v>
      </c>
      <c r="U90" s="22">
        <f>IF(T90="","",I90/T90-1)</f>
        <v/>
      </c>
      <c r="V90" s="18" t="n">
        <v>4</v>
      </c>
      <c r="W90" s="24" t="n">
        <v>0</v>
      </c>
      <c r="X90" s="24" t="n">
        <v>0</v>
      </c>
      <c r="Y90" s="24" t="n">
        <v>0.333</v>
      </c>
      <c r="Z90" s="24" t="n">
        <v>0.71</v>
      </c>
      <c r="AA90" s="24" t="n">
        <v>0.442</v>
      </c>
      <c r="AB90" s="24" t="n">
        <v>0.963</v>
      </c>
      <c r="AC90" s="24" t="n">
        <v>0.7</v>
      </c>
      <c r="AD90" s="18" t="inlineStr">
        <is>
          <t>監管</t>
        </is>
      </c>
      <c r="AE90" s="25" t="inlineStr">
        <is>
          <t>8/10 FDA准門診給藥 → 生技反彈帶動</t>
        </is>
      </c>
      <c r="AF90" s="18" t="inlineStr">
        <is>
          <t>中</t>
        </is>
      </c>
      <c r="AG90" s="18" t="inlineStr"/>
      <c r="AH90" s="18" t="inlineStr">
        <is>
          <t>▼ 11</t>
        </is>
      </c>
    </row>
    <row r="92">
      <c r="A92" s="26" t="inlineStr">
        <is>
          <t>全表統計</t>
        </is>
      </c>
      <c r="B92" s="27" t="inlineStr">
        <is>
          <t>行數</t>
        </is>
      </c>
      <c r="C92" s="27" t="inlineStr">
        <is>
          <t>當日中位%</t>
        </is>
      </c>
      <c r="D92" s="27" t="inlineStr">
        <is>
          <t>距MA10 中位%</t>
        </is>
      </c>
      <c r="E92" s="27" t="inlineStr">
        <is>
          <t>低過MA10 行數</t>
        </is>
      </c>
      <c r="F92" s="27" t="inlineStr">
        <is>
          <t>距MA10 +1%以內</t>
        </is>
      </c>
      <c r="G92" s="27" t="inlineStr">
        <is>
          <t>跌穿最後一個底</t>
        </is>
      </c>
      <c r="H92" s="27" t="inlineStr">
        <is>
          <t>VCP 中位</t>
        </is>
      </c>
      <c r="I92" s="27" t="inlineStr">
        <is>
          <t>確定性 中位</t>
        </is>
      </c>
      <c r="J92" s="27" t="inlineStr">
        <is>
          <t>新上榜</t>
        </is>
      </c>
      <c r="K92" s="27" t="inlineStr">
        <is>
          <t>四個時間框全中</t>
        </is>
      </c>
    </row>
    <row r="93">
      <c r="B93" s="28">
        <f>COUNTA(B2:B90)</f>
        <v/>
      </c>
      <c r="C93" s="29">
        <f>MEDIAN(K2:K90)</f>
        <v/>
      </c>
      <c r="D93" s="29">
        <f>MEDIAN(M2:M90)</f>
        <v/>
      </c>
      <c r="E93" s="28">
        <f>COUNTIF(M2:M90,"&lt;0")</f>
        <v/>
      </c>
      <c r="F93" s="28">
        <f>COUNTIFS(M2:M90,"&gt;=0",M2:M90,"&lt;0.01")</f>
        <v/>
      </c>
      <c r="G93" s="28">
        <f>COUNTIF(U2:U90,"&lt;0")</f>
        <v/>
      </c>
      <c r="H93" s="30">
        <f>MEDIAN(O2:O90)</f>
        <v/>
      </c>
      <c r="I93" s="30">
        <f>MEDIAN(P2:P90)</f>
        <v/>
      </c>
      <c r="J93" s="28">
        <f>COUNTIF(AH2:AH90,"新上榜")</f>
        <v/>
      </c>
      <c r="K93" s="28">
        <f>COUNTIF(N2:N90,4)</f>
        <v/>
      </c>
    </row>
    <row r="95">
      <c r="A95" s="31" t="inlineStr">
        <is>
          <t>口徑：收市價、MA10、VCP 同確定性七項子分由 2026-09-17 收盤序列計算（VCP 同七項子分係全體合資格股票 2,746 隻嘅百分位，冇得喺單行重算，所以係輸入值）。確定性、綜合分數、爆發潛力分數、當日%、距MA10%、距底% 全部係公式，改動輸入會自動重算。底色：黃＝本版新上榜、橙＝有審視標記（標記全文喺「審視標記」格嘅註解）。</t>
        </is>
      </c>
    </row>
  </sheetData>
  <autoFilter ref="A1:AH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30" customWidth="1" min="4" max="4"/>
    <col width="11" customWidth="1" min="5" max="5"/>
    <col width="12" customWidth="1" min="6" max="6"/>
    <col width="11" customWidth="1" min="7" max="7"/>
    <col width="11" customWidth="1" min="8" max="8"/>
    <col width="10" customWidth="1" min="9" max="9"/>
    <col width="7" customWidth="1" min="10" max="10"/>
    <col width="8" customWidth="1" min="11" max="11"/>
    <col width="9" customWidth="1" min="12" max="12"/>
    <col width="9" customWidth="1" min="13" max="13"/>
  </cols>
  <sheetData>
    <row r="1" ht="30" customHeight="1">
      <c r="A1" s="1" t="inlineStr">
        <is>
          <t>市值組</t>
        </is>
      </c>
      <c r="B1" s="1" t="inlineStr">
        <is>
          <t>組內排名</t>
        </is>
      </c>
      <c r="C1" s="1" t="inlineStr">
        <is>
          <t>代號</t>
        </is>
      </c>
      <c r="D1" s="1" t="inlineStr">
        <is>
          <t>公司</t>
        </is>
      </c>
      <c r="E1" s="1" t="inlineStr">
        <is>
          <t>板塊</t>
        </is>
      </c>
      <c r="F1" s="1" t="inlineStr">
        <is>
          <t>市值(億美元)</t>
        </is>
      </c>
      <c r="G1" s="1" t="inlineStr">
        <is>
          <t>收市價</t>
        </is>
      </c>
      <c r="H1" s="1" t="inlineStr">
        <is>
          <t>MA10</t>
        </is>
      </c>
      <c r="I1" s="1" t="inlineStr">
        <is>
          <t>距MA10%</t>
        </is>
      </c>
      <c r="J1" s="1" t="inlineStr">
        <is>
          <t>VCP</t>
        </is>
      </c>
      <c r="K1" s="1" t="inlineStr">
        <is>
          <t>確定性</t>
        </is>
      </c>
      <c r="L1" s="1" t="inlineStr">
        <is>
          <t>綜合分數</t>
        </is>
      </c>
      <c r="M1" s="1" t="inlineStr">
        <is>
          <t>總表排名</t>
        </is>
      </c>
    </row>
    <row r="2">
      <c r="A2" s="18" t="inlineStr">
        <is>
          <t>大型</t>
        </is>
      </c>
      <c r="B2" s="18" t="n">
        <v>1</v>
      </c>
      <c r="C2" s="19" t="inlineStr">
        <is>
          <t>AVTR</t>
        </is>
      </c>
      <c r="D2" s="18" t="inlineStr">
        <is>
          <t>Avantor Inc.</t>
        </is>
      </c>
      <c r="E2" s="18" t="inlineStr">
        <is>
          <t>工業</t>
        </is>
      </c>
      <c r="F2" s="20" t="n">
        <v>107.27</v>
      </c>
      <c r="G2" s="21" t="n">
        <v>15.86</v>
      </c>
      <c r="H2" s="21" t="n">
        <v>15.38</v>
      </c>
      <c r="I2" s="22">
        <f>G2/H2-1</f>
        <v/>
      </c>
      <c r="J2" s="23" t="n">
        <v>72.5</v>
      </c>
      <c r="K2" s="23">
        <f>83.3700</f>
        <v/>
      </c>
      <c r="L2" s="23">
        <f>0.5*J2+0.5*K2</f>
        <v/>
      </c>
      <c r="M2" s="18" t="n">
        <v>6</v>
      </c>
    </row>
    <row r="3">
      <c r="A3" s="18" t="inlineStr">
        <is>
          <t>大型</t>
        </is>
      </c>
      <c r="B3" s="18" t="n">
        <v>2</v>
      </c>
      <c r="C3" s="19" t="inlineStr">
        <is>
          <t>BRK/B</t>
        </is>
      </c>
      <c r="D3" s="18" t="inlineStr">
        <is>
          <t>Berkshire Hathaway Inc.</t>
        </is>
      </c>
      <c r="E3" s="18" t="inlineStr">
        <is>
          <t>金融</t>
        </is>
      </c>
      <c r="F3" s="20" t="n">
        <v>11234.54</v>
      </c>
      <c r="G3" s="21" t="n">
        <v>509.2</v>
      </c>
      <c r="H3" s="21" t="n">
        <v>514.22</v>
      </c>
      <c r="I3" s="22">
        <f>G3/H3-1</f>
        <v/>
      </c>
      <c r="J3" s="23" t="n">
        <v>60.8</v>
      </c>
      <c r="K3" s="23">
        <f>77.7800</f>
        <v/>
      </c>
      <c r="L3" s="23">
        <f>0.5*J3+0.5*K3</f>
        <v/>
      </c>
      <c r="M3" s="18" t="n">
        <v>38</v>
      </c>
    </row>
    <row r="4">
      <c r="A4" s="18" t="inlineStr">
        <is>
          <t>大型</t>
        </is>
      </c>
      <c r="B4" s="18" t="n">
        <v>3</v>
      </c>
      <c r="C4" s="19" t="inlineStr">
        <is>
          <t>DT</t>
        </is>
      </c>
      <c r="D4" s="18" t="inlineStr">
        <is>
          <t>Dynatrace Inc.</t>
        </is>
      </c>
      <c r="E4" s="18" t="inlineStr">
        <is>
          <t>科技</t>
        </is>
      </c>
      <c r="F4" s="20" t="n">
        <v>161.35</v>
      </c>
      <c r="G4" s="21" t="n">
        <v>55.83</v>
      </c>
      <c r="H4" s="21" t="n">
        <v>54.12</v>
      </c>
      <c r="I4" s="22">
        <f>G4/H4-1</f>
        <v/>
      </c>
      <c r="J4" s="23" t="n">
        <v>53.3</v>
      </c>
      <c r="K4" s="23">
        <f>84.6150</f>
        <v/>
      </c>
      <c r="L4" s="23">
        <f>0.5*J4+0.5*K4</f>
        <v/>
      </c>
      <c r="M4" s="18" t="n">
        <v>31</v>
      </c>
    </row>
    <row r="5">
      <c r="A5" s="10" t="inlineStr">
        <is>
          <t>大型</t>
        </is>
      </c>
      <c r="B5" s="10" t="n">
        <v>4</v>
      </c>
      <c r="C5" s="11" t="inlineStr">
        <is>
          <t>BRK/A</t>
        </is>
      </c>
      <c r="D5" s="10" t="inlineStr">
        <is>
          <t>Berkshire Hathaway Inc.</t>
        </is>
      </c>
      <c r="E5" s="10" t="inlineStr">
        <is>
          <t>Uncategorized</t>
        </is>
      </c>
      <c r="F5" s="12" t="n">
        <v>11236.54</v>
      </c>
      <c r="G5" s="13" t="n">
        <v>763935.95</v>
      </c>
      <c r="H5" s="13" t="n">
        <v>771165.63</v>
      </c>
      <c r="I5" s="14">
        <f>G5/H5-1</f>
        <v/>
      </c>
      <c r="J5" s="15" t="n">
        <v>53.6</v>
      </c>
      <c r="K5" s="15">
        <f>81.2850</f>
        <v/>
      </c>
      <c r="L5" s="15">
        <f>0.5*J5+0.5*K5</f>
        <v/>
      </c>
      <c r="M5" s="10" t="n">
        <v>41</v>
      </c>
    </row>
    <row r="6">
      <c r="A6" s="18" t="inlineStr">
        <is>
          <t>大型</t>
        </is>
      </c>
      <c r="B6" s="18" t="n">
        <v>5</v>
      </c>
      <c r="C6" s="19" t="inlineStr">
        <is>
          <t>DOCU</t>
        </is>
      </c>
      <c r="D6" s="18" t="inlineStr">
        <is>
          <t>DocuSign Inc.</t>
        </is>
      </c>
      <c r="E6" s="18" t="inlineStr">
        <is>
          <t>科技</t>
        </is>
      </c>
      <c r="F6" s="20" t="n">
        <v>132.03</v>
      </c>
      <c r="G6" s="21" t="n">
        <v>70.64</v>
      </c>
      <c r="H6" s="21" t="n">
        <v>69.66</v>
      </c>
      <c r="I6" s="22">
        <f>G6/H6-1</f>
        <v/>
      </c>
      <c r="J6" s="23" t="n">
        <v>40.6</v>
      </c>
      <c r="K6" s="23">
        <f>85.5500</f>
        <v/>
      </c>
      <c r="L6" s="23">
        <f>0.5*J6+0.5*K6</f>
        <v/>
      </c>
      <c r="M6" s="18" t="n">
        <v>28</v>
      </c>
    </row>
    <row r="7">
      <c r="A7" s="18" t="inlineStr">
        <is>
          <t>大型</t>
        </is>
      </c>
      <c r="B7" s="18" t="n">
        <v>6</v>
      </c>
      <c r="C7" s="19" t="inlineStr">
        <is>
          <t>META</t>
        </is>
      </c>
      <c r="D7" s="18" t="inlineStr">
        <is>
          <t>Meta Platforms Inc. Class A</t>
        </is>
      </c>
      <c r="E7" s="18" t="inlineStr">
        <is>
          <t>通訊服務</t>
        </is>
      </c>
      <c r="F7" s="20" t="n">
        <v>17381.89</v>
      </c>
      <c r="G7" s="21" t="n">
        <v>682.3099999999999</v>
      </c>
      <c r="H7" s="21" t="n">
        <v>667.9</v>
      </c>
      <c r="I7" s="22">
        <f>G7/H7-1</f>
        <v/>
      </c>
      <c r="J7" s="23" t="n">
        <v>34.8</v>
      </c>
      <c r="K7" s="23">
        <f>91.0050</f>
        <v/>
      </c>
      <c r="L7" s="23">
        <f>0.5*J7+0.5*K7</f>
        <v/>
      </c>
      <c r="M7" s="18" t="n">
        <v>49</v>
      </c>
    </row>
    <row r="8">
      <c r="A8" s="18" t="inlineStr">
        <is>
          <t>大型</t>
        </is>
      </c>
      <c r="B8" s="18" t="n">
        <v>7</v>
      </c>
      <c r="C8" s="19" t="inlineStr">
        <is>
          <t>COKE</t>
        </is>
      </c>
      <c r="D8" s="18" t="inlineStr">
        <is>
          <t>Coca-Cola Consolidated Inc.</t>
        </is>
      </c>
      <c r="E8" s="18" t="inlineStr">
        <is>
          <t>必需消費</t>
        </is>
      </c>
      <c r="F8" s="20" t="n">
        <v>132.44</v>
      </c>
      <c r="G8" s="21" t="n">
        <v>198.97</v>
      </c>
      <c r="H8" s="21" t="n">
        <v>197.91</v>
      </c>
      <c r="I8" s="22">
        <f>G8/H8-1</f>
        <v/>
      </c>
      <c r="J8" s="23" t="n">
        <v>42.7</v>
      </c>
      <c r="K8" s="23">
        <f>75.7400</f>
        <v/>
      </c>
      <c r="L8" s="23">
        <f>0.5*J8+0.5*K8</f>
        <v/>
      </c>
      <c r="M8" s="18" t="n">
        <v>45</v>
      </c>
    </row>
    <row r="9">
      <c r="A9" s="10" t="inlineStr">
        <is>
          <t>大型</t>
        </is>
      </c>
      <c r="B9" s="10" t="n">
        <v>8</v>
      </c>
      <c r="C9" s="11" t="inlineStr">
        <is>
          <t>NOW</t>
        </is>
      </c>
      <c r="D9" s="10" t="inlineStr">
        <is>
          <t>ServiceNow Inc.</t>
        </is>
      </c>
      <c r="E9" s="10" t="inlineStr">
        <is>
          <t>科技</t>
        </is>
      </c>
      <c r="F9" s="12" t="n">
        <v>1431.78</v>
      </c>
      <c r="G9" s="13" t="n">
        <v>138.47</v>
      </c>
      <c r="H9" s="13" t="n">
        <v>139.01</v>
      </c>
      <c r="I9" s="14">
        <f>G9/H9-1</f>
        <v/>
      </c>
      <c r="J9" s="15" t="n">
        <v>51.2</v>
      </c>
      <c r="K9" s="15">
        <f>60.5200</f>
        <v/>
      </c>
      <c r="L9" s="15">
        <f>0.5*J9+0.5*K9</f>
        <v/>
      </c>
      <c r="M9" s="10" t="n">
        <v>73</v>
      </c>
    </row>
    <row r="10">
      <c r="A10" s="18" t="inlineStr">
        <is>
          <t>大型</t>
        </is>
      </c>
      <c r="B10" s="18" t="n">
        <v>9</v>
      </c>
      <c r="C10" s="19" t="inlineStr">
        <is>
          <t>CRWD</t>
        </is>
      </c>
      <c r="D10" s="18" t="inlineStr">
        <is>
          <t>CrowdStrike Holdings Inc. Class A</t>
        </is>
      </c>
      <c r="E10" s="18" t="inlineStr">
        <is>
          <t>科技</t>
        </is>
      </c>
      <c r="F10" s="20" t="n">
        <v>2515.81</v>
      </c>
      <c r="G10" s="21" t="n">
        <v>245.7</v>
      </c>
      <c r="H10" s="21" t="n">
        <v>234.33</v>
      </c>
      <c r="I10" s="22">
        <f>G10/H10-1</f>
        <v/>
      </c>
      <c r="J10" s="23" t="n">
        <v>22.9</v>
      </c>
      <c r="K10" s="23">
        <f>86.1150</f>
        <v/>
      </c>
      <c r="L10" s="23">
        <f>0.5*J10+0.5*K10</f>
        <v/>
      </c>
      <c r="M10" s="18" t="n">
        <v>64</v>
      </c>
    </row>
    <row r="11">
      <c r="A11" s="10" t="inlineStr">
        <is>
          <t>大型</t>
        </is>
      </c>
      <c r="B11" s="10" t="n">
        <v>10</v>
      </c>
      <c r="C11" s="11" t="inlineStr">
        <is>
          <t>NWSA</t>
        </is>
      </c>
      <c r="D11" s="10" t="inlineStr">
        <is>
          <t>News Corporation Class A</t>
        </is>
      </c>
      <c r="E11" s="10" t="inlineStr">
        <is>
          <t>通訊服務</t>
        </is>
      </c>
      <c r="F11" s="12" t="n">
        <v>163.29</v>
      </c>
      <c r="G11" s="13" t="n">
        <v>30.18</v>
      </c>
      <c r="H11" s="13" t="n">
        <v>30.16</v>
      </c>
      <c r="I11" s="14">
        <f>G11/H11-1</f>
        <v/>
      </c>
      <c r="J11" s="15" t="n">
        <v>53.4</v>
      </c>
      <c r="K11" s="15">
        <f>47.2950</f>
        <v/>
      </c>
      <c r="L11" s="15">
        <f>0.5*J11+0.5*K11</f>
        <v/>
      </c>
      <c r="M11" s="10" t="n">
        <v>84</v>
      </c>
    </row>
    <row r="12">
      <c r="A12" s="18" t="inlineStr">
        <is>
          <t>大型</t>
        </is>
      </c>
      <c r="B12" s="18" t="n">
        <v>11</v>
      </c>
      <c r="C12" s="19" t="inlineStr">
        <is>
          <t>HPQ</t>
        </is>
      </c>
      <c r="D12" s="18" t="inlineStr">
        <is>
          <t>HP Inc.</t>
        </is>
      </c>
      <c r="E12" s="18" t="inlineStr">
        <is>
          <t>科技</t>
        </is>
      </c>
      <c r="F12" s="20" t="n">
        <v>312.56</v>
      </c>
      <c r="G12" s="21" t="n">
        <v>34.66</v>
      </c>
      <c r="H12" s="21" t="n">
        <v>34.14</v>
      </c>
      <c r="I12" s="22">
        <f>G12/H12-1</f>
        <v/>
      </c>
      <c r="J12" s="23" t="n">
        <v>22.9</v>
      </c>
      <c r="K12" s="23">
        <f>74.8000</f>
        <v/>
      </c>
      <c r="L12" s="23">
        <f>0.5*J12+0.5*K12</f>
        <v/>
      </c>
      <c r="M12" s="18" t="n">
        <v>55</v>
      </c>
    </row>
    <row r="13">
      <c r="A13" s="18" t="inlineStr">
        <is>
          <t>大型</t>
        </is>
      </c>
      <c r="B13" s="18" t="n">
        <v>12</v>
      </c>
      <c r="C13" s="19" t="inlineStr">
        <is>
          <t>SWKS</t>
        </is>
      </c>
      <c r="D13" s="18" t="inlineStr">
        <is>
          <t>Skyworks Solutions Inc.</t>
        </is>
      </c>
      <c r="E13" s="18" t="inlineStr">
        <is>
          <t>科技</t>
        </is>
      </c>
      <c r="F13" s="20" t="n">
        <v>137.41</v>
      </c>
      <c r="G13" s="21" t="n">
        <v>91.31999999999999</v>
      </c>
      <c r="H13" s="21" t="n">
        <v>86.90000000000001</v>
      </c>
      <c r="I13" s="22">
        <f>G13/H13-1</f>
        <v/>
      </c>
      <c r="J13" s="23" t="n">
        <v>5.1</v>
      </c>
      <c r="K13" s="23">
        <f>89.0400</f>
        <v/>
      </c>
      <c r="L13" s="23">
        <f>0.5*J13+0.5*K13</f>
        <v/>
      </c>
      <c r="M13" s="18" t="n">
        <v>67</v>
      </c>
    </row>
    <row r="14">
      <c r="A14" s="18" t="inlineStr">
        <is>
          <t>大型</t>
        </is>
      </c>
      <c r="B14" s="18" t="n">
        <v>13</v>
      </c>
      <c r="C14" s="19" t="inlineStr">
        <is>
          <t>QRVO</t>
        </is>
      </c>
      <c r="D14" s="18" t="inlineStr">
        <is>
          <t>Qorvo Inc.</t>
        </is>
      </c>
      <c r="E14" s="18" t="inlineStr">
        <is>
          <t>科技</t>
        </is>
      </c>
      <c r="F14" s="20" t="n">
        <v>105.43</v>
      </c>
      <c r="G14" s="21" t="n">
        <v>119.51</v>
      </c>
      <c r="H14" s="21" t="n">
        <v>115.23</v>
      </c>
      <c r="I14" s="22">
        <f>G14/H14-1</f>
        <v/>
      </c>
      <c r="J14" s="23" t="n">
        <v>7.8</v>
      </c>
      <c r="K14" s="23">
        <f>85.8100</f>
        <v/>
      </c>
      <c r="L14" s="23">
        <f>0.5*J14+0.5*K14</f>
        <v/>
      </c>
      <c r="M14" s="18" t="n">
        <v>57</v>
      </c>
    </row>
    <row r="15">
      <c r="A15" s="10" t="inlineStr">
        <is>
          <t>大型</t>
        </is>
      </c>
      <c r="B15" s="10" t="n">
        <v>14</v>
      </c>
      <c r="C15" s="11" t="inlineStr">
        <is>
          <t>CTSH</t>
        </is>
      </c>
      <c r="D15" s="10" t="inlineStr">
        <is>
          <t>Cognizant Technology Solutions Corporation Class A</t>
        </is>
      </c>
      <c r="E15" s="10" t="inlineStr">
        <is>
          <t>科技</t>
        </is>
      </c>
      <c r="F15" s="12" t="n">
        <v>278.73</v>
      </c>
      <c r="G15" s="13" t="n">
        <v>61.88</v>
      </c>
      <c r="H15" s="13" t="n">
        <v>62.22</v>
      </c>
      <c r="I15" s="14">
        <f>G15/H15-1</f>
        <v/>
      </c>
      <c r="J15" s="15" t="n">
        <v>50.1</v>
      </c>
      <c r="K15" s="15">
        <f>43.3450</f>
        <v/>
      </c>
      <c r="L15" s="15">
        <f>0.5*J15+0.5*K15</f>
        <v/>
      </c>
      <c r="M15" s="10" t="n">
        <v>86</v>
      </c>
    </row>
    <row r="16">
      <c r="A16" s="18" t="inlineStr">
        <is>
          <t>中型</t>
        </is>
      </c>
      <c r="B16" s="18" t="n">
        <v>1</v>
      </c>
      <c r="C16" s="19" t="inlineStr">
        <is>
          <t>ITGR</t>
        </is>
      </c>
      <c r="D16" s="18" t="inlineStr">
        <is>
          <t>Integer Holdings Corporation</t>
        </is>
      </c>
      <c r="E16" s="18" t="inlineStr">
        <is>
          <t>醫療保健</t>
        </is>
      </c>
      <c r="F16" s="20" t="n">
        <v>42.94</v>
      </c>
      <c r="G16" s="21" t="n">
        <v>126.33</v>
      </c>
      <c r="H16" s="21" t="n">
        <v>126.16</v>
      </c>
      <c r="I16" s="22">
        <f>G16/H16-1</f>
        <v/>
      </c>
      <c r="J16" s="23" t="n">
        <v>98.7</v>
      </c>
      <c r="K16" s="23">
        <f>89.6400</f>
        <v/>
      </c>
      <c r="L16" s="23">
        <f>0.5*J16+0.5*K16</f>
        <v/>
      </c>
      <c r="M16" s="18" t="n">
        <v>1</v>
      </c>
    </row>
    <row r="17">
      <c r="A17" s="18" t="inlineStr">
        <is>
          <t>中型</t>
        </is>
      </c>
      <c r="B17" s="18" t="n">
        <v>2</v>
      </c>
      <c r="C17" s="19" t="inlineStr">
        <is>
          <t>DV</t>
        </is>
      </c>
      <c r="D17" s="18" t="inlineStr">
        <is>
          <t>DoubleVerify Holdings Inc.</t>
        </is>
      </c>
      <c r="E17" s="18" t="inlineStr">
        <is>
          <t>科技</t>
        </is>
      </c>
      <c r="F17" s="20" t="n">
        <v>20.88</v>
      </c>
      <c r="G17" s="21" t="n">
        <v>13.47</v>
      </c>
      <c r="H17" s="21" t="n">
        <v>13.48</v>
      </c>
      <c r="I17" s="22">
        <f>G17/H17-1</f>
        <v/>
      </c>
      <c r="J17" s="23" t="n">
        <v>83.90000000000001</v>
      </c>
      <c r="K17" s="23">
        <f>88.6000</f>
        <v/>
      </c>
      <c r="L17" s="23">
        <f>0.5*J17+0.5*K17</f>
        <v/>
      </c>
      <c r="M17" s="18" t="n">
        <v>2</v>
      </c>
    </row>
    <row r="18">
      <c r="A18" s="10" t="inlineStr">
        <is>
          <t>中型</t>
        </is>
      </c>
      <c r="B18" s="10" t="n">
        <v>3</v>
      </c>
      <c r="C18" s="11" t="inlineStr">
        <is>
          <t>HGTY</t>
        </is>
      </c>
      <c r="D18" s="10" t="inlineStr">
        <is>
          <t>Hagerty Inc. Class A</t>
        </is>
      </c>
      <c r="E18" s="10" t="inlineStr">
        <is>
          <t>金融</t>
        </is>
      </c>
      <c r="F18" s="12" t="n">
        <v>47.66</v>
      </c>
      <c r="G18" s="13" t="n">
        <v>13.87</v>
      </c>
      <c r="H18" s="13" t="n">
        <v>13.85</v>
      </c>
      <c r="I18" s="14">
        <f>G18/H18-1</f>
        <v/>
      </c>
      <c r="J18" s="15" t="n">
        <v>67.40000000000001</v>
      </c>
      <c r="K18" s="15">
        <f>88.2900</f>
        <v/>
      </c>
      <c r="L18" s="15">
        <f>0.5*J18+0.5*K18</f>
        <v/>
      </c>
      <c r="M18" s="10" t="n">
        <v>12</v>
      </c>
    </row>
    <row r="19">
      <c r="A19" s="18" t="inlineStr">
        <is>
          <t>中型</t>
        </is>
      </c>
      <c r="B19" s="18" t="n">
        <v>4</v>
      </c>
      <c r="C19" s="19" t="inlineStr">
        <is>
          <t>CDNA</t>
        </is>
      </c>
      <c r="D19" s="18" t="inlineStr">
        <is>
          <t>CareDx Inc.</t>
        </is>
      </c>
      <c r="E19" s="18" t="inlineStr">
        <is>
          <t>醫療保健</t>
        </is>
      </c>
      <c r="F19" s="20" t="n">
        <v>28.08</v>
      </c>
      <c r="G19" s="21" t="n">
        <v>54.28</v>
      </c>
      <c r="H19" s="21" t="n">
        <v>52.62</v>
      </c>
      <c r="I19" s="22">
        <f>G19/H19-1</f>
        <v/>
      </c>
      <c r="J19" s="23" t="n">
        <v>77.09999999999999</v>
      </c>
      <c r="K19" s="23">
        <f>75.7300</f>
        <v/>
      </c>
      <c r="L19" s="23">
        <f>0.5*J19+0.5*K19</f>
        <v/>
      </c>
      <c r="M19" s="18" t="n">
        <v>7</v>
      </c>
    </row>
    <row r="20">
      <c r="A20" s="18" t="inlineStr">
        <is>
          <t>中型</t>
        </is>
      </c>
      <c r="B20" s="18" t="n">
        <v>5</v>
      </c>
      <c r="C20" s="19" t="inlineStr">
        <is>
          <t>IOVA</t>
        </is>
      </c>
      <c r="D20" s="18" t="inlineStr">
        <is>
          <t>Iovance Biotherapeutics Inc.</t>
        </is>
      </c>
      <c r="E20" s="18" t="inlineStr">
        <is>
          <t>醫療保健</t>
        </is>
      </c>
      <c r="F20" s="20" t="n">
        <v>45.39</v>
      </c>
      <c r="G20" s="21" t="n">
        <v>10.02</v>
      </c>
      <c r="H20" s="21" t="n">
        <v>9.42</v>
      </c>
      <c r="I20" s="22">
        <f>G20/H20-1</f>
        <v/>
      </c>
      <c r="J20" s="23" t="n">
        <v>58.6</v>
      </c>
      <c r="K20" s="23">
        <f>86.8500</f>
        <v/>
      </c>
      <c r="L20" s="23">
        <f>0.5*J20+0.5*K20</f>
        <v/>
      </c>
      <c r="M20" s="18" t="n">
        <v>10</v>
      </c>
    </row>
    <row r="21">
      <c r="A21" s="18" t="inlineStr">
        <is>
          <t>中型</t>
        </is>
      </c>
      <c r="B21" s="18" t="n">
        <v>6</v>
      </c>
      <c r="C21" s="19" t="inlineStr">
        <is>
          <t>SAIC</t>
        </is>
      </c>
      <c r="D21" s="18" t="inlineStr">
        <is>
          <t>Science Applications International Corporation</t>
        </is>
      </c>
      <c r="E21" s="18" t="inlineStr">
        <is>
          <t>科技</t>
        </is>
      </c>
      <c r="F21" s="20" t="n">
        <v>56</v>
      </c>
      <c r="G21" s="21" t="n">
        <v>133.65</v>
      </c>
      <c r="H21" s="21" t="n">
        <v>132.38</v>
      </c>
      <c r="I21" s="22">
        <f>G21/H21-1</f>
        <v/>
      </c>
      <c r="J21" s="23" t="n">
        <v>65.40000000000001</v>
      </c>
      <c r="K21" s="23">
        <f>79.5700</f>
        <v/>
      </c>
      <c r="L21" s="23">
        <f>0.5*J21+0.5*K21</f>
        <v/>
      </c>
      <c r="M21" s="18" t="n">
        <v>11</v>
      </c>
    </row>
    <row r="22">
      <c r="A22" s="18" t="inlineStr">
        <is>
          <t>中型</t>
        </is>
      </c>
      <c r="B22" s="18" t="n">
        <v>7</v>
      </c>
      <c r="C22" s="19" t="inlineStr">
        <is>
          <t>EPAM</t>
        </is>
      </c>
      <c r="D22" s="18" t="inlineStr">
        <is>
          <t>EPAM Systems Inc.</t>
        </is>
      </c>
      <c r="E22" s="18" t="inlineStr">
        <is>
          <t>科技</t>
        </is>
      </c>
      <c r="F22" s="20" t="n">
        <v>60.41</v>
      </c>
      <c r="G22" s="21" t="n">
        <v>117.1</v>
      </c>
      <c r="H22" s="21" t="n">
        <v>119.86</v>
      </c>
      <c r="I22" s="22">
        <f>G22/H22-1</f>
        <v/>
      </c>
      <c r="J22" s="23" t="n">
        <v>69.59999999999999</v>
      </c>
      <c r="K22" s="23">
        <f>69.4150</f>
        <v/>
      </c>
      <c r="L22" s="23">
        <f>0.5*J22+0.5*K22</f>
        <v/>
      </c>
      <c r="M22" s="18" t="n">
        <v>47</v>
      </c>
    </row>
    <row r="23">
      <c r="A23" s="18" t="inlineStr">
        <is>
          <t>中型</t>
        </is>
      </c>
      <c r="B23" s="18" t="n">
        <v>8</v>
      </c>
      <c r="C23" s="19" t="inlineStr">
        <is>
          <t>AUGO</t>
        </is>
      </c>
      <c r="D23" s="18" t="inlineStr">
        <is>
          <t>Aura Minerals Inc. Common Shares</t>
        </is>
      </c>
      <c r="E23" s="18" t="inlineStr">
        <is>
          <t>原材料</t>
        </is>
      </c>
      <c r="F23" s="20" t="n">
        <v>74.33</v>
      </c>
      <c r="G23" s="21" t="n">
        <v>88.70999999999999</v>
      </c>
      <c r="H23" s="21" t="n">
        <v>86.76000000000001</v>
      </c>
      <c r="I23" s="22">
        <f>G23/H23-1</f>
        <v/>
      </c>
      <c r="J23" s="23" t="n">
        <v>73.5</v>
      </c>
      <c r="K23" s="23">
        <f>64.8600</f>
        <v/>
      </c>
      <c r="L23" s="23">
        <f>0.5*J23+0.5*K23</f>
        <v/>
      </c>
      <c r="M23" s="18" t="n">
        <v>30</v>
      </c>
    </row>
    <row r="24">
      <c r="A24" s="18" t="inlineStr">
        <is>
          <t>中型</t>
        </is>
      </c>
      <c r="B24" s="18" t="n">
        <v>9</v>
      </c>
      <c r="C24" s="19" t="inlineStr">
        <is>
          <t>ATRC</t>
        </is>
      </c>
      <c r="D24" s="18" t="inlineStr">
        <is>
          <t>AtriCure Inc.</t>
        </is>
      </c>
      <c r="E24" s="18" t="inlineStr">
        <is>
          <t>醫療保健</t>
        </is>
      </c>
      <c r="F24" s="20" t="n">
        <v>30.07</v>
      </c>
      <c r="G24" s="21" t="n">
        <v>59.12</v>
      </c>
      <c r="H24" s="21" t="n">
        <v>56.56</v>
      </c>
      <c r="I24" s="22">
        <f>G24/H24-1</f>
        <v/>
      </c>
      <c r="J24" s="23" t="n">
        <v>35.6</v>
      </c>
      <c r="K24" s="23">
        <f>96.4200</f>
        <v/>
      </c>
      <c r="L24" s="23">
        <f>0.5*J24+0.5*K24</f>
        <v/>
      </c>
      <c r="M24" s="18" t="n">
        <v>20</v>
      </c>
    </row>
    <row r="25">
      <c r="A25" s="18" t="inlineStr">
        <is>
          <t>中型</t>
        </is>
      </c>
      <c r="B25" s="18" t="n">
        <v>10</v>
      </c>
      <c r="C25" s="19" t="inlineStr">
        <is>
          <t>INSP</t>
        </is>
      </c>
      <c r="D25" s="18" t="inlineStr">
        <is>
          <t>Inspire Medical Systems Inc.</t>
        </is>
      </c>
      <c r="E25" s="18" t="inlineStr">
        <is>
          <t>醫療保健</t>
        </is>
      </c>
      <c r="F25" s="20" t="n">
        <v>21.03</v>
      </c>
      <c r="G25" s="21" t="n">
        <v>72.73999999999999</v>
      </c>
      <c r="H25" s="21" t="n">
        <v>73.48</v>
      </c>
      <c r="I25" s="22">
        <f>G25/H25-1</f>
        <v/>
      </c>
      <c r="J25" s="23" t="n">
        <v>39.2</v>
      </c>
      <c r="K25" s="23">
        <f>90.4650</f>
        <v/>
      </c>
      <c r="L25" s="23">
        <f>0.5*J25+0.5*K25</f>
        <v/>
      </c>
      <c r="M25" s="18" t="n">
        <v>22</v>
      </c>
    </row>
    <row r="26">
      <c r="A26" s="18" t="inlineStr">
        <is>
          <t>中型</t>
        </is>
      </c>
      <c r="B26" s="18" t="n">
        <v>11</v>
      </c>
      <c r="C26" s="19" t="inlineStr">
        <is>
          <t>CNXN</t>
        </is>
      </c>
      <c r="D26" s="18" t="inlineStr">
        <is>
          <t>PC Connection Inc.</t>
        </is>
      </c>
      <c r="E26" s="18" t="inlineStr">
        <is>
          <t>非必需消費</t>
        </is>
      </c>
      <c r="F26" s="20" t="n">
        <v>21.82</v>
      </c>
      <c r="G26" s="21" t="n">
        <v>86.45999999999999</v>
      </c>
      <c r="H26" s="21" t="n">
        <v>86.06</v>
      </c>
      <c r="I26" s="22">
        <f>G26/H26-1</f>
        <v/>
      </c>
      <c r="J26" s="23" t="n">
        <v>42.7</v>
      </c>
      <c r="K26" s="23">
        <f>80.0300</f>
        <v/>
      </c>
      <c r="L26" s="23">
        <f>0.5*J26+0.5*K26</f>
        <v/>
      </c>
      <c r="M26" s="18" t="n">
        <v>54</v>
      </c>
    </row>
    <row r="27">
      <c r="A27" s="18" t="inlineStr">
        <is>
          <t>中型</t>
        </is>
      </c>
      <c r="B27" s="18" t="n">
        <v>12</v>
      </c>
      <c r="C27" s="19" t="inlineStr">
        <is>
          <t>INSW</t>
        </is>
      </c>
      <c r="D27" s="18" t="inlineStr">
        <is>
          <t>International Seaways Inc.</t>
        </is>
      </c>
      <c r="E27" s="18" t="inlineStr">
        <is>
          <t>非必需消費</t>
        </is>
      </c>
      <c r="F27" s="20" t="n">
        <v>54.75</v>
      </c>
      <c r="G27" s="21" t="n">
        <v>110.53</v>
      </c>
      <c r="H27" s="21" t="n">
        <v>107.43</v>
      </c>
      <c r="I27" s="22">
        <f>G27/H27-1</f>
        <v/>
      </c>
      <c r="J27" s="23" t="n">
        <v>44.7</v>
      </c>
      <c r="K27" s="23">
        <f>77.2500</f>
        <v/>
      </c>
      <c r="L27" s="23">
        <f>0.5*J27+0.5*K27</f>
        <v/>
      </c>
      <c r="M27" s="18" t="n">
        <v>34</v>
      </c>
    </row>
    <row r="28">
      <c r="A28" s="10" t="inlineStr">
        <is>
          <t>中型</t>
        </is>
      </c>
      <c r="B28" s="10" t="n">
        <v>13</v>
      </c>
      <c r="C28" s="11" t="inlineStr">
        <is>
          <t>SLDE</t>
        </is>
      </c>
      <c r="D28" s="10" t="inlineStr">
        <is>
          <t>Slide Insurance Holdings Inc.</t>
        </is>
      </c>
      <c r="E28" s="10" t="inlineStr">
        <is>
          <t>金融</t>
        </is>
      </c>
      <c r="F28" s="12" t="n">
        <v>29.2</v>
      </c>
      <c r="G28" s="13" t="n">
        <v>25</v>
      </c>
      <c r="H28" s="13" t="n">
        <v>25.64</v>
      </c>
      <c r="I28" s="14">
        <f>G28/H28-1</f>
        <v/>
      </c>
      <c r="J28" s="15" t="n">
        <v>27.1</v>
      </c>
      <c r="K28" s="15">
        <f>84.5650</f>
        <v/>
      </c>
      <c r="L28" s="15">
        <f>0.5*J28+0.5*K28</f>
        <v/>
      </c>
      <c r="M28" s="10" t="n">
        <v>39</v>
      </c>
    </row>
    <row r="29">
      <c r="A29" s="18" t="inlineStr">
        <is>
          <t>中型</t>
        </is>
      </c>
      <c r="B29" s="18" t="n">
        <v>14</v>
      </c>
      <c r="C29" s="19" t="inlineStr">
        <is>
          <t>PEGA</t>
        </is>
      </c>
      <c r="D29" s="18" t="inlineStr">
        <is>
          <t>Pegasystems Inc.</t>
        </is>
      </c>
      <c r="E29" s="18" t="inlineStr">
        <is>
          <t>科技</t>
        </is>
      </c>
      <c r="F29" s="20" t="n">
        <v>59.3</v>
      </c>
      <c r="G29" s="21" t="n">
        <v>36.07</v>
      </c>
      <c r="H29" s="21" t="n">
        <v>37.1</v>
      </c>
      <c r="I29" s="22">
        <f>G29/H29-1</f>
        <v/>
      </c>
      <c r="J29" s="23" t="n">
        <v>37.5</v>
      </c>
      <c r="K29" s="23">
        <f>69.7050</f>
        <v/>
      </c>
      <c r="L29" s="23">
        <f>0.5*J29+0.5*K29</f>
        <v/>
      </c>
      <c r="M29" s="18" t="n">
        <v>78</v>
      </c>
    </row>
    <row r="30">
      <c r="A30" s="18" t="inlineStr">
        <is>
          <t>中型</t>
        </is>
      </c>
      <c r="B30" s="18" t="n">
        <v>15</v>
      </c>
      <c r="C30" s="19" t="inlineStr">
        <is>
          <t>CRVL</t>
        </is>
      </c>
      <c r="D30" s="18" t="inlineStr">
        <is>
          <t>CorVel Corp.</t>
        </is>
      </c>
      <c r="E30" s="18" t="inlineStr">
        <is>
          <t>金融</t>
        </is>
      </c>
      <c r="F30" s="20" t="n">
        <v>35.62</v>
      </c>
      <c r="G30" s="21" t="n">
        <v>70.505</v>
      </c>
      <c r="H30" s="21" t="n">
        <v>70.97</v>
      </c>
      <c r="I30" s="22">
        <f>G30/H30-1</f>
        <v/>
      </c>
      <c r="J30" s="23" t="n">
        <v>25.2</v>
      </c>
      <c r="K30" s="23">
        <f>78.9500</f>
        <v/>
      </c>
      <c r="L30" s="23">
        <f>0.5*J30+0.5*K30</f>
        <v/>
      </c>
      <c r="M30" s="18" t="n">
        <v>83</v>
      </c>
    </row>
    <row r="31">
      <c r="A31" s="18" t="inlineStr">
        <is>
          <t>中型</t>
        </is>
      </c>
      <c r="B31" s="18" t="n">
        <v>16</v>
      </c>
      <c r="C31" s="19" t="inlineStr">
        <is>
          <t>NTSK</t>
        </is>
      </c>
      <c r="D31" s="18" t="inlineStr">
        <is>
          <t>Netskope Inc. Class A</t>
        </is>
      </c>
      <c r="E31" s="18" t="inlineStr">
        <is>
          <t>科技</t>
        </is>
      </c>
      <c r="F31" s="20" t="n">
        <v>70.31999999999999</v>
      </c>
      <c r="G31" s="21" t="n">
        <v>17.21</v>
      </c>
      <c r="H31" s="21" t="n">
        <v>16.73</v>
      </c>
      <c r="I31" s="22">
        <f>G31/H31-1</f>
        <v/>
      </c>
      <c r="J31" s="23" t="n">
        <v>12.6</v>
      </c>
      <c r="K31" s="23">
        <f>88.3250</f>
        <v/>
      </c>
      <c r="L31" s="23">
        <f>0.5*J31+0.5*K31</f>
        <v/>
      </c>
      <c r="M31" s="18" t="n">
        <v>71</v>
      </c>
    </row>
    <row r="32">
      <c r="A32" s="10" t="inlineStr">
        <is>
          <t>中型</t>
        </is>
      </c>
      <c r="B32" s="10" t="n">
        <v>17</v>
      </c>
      <c r="C32" s="11" t="inlineStr">
        <is>
          <t>APPF</t>
        </is>
      </c>
      <c r="D32" s="10" t="inlineStr">
        <is>
          <t>AppFolio Inc. Class A</t>
        </is>
      </c>
      <c r="E32" s="10" t="inlineStr">
        <is>
          <t>科技</t>
        </is>
      </c>
      <c r="F32" s="12" t="n">
        <v>77.81999999999999</v>
      </c>
      <c r="G32" s="13" t="n">
        <v>219.735</v>
      </c>
      <c r="H32" s="13" t="n">
        <v>219.44</v>
      </c>
      <c r="I32" s="14">
        <f>G32/H32-1</f>
        <v/>
      </c>
      <c r="J32" s="15" t="n">
        <v>49.7</v>
      </c>
      <c r="K32" s="15">
        <f>46.3400</f>
        <v/>
      </c>
      <c r="L32" s="15">
        <f>0.5*J32+0.5*K32</f>
        <v/>
      </c>
      <c r="M32" s="10" t="n">
        <v>85</v>
      </c>
    </row>
    <row r="33">
      <c r="A33" s="18" t="inlineStr">
        <is>
          <t>小型</t>
        </is>
      </c>
      <c r="B33" s="18" t="n">
        <v>1</v>
      </c>
      <c r="C33" s="19" t="inlineStr">
        <is>
          <t>FMAO</t>
        </is>
      </c>
      <c r="D33" s="18" t="inlineStr">
        <is>
          <t>Farmers &amp; Merchants Bancorp Inc.</t>
        </is>
      </c>
      <c r="E33" s="18" t="inlineStr">
        <is>
          <t>金融</t>
        </is>
      </c>
      <c r="F33" s="20" t="n">
        <v>4.91</v>
      </c>
      <c r="G33" s="21" t="n">
        <v>35.67</v>
      </c>
      <c r="H33" s="21" t="n">
        <v>35.7</v>
      </c>
      <c r="I33" s="22">
        <f>G33/H33-1</f>
        <v/>
      </c>
      <c r="J33" s="23" t="n">
        <v>94.2</v>
      </c>
      <c r="K33" s="23">
        <f>85.6350</f>
        <v/>
      </c>
      <c r="L33" s="23">
        <f>0.5*J33+0.5*K33</f>
        <v/>
      </c>
      <c r="M33" s="18" t="n">
        <v>4</v>
      </c>
    </row>
    <row r="34">
      <c r="A34" s="10" t="inlineStr">
        <is>
          <t>小型</t>
        </is>
      </c>
      <c r="B34" s="10" t="n">
        <v>2</v>
      </c>
      <c r="C34" s="11" t="inlineStr">
        <is>
          <t>HRTG</t>
        </is>
      </c>
      <c r="D34" s="10" t="inlineStr">
        <is>
          <t>Heritage Insurance Holdings Inc.</t>
        </is>
      </c>
      <c r="E34" s="10" t="inlineStr">
        <is>
          <t>金融</t>
        </is>
      </c>
      <c r="F34" s="12" t="n">
        <v>10.53</v>
      </c>
      <c r="G34" s="13" t="n">
        <v>35.42</v>
      </c>
      <c r="H34" s="13" t="n">
        <v>34.97</v>
      </c>
      <c r="I34" s="14">
        <f>G34/H34-1</f>
        <v/>
      </c>
      <c r="J34" s="15" t="n">
        <v>83.3</v>
      </c>
      <c r="K34" s="15">
        <f>84.4000</f>
        <v/>
      </c>
      <c r="L34" s="15">
        <f>0.5*J34+0.5*K34</f>
        <v/>
      </c>
      <c r="M34" s="10" t="n">
        <v>3</v>
      </c>
    </row>
    <row r="35">
      <c r="A35" s="18" t="inlineStr">
        <is>
          <t>小型</t>
        </is>
      </c>
      <c r="B35" s="18" t="n">
        <v>3</v>
      </c>
      <c r="C35" s="19" t="inlineStr">
        <is>
          <t>FET</t>
        </is>
      </c>
      <c r="D35" s="18" t="inlineStr">
        <is>
          <t>Forum Energy Technologies Inc.</t>
        </is>
      </c>
      <c r="E35" s="18" t="inlineStr">
        <is>
          <t>非必需消費</t>
        </is>
      </c>
      <c r="F35" s="20" t="n">
        <v>9.44</v>
      </c>
      <c r="G35" s="21" t="n">
        <v>82.29000000000001</v>
      </c>
      <c r="H35" s="21" t="n">
        <v>81.91</v>
      </c>
      <c r="I35" s="22">
        <f>G35/H35-1</f>
        <v/>
      </c>
      <c r="J35" s="23" t="n">
        <v>87</v>
      </c>
      <c r="K35" s="23">
        <f>79.1600</f>
        <v/>
      </c>
      <c r="L35" s="23">
        <f>0.5*J35+0.5*K35</f>
        <v/>
      </c>
      <c r="M35" s="18" t="n">
        <v>25</v>
      </c>
    </row>
    <row r="36">
      <c r="A36" s="18" t="inlineStr">
        <is>
          <t>小型</t>
        </is>
      </c>
      <c r="B36" s="18" t="n">
        <v>4</v>
      </c>
      <c r="C36" s="19" t="inlineStr">
        <is>
          <t>RDVT</t>
        </is>
      </c>
      <c r="D36" s="18" t="inlineStr">
        <is>
          <t>Red Violet Inc.</t>
        </is>
      </c>
      <c r="E36" s="18" t="inlineStr">
        <is>
          <t>科技</t>
        </is>
      </c>
      <c r="F36" s="20" t="n">
        <v>12.38</v>
      </c>
      <c r="G36" s="21" t="n">
        <v>77.12</v>
      </c>
      <c r="H36" s="21" t="n">
        <v>76.43000000000001</v>
      </c>
      <c r="I36" s="22">
        <f>G36/H36-1</f>
        <v/>
      </c>
      <c r="J36" s="23" t="n">
        <v>65.2</v>
      </c>
      <c r="K36" s="23">
        <f>85.5700</f>
        <v/>
      </c>
      <c r="L36" s="23">
        <f>0.5*J36+0.5*K36</f>
        <v/>
      </c>
      <c r="M36" s="18" t="n">
        <v>8</v>
      </c>
    </row>
    <row r="37">
      <c r="A37" s="18" t="inlineStr">
        <is>
          <t>小型</t>
        </is>
      </c>
      <c r="B37" s="18" t="n">
        <v>5</v>
      </c>
      <c r="C37" s="19" t="inlineStr">
        <is>
          <t>CRSR</t>
        </is>
      </c>
      <c r="D37" s="18" t="inlineStr">
        <is>
          <t>Corsair Gaming Inc.</t>
        </is>
      </c>
      <c r="E37" s="18" t="inlineStr">
        <is>
          <t>科技</t>
        </is>
      </c>
      <c r="F37" s="20" t="n">
        <v>14.61</v>
      </c>
      <c r="G37" s="21" t="n">
        <v>13.51</v>
      </c>
      <c r="H37" s="21" t="n">
        <v>13.32</v>
      </c>
      <c r="I37" s="22">
        <f>G37/H37-1</f>
        <v/>
      </c>
      <c r="J37" s="23" t="n">
        <v>69.7</v>
      </c>
      <c r="K37" s="23">
        <f>79.8450</f>
        <v/>
      </c>
      <c r="L37" s="23">
        <f>0.5*J37+0.5*K37</f>
        <v/>
      </c>
      <c r="M37" s="18" t="n">
        <v>15</v>
      </c>
    </row>
    <row r="38">
      <c r="A38" s="18" t="inlineStr">
        <is>
          <t>小型</t>
        </is>
      </c>
      <c r="B38" s="18" t="n">
        <v>6</v>
      </c>
      <c r="C38" s="19" t="inlineStr">
        <is>
          <t>BDSX</t>
        </is>
      </c>
      <c r="D38" s="18" t="inlineStr">
        <is>
          <t>Biodesix Inc.</t>
        </is>
      </c>
      <c r="E38" s="18" t="inlineStr">
        <is>
          <t>醫療保健</t>
        </is>
      </c>
      <c r="F38" s="20" t="n">
        <v>3.04</v>
      </c>
      <c r="G38" s="21" t="n">
        <v>28.81</v>
      </c>
      <c r="H38" s="21" t="n">
        <v>27.89</v>
      </c>
      <c r="I38" s="22">
        <f>G38/H38-1</f>
        <v/>
      </c>
      <c r="J38" s="23" t="n">
        <v>67.90000000000001</v>
      </c>
      <c r="K38" s="23">
        <f>76.7400</f>
        <v/>
      </c>
      <c r="L38" s="23">
        <f>0.5*J38+0.5*K38</f>
        <v/>
      </c>
      <c r="M38" s="18" t="n">
        <v>19</v>
      </c>
    </row>
    <row r="39">
      <c r="A39" s="18" t="inlineStr">
        <is>
          <t>小型</t>
        </is>
      </c>
      <c r="B39" s="18" t="n">
        <v>7</v>
      </c>
      <c r="C39" s="19" t="inlineStr">
        <is>
          <t>XRX</t>
        </is>
      </c>
      <c r="D39" s="18" t="inlineStr">
        <is>
          <t>Xerox Holdings Corporation</t>
        </is>
      </c>
      <c r="E39" s="18" t="inlineStr">
        <is>
          <t>科技</t>
        </is>
      </c>
      <c r="F39" s="20" t="n">
        <v>4.75</v>
      </c>
      <c r="G39" s="21" t="n">
        <v>3.62</v>
      </c>
      <c r="H39" s="21" t="n">
        <v>3.46</v>
      </c>
      <c r="I39" s="22">
        <f>G39/H39-1</f>
        <v/>
      </c>
      <c r="J39" s="23" t="n">
        <v>61.9</v>
      </c>
      <c r="K39" s="23">
        <f>80.7250</f>
        <v/>
      </c>
      <c r="L39" s="23">
        <f>0.5*J39+0.5*K39</f>
        <v/>
      </c>
      <c r="M39" s="18" t="n">
        <v>36</v>
      </c>
    </row>
    <row r="40">
      <c r="A40" s="18" t="inlineStr">
        <is>
          <t>小型</t>
        </is>
      </c>
      <c r="B40" s="18" t="n">
        <v>8</v>
      </c>
      <c r="C40" s="19" t="inlineStr">
        <is>
          <t>MYGN</t>
        </is>
      </c>
      <c r="D40" s="18" t="inlineStr">
        <is>
          <t>Myriad Genetics Inc.</t>
        </is>
      </c>
      <c r="E40" s="18" t="inlineStr">
        <is>
          <t>醫療保健</t>
        </is>
      </c>
      <c r="F40" s="20" t="n">
        <v>3.96</v>
      </c>
      <c r="G40" s="21" t="n">
        <v>4.14</v>
      </c>
      <c r="H40" s="21" t="n">
        <v>3.82</v>
      </c>
      <c r="I40" s="22">
        <f>G40/H40-1</f>
        <v/>
      </c>
      <c r="J40" s="23" t="n">
        <v>59.3</v>
      </c>
      <c r="K40" s="23">
        <f>82.1150</f>
        <v/>
      </c>
      <c r="L40" s="23">
        <f>0.5*J40+0.5*K40</f>
        <v/>
      </c>
      <c r="M40" s="18" t="n">
        <v>24</v>
      </c>
    </row>
    <row r="41">
      <c r="A41" s="10" t="inlineStr">
        <is>
          <t>小型</t>
        </is>
      </c>
      <c r="B41" s="10" t="n">
        <v>9</v>
      </c>
      <c r="C41" s="11" t="inlineStr">
        <is>
          <t>KOPN</t>
        </is>
      </c>
      <c r="D41" s="10" t="inlineStr">
        <is>
          <t>Kopin Corporation</t>
        </is>
      </c>
      <c r="E41" s="10" t="inlineStr">
        <is>
          <t>科技</t>
        </is>
      </c>
      <c r="F41" s="12" t="n">
        <v>8.789999999999999</v>
      </c>
      <c r="G41" s="13" t="n">
        <v>4.73</v>
      </c>
      <c r="H41" s="13" t="n">
        <v>4.46</v>
      </c>
      <c r="I41" s="14">
        <f>G41/H41-1</f>
        <v/>
      </c>
      <c r="J41" s="15" t="n">
        <v>62.9</v>
      </c>
      <c r="K41" s="15">
        <f>76.0150</f>
        <v/>
      </c>
      <c r="L41" s="15">
        <f>0.5*J41+0.5*K41</f>
        <v/>
      </c>
      <c r="M41" s="10" t="n">
        <v>48</v>
      </c>
    </row>
    <row r="42">
      <c r="A42" s="18" t="inlineStr">
        <is>
          <t>小型</t>
        </is>
      </c>
      <c r="B42" s="18" t="n">
        <v>10</v>
      </c>
      <c r="C42" s="19" t="inlineStr">
        <is>
          <t>NUTX</t>
        </is>
      </c>
      <c r="D42" s="18" t="inlineStr">
        <is>
          <t>Nutex Health Inc.</t>
        </is>
      </c>
      <c r="E42" s="18" t="inlineStr">
        <is>
          <t>非必需消費</t>
        </is>
      </c>
      <c r="F42" s="20" t="n">
        <v>14.68</v>
      </c>
      <c r="G42" s="21" t="n">
        <v>214.32</v>
      </c>
      <c r="H42" s="21" t="n">
        <v>212.85</v>
      </c>
      <c r="I42" s="22">
        <f>G42/H42-1</f>
        <v/>
      </c>
      <c r="J42" s="23" t="n">
        <v>51.4</v>
      </c>
      <c r="K42" s="23">
        <f>87.5600</f>
        <v/>
      </c>
      <c r="L42" s="23">
        <f>0.5*J42+0.5*K42</f>
        <v/>
      </c>
      <c r="M42" s="18" t="n">
        <v>27</v>
      </c>
    </row>
    <row r="43">
      <c r="A43" s="10" t="inlineStr">
        <is>
          <t>小型</t>
        </is>
      </c>
      <c r="B43" s="10" t="n">
        <v>11</v>
      </c>
      <c r="C43" s="11" t="inlineStr">
        <is>
          <t>CRCT</t>
        </is>
      </c>
      <c r="D43" s="10" t="inlineStr">
        <is>
          <t>Cricut Inc. Class A</t>
        </is>
      </c>
      <c r="E43" s="10" t="inlineStr">
        <is>
          <t>科技</t>
        </is>
      </c>
      <c r="F43" s="12" t="n">
        <v>11.96</v>
      </c>
      <c r="G43" s="13" t="n">
        <v>5.71</v>
      </c>
      <c r="H43" s="13" t="n">
        <v>5.64</v>
      </c>
      <c r="I43" s="14">
        <f>G43/H43-1</f>
        <v/>
      </c>
      <c r="J43" s="15" t="n">
        <v>80.40000000000001</v>
      </c>
      <c r="K43" s="15">
        <f>57.4600</f>
        <v/>
      </c>
      <c r="L43" s="15">
        <f>0.5*J43+0.5*K43</f>
        <v/>
      </c>
      <c r="M43" s="10" t="n">
        <v>50</v>
      </c>
    </row>
    <row r="44">
      <c r="A44" s="18" t="inlineStr">
        <is>
          <t>小型</t>
        </is>
      </c>
      <c r="B44" s="18" t="n">
        <v>12</v>
      </c>
      <c r="C44" s="19" t="inlineStr">
        <is>
          <t>FBLA</t>
        </is>
      </c>
      <c r="D44" s="18" t="inlineStr">
        <is>
          <t>FB Bancorp Inc.</t>
        </is>
      </c>
      <c r="E44" s="18" t="inlineStr">
        <is>
          <t>金融</t>
        </is>
      </c>
      <c r="F44" s="20" t="n">
        <v>2.57</v>
      </c>
      <c r="G44" s="21" t="n">
        <v>16.09</v>
      </c>
      <c r="H44" s="21" t="n">
        <v>16.04</v>
      </c>
      <c r="I44" s="22">
        <f>G44/H44-1</f>
        <v/>
      </c>
      <c r="J44" s="23" t="n">
        <v>54.1</v>
      </c>
      <c r="K44" s="23">
        <f>80.2750</f>
        <v/>
      </c>
      <c r="L44" s="23">
        <f>0.5*J44+0.5*K44</f>
        <v/>
      </c>
      <c r="M44" s="18" t="n">
        <v>16</v>
      </c>
    </row>
    <row r="45">
      <c r="A45" s="18" t="inlineStr">
        <is>
          <t>小型</t>
        </is>
      </c>
      <c r="B45" s="18" t="n">
        <v>13</v>
      </c>
      <c r="C45" s="19" t="inlineStr">
        <is>
          <t>PD</t>
        </is>
      </c>
      <c r="D45" s="18" t="inlineStr">
        <is>
          <t>PagerDuty Inc.</t>
        </is>
      </c>
      <c r="E45" s="18" t="inlineStr">
        <is>
          <t>科技</t>
        </is>
      </c>
      <c r="F45" s="20" t="n">
        <v>11.36</v>
      </c>
      <c r="G45" s="21" t="n">
        <v>14.44</v>
      </c>
      <c r="H45" s="21" t="n">
        <v>14.47</v>
      </c>
      <c r="I45" s="22">
        <f>G45/H45-1</f>
        <v/>
      </c>
      <c r="J45" s="23" t="n">
        <v>45.8</v>
      </c>
      <c r="K45" s="23">
        <f>88.4800</f>
        <v/>
      </c>
      <c r="L45" s="23">
        <f>0.5*J45+0.5*K45</f>
        <v/>
      </c>
      <c r="M45" s="18" t="n">
        <v>17</v>
      </c>
    </row>
    <row r="46">
      <c r="A46" s="18" t="inlineStr">
        <is>
          <t>小型</t>
        </is>
      </c>
      <c r="B46" s="18" t="n">
        <v>14</v>
      </c>
      <c r="C46" s="19" t="inlineStr">
        <is>
          <t>AMPH</t>
        </is>
      </c>
      <c r="D46" s="18" t="inlineStr">
        <is>
          <t>Amphastar Pharmaceuticals Inc.</t>
        </is>
      </c>
      <c r="E46" s="18" t="inlineStr">
        <is>
          <t>醫療保健</t>
        </is>
      </c>
      <c r="F46" s="20" t="n">
        <v>10.13</v>
      </c>
      <c r="G46" s="21" t="n">
        <v>23.82</v>
      </c>
      <c r="H46" s="21" t="n">
        <v>23.82</v>
      </c>
      <c r="I46" s="22">
        <f>G46/H46-1</f>
        <v/>
      </c>
      <c r="J46" s="23" t="n">
        <v>55.4</v>
      </c>
      <c r="K46" s="23">
        <f>77.2650</f>
        <v/>
      </c>
      <c r="L46" s="23">
        <f>0.5*J46+0.5*K46</f>
        <v/>
      </c>
      <c r="M46" s="18" t="n">
        <v>18</v>
      </c>
    </row>
    <row r="47">
      <c r="A47" s="10" t="inlineStr">
        <is>
          <t>小型</t>
        </is>
      </c>
      <c r="B47" s="10" t="n">
        <v>15</v>
      </c>
      <c r="C47" s="11" t="inlineStr">
        <is>
          <t>FPI</t>
        </is>
      </c>
      <c r="D47" s="10" t="inlineStr">
        <is>
          <t>Farmland Partners Inc.</t>
        </is>
      </c>
      <c r="E47" s="10" t="inlineStr">
        <is>
          <t>房地產</t>
        </is>
      </c>
      <c r="F47" s="12" t="n">
        <v>4.78</v>
      </c>
      <c r="G47" s="13" t="n">
        <v>10.95</v>
      </c>
      <c r="H47" s="13" t="n">
        <v>10.78</v>
      </c>
      <c r="I47" s="14">
        <f>G47/H47-1</f>
        <v/>
      </c>
      <c r="J47" s="15" t="n">
        <v>51.7</v>
      </c>
      <c r="K47" s="15">
        <f>77.6950</f>
        <v/>
      </c>
      <c r="L47" s="15">
        <f>0.5*J47+0.5*K47</f>
        <v/>
      </c>
      <c r="M47" s="10" t="n">
        <v>23</v>
      </c>
    </row>
    <row r="48">
      <c r="A48" s="10" t="inlineStr">
        <is>
          <t>小型</t>
        </is>
      </c>
      <c r="B48" s="10" t="n">
        <v>16</v>
      </c>
      <c r="C48" s="11" t="inlineStr">
        <is>
          <t>CURI</t>
        </is>
      </c>
      <c r="D48" s="10" t="inlineStr">
        <is>
          <t>CuriosityStream Inc. Class A</t>
        </is>
      </c>
      <c r="E48" s="10" t="inlineStr">
        <is>
          <t>非必需消費</t>
        </is>
      </c>
      <c r="F48" s="12" t="n">
        <v>1.66</v>
      </c>
      <c r="G48" s="13" t="n">
        <v>2.795</v>
      </c>
      <c r="H48" s="13" t="n">
        <v>2.77</v>
      </c>
      <c r="I48" s="14">
        <f>G48/H48-1</f>
        <v/>
      </c>
      <c r="J48" s="15" t="n">
        <v>67</v>
      </c>
      <c r="K48" s="15">
        <f>57.0700</f>
        <v/>
      </c>
      <c r="L48" s="15">
        <f>0.5*J48+0.5*K48</f>
        <v/>
      </c>
      <c r="M48" s="10" t="n">
        <v>63</v>
      </c>
    </row>
    <row r="49">
      <c r="A49" s="18" t="inlineStr">
        <is>
          <t>小型</t>
        </is>
      </c>
      <c r="B49" s="18" t="n">
        <v>17</v>
      </c>
      <c r="C49" s="19" t="inlineStr">
        <is>
          <t>NPK</t>
        </is>
      </c>
      <c r="D49" s="18" t="inlineStr">
        <is>
          <t>National Presto Industries Inc.</t>
        </is>
      </c>
      <c r="E49" s="18" t="inlineStr">
        <is>
          <t>工業</t>
        </is>
      </c>
      <c r="F49" s="20" t="n">
        <v>10.85</v>
      </c>
      <c r="G49" s="21" t="n">
        <v>152.08</v>
      </c>
      <c r="H49" s="21" t="n">
        <v>153.64</v>
      </c>
      <c r="I49" s="22">
        <f>G49/H49-1</f>
        <v/>
      </c>
      <c r="J49" s="23" t="n">
        <v>58.9</v>
      </c>
      <c r="K49" s="23">
        <f>55.7250</f>
        <v/>
      </c>
      <c r="L49" s="23">
        <f>0.5*J49+0.5*K49</f>
        <v/>
      </c>
      <c r="M49" s="18" t="n">
        <v>69</v>
      </c>
    </row>
    <row r="50">
      <c r="A50" s="18" t="inlineStr">
        <is>
          <t>小型</t>
        </is>
      </c>
      <c r="B50" s="18" t="n">
        <v>18</v>
      </c>
      <c r="C50" s="19" t="inlineStr">
        <is>
          <t>OSPN</t>
        </is>
      </c>
      <c r="D50" s="18" t="inlineStr">
        <is>
          <t>OneSpan Inc.</t>
        </is>
      </c>
      <c r="E50" s="18" t="inlineStr">
        <is>
          <t>科技</t>
        </is>
      </c>
      <c r="F50" s="20" t="n">
        <v>6.61</v>
      </c>
      <c r="G50" s="21" t="n">
        <v>17.95</v>
      </c>
      <c r="H50" s="21" t="n">
        <v>17.6</v>
      </c>
      <c r="I50" s="22">
        <f>G50/H50-1</f>
        <v/>
      </c>
      <c r="J50" s="23" t="n">
        <v>26.4</v>
      </c>
      <c r="K50" s="23">
        <f>85.0600</f>
        <v/>
      </c>
      <c r="L50" s="23">
        <f>0.5*J50+0.5*K50</f>
        <v/>
      </c>
      <c r="M50" s="18" t="n">
        <v>52</v>
      </c>
    </row>
    <row r="51">
      <c r="A51" s="10" t="inlineStr">
        <is>
          <t>小型</t>
        </is>
      </c>
      <c r="B51" s="10" t="n">
        <v>19</v>
      </c>
      <c r="C51" s="11" t="inlineStr">
        <is>
          <t>SPT</t>
        </is>
      </c>
      <c r="D51" s="10" t="inlineStr">
        <is>
          <t>Sprout Social Inc Class A</t>
        </is>
      </c>
      <c r="E51" s="10" t="inlineStr">
        <is>
          <t>科技</t>
        </is>
      </c>
      <c r="F51" s="12" t="n">
        <v>6.56</v>
      </c>
      <c r="G51" s="13" t="n">
        <v>10.82</v>
      </c>
      <c r="H51" s="13" t="n">
        <v>11.16</v>
      </c>
      <c r="I51" s="14">
        <f>G51/H51-1</f>
        <v/>
      </c>
      <c r="J51" s="15" t="n">
        <v>42.3</v>
      </c>
      <c r="K51" s="15">
        <f>67.7650</f>
        <v/>
      </c>
      <c r="L51" s="15">
        <f>0.5*J51+0.5*K51</f>
        <v/>
      </c>
      <c r="M51" s="10" t="n">
        <v>74</v>
      </c>
    </row>
    <row r="52">
      <c r="A52" s="18" t="inlineStr">
        <is>
          <t>小型</t>
        </is>
      </c>
      <c r="B52" s="18" t="n">
        <v>20</v>
      </c>
      <c r="C52" s="19" t="inlineStr">
        <is>
          <t>FEIM</t>
        </is>
      </c>
      <c r="D52" s="18" t="inlineStr">
        <is>
          <t>Frequency Electronics Inc.</t>
        </is>
      </c>
      <c r="E52" s="18" t="inlineStr">
        <is>
          <t>工業</t>
        </is>
      </c>
      <c r="F52" s="20" t="n">
        <v>9.449999999999999</v>
      </c>
      <c r="G52" s="21" t="n">
        <v>83.81999999999999</v>
      </c>
      <c r="H52" s="21" t="n">
        <v>85.47</v>
      </c>
      <c r="I52" s="22">
        <f>G52/H52-1</f>
        <v/>
      </c>
      <c r="J52" s="23" t="n">
        <v>8.199999999999999</v>
      </c>
      <c r="K52" s="23">
        <f>87.1700</f>
        <v/>
      </c>
      <c r="L52" s="23">
        <f>0.5*J52+0.5*K52</f>
        <v/>
      </c>
      <c r="M52" s="18" t="n">
        <v>77</v>
      </c>
    </row>
    <row r="53">
      <c r="A53" s="10" t="inlineStr">
        <is>
          <t>小型</t>
        </is>
      </c>
      <c r="B53" s="10" t="n">
        <v>21</v>
      </c>
      <c r="C53" s="11" t="inlineStr">
        <is>
          <t>CTKB</t>
        </is>
      </c>
      <c r="D53" s="10" t="inlineStr">
        <is>
          <t>Cytek Biosciences Inc.</t>
        </is>
      </c>
      <c r="E53" s="10" t="inlineStr">
        <is>
          <t>工業</t>
        </is>
      </c>
      <c r="F53" s="12" t="n">
        <v>6.77</v>
      </c>
      <c r="G53" s="13" t="n">
        <v>5.21</v>
      </c>
      <c r="H53" s="13" t="n">
        <v>4.89</v>
      </c>
      <c r="I53" s="14">
        <f>G53/H53-1</f>
        <v/>
      </c>
      <c r="J53" s="15" t="n">
        <v>21.4</v>
      </c>
      <c r="K53" s="15">
        <f>71.8500</f>
        <v/>
      </c>
      <c r="L53" s="15">
        <f>0.5*J53+0.5*K53</f>
        <v/>
      </c>
      <c r="M53" s="10" t="n">
        <v>79</v>
      </c>
    </row>
    <row r="54">
      <c r="A54" s="18" t="inlineStr">
        <is>
          <t>小型</t>
        </is>
      </c>
      <c r="B54" s="18" t="n">
        <v>22</v>
      </c>
      <c r="C54" s="19" t="inlineStr">
        <is>
          <t>EFSI</t>
        </is>
      </c>
      <c r="D54" s="18" t="inlineStr">
        <is>
          <t>Eagle Financial Services Inc</t>
        </is>
      </c>
      <c r="E54" s="18" t="inlineStr">
        <is>
          <t>金融</t>
        </is>
      </c>
      <c r="F54" s="20" t="n">
        <v>2.48</v>
      </c>
      <c r="G54" s="21" t="n">
        <v>45.89</v>
      </c>
      <c r="H54" s="21" t="n">
        <v>45.96</v>
      </c>
      <c r="I54" s="22">
        <f>G54/H54-1</f>
        <v/>
      </c>
      <c r="J54" s="23" t="n">
        <v>18</v>
      </c>
      <c r="K54" s="23">
        <f>75.1600</f>
        <v/>
      </c>
      <c r="L54" s="23">
        <f>0.5*J54+0.5*K54</f>
        <v/>
      </c>
      <c r="M54" s="18" t="n">
        <v>80</v>
      </c>
    </row>
    <row r="56">
      <c r="A56" s="31" t="inlineStr">
        <is>
          <t>1星期 · 5MA vs 5日：MA(今日) &gt; MA(5 個交易日前) 嘅比較窗口見標題；另需最後 3 個 MA 值逐個遞升（兩次上升）同期內 ≥70% 日子上升。每個市值組各取 top 50。</t>
        </is>
      </c>
    </row>
  </sheetData>
  <autoFilter ref="A1:M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30" customWidth="1" min="4" max="4"/>
    <col width="11" customWidth="1" min="5" max="5"/>
    <col width="12" customWidth="1" min="6" max="6"/>
    <col width="11" customWidth="1" min="7" max="7"/>
    <col width="11" customWidth="1" min="8" max="8"/>
    <col width="10" customWidth="1" min="9" max="9"/>
    <col width="7" customWidth="1" min="10" max="10"/>
    <col width="8" customWidth="1" min="11" max="11"/>
    <col width="9" customWidth="1" min="12" max="12"/>
    <col width="9" customWidth="1" min="13" max="13"/>
  </cols>
  <sheetData>
    <row r="1" ht="30" customHeight="1">
      <c r="A1" s="1" t="inlineStr">
        <is>
          <t>市值組</t>
        </is>
      </c>
      <c r="B1" s="1" t="inlineStr">
        <is>
          <t>組內排名</t>
        </is>
      </c>
      <c r="C1" s="1" t="inlineStr">
        <is>
          <t>代號</t>
        </is>
      </c>
      <c r="D1" s="1" t="inlineStr">
        <is>
          <t>公司</t>
        </is>
      </c>
      <c r="E1" s="1" t="inlineStr">
        <is>
          <t>板塊</t>
        </is>
      </c>
      <c r="F1" s="1" t="inlineStr">
        <is>
          <t>市值(億美元)</t>
        </is>
      </c>
      <c r="G1" s="1" t="inlineStr">
        <is>
          <t>收市價</t>
        </is>
      </c>
      <c r="H1" s="1" t="inlineStr">
        <is>
          <t>MA10</t>
        </is>
      </c>
      <c r="I1" s="1" t="inlineStr">
        <is>
          <t>距MA10%</t>
        </is>
      </c>
      <c r="J1" s="1" t="inlineStr">
        <is>
          <t>VCP</t>
        </is>
      </c>
      <c r="K1" s="1" t="inlineStr">
        <is>
          <t>確定性</t>
        </is>
      </c>
      <c r="L1" s="1" t="inlineStr">
        <is>
          <t>綜合分數</t>
        </is>
      </c>
      <c r="M1" s="1" t="inlineStr">
        <is>
          <t>總表排名</t>
        </is>
      </c>
    </row>
    <row r="2">
      <c r="A2" s="18" t="inlineStr">
        <is>
          <t>大型</t>
        </is>
      </c>
      <c r="B2" s="18" t="n">
        <v>1</v>
      </c>
      <c r="C2" s="19" t="inlineStr">
        <is>
          <t>AVTR</t>
        </is>
      </c>
      <c r="D2" s="18" t="inlineStr">
        <is>
          <t>Avantor Inc.</t>
        </is>
      </c>
      <c r="E2" s="18" t="inlineStr">
        <is>
          <t>工業</t>
        </is>
      </c>
      <c r="F2" s="20" t="n">
        <v>107.27</v>
      </c>
      <c r="G2" s="21" t="n">
        <v>15.86</v>
      </c>
      <c r="H2" s="21" t="n">
        <v>15.21</v>
      </c>
      <c r="I2" s="22">
        <f>G2/H2-1</f>
        <v/>
      </c>
      <c r="J2" s="23" t="n">
        <v>72.5</v>
      </c>
      <c r="K2" s="23">
        <f>83.3700</f>
        <v/>
      </c>
      <c r="L2" s="23">
        <f>0.5*J2+0.5*K2</f>
        <v/>
      </c>
      <c r="M2" s="18" t="n">
        <v>6</v>
      </c>
    </row>
    <row r="3">
      <c r="A3" s="18" t="inlineStr">
        <is>
          <t>大型</t>
        </is>
      </c>
      <c r="B3" s="18" t="n">
        <v>2</v>
      </c>
      <c r="C3" s="19" t="inlineStr">
        <is>
          <t>NUE</t>
        </is>
      </c>
      <c r="D3" s="18" t="inlineStr">
        <is>
          <t>Nucor Corporation</t>
        </is>
      </c>
      <c r="E3" s="18" t="inlineStr">
        <is>
          <t>原材料</t>
        </is>
      </c>
      <c r="F3" s="20" t="n">
        <v>601.54</v>
      </c>
      <c r="G3" s="21" t="n">
        <v>265.14</v>
      </c>
      <c r="H3" s="21" t="n">
        <v>259.2</v>
      </c>
      <c r="I3" s="22">
        <f>G3/H3-1</f>
        <v/>
      </c>
      <c r="J3" s="23" t="n">
        <v>86.09999999999999</v>
      </c>
      <c r="K3" s="23">
        <f>69.7550</f>
        <v/>
      </c>
      <c r="L3" s="23">
        <f>0.5*J3+0.5*K3</f>
        <v/>
      </c>
      <c r="M3" s="18" t="n">
        <v>21</v>
      </c>
    </row>
    <row r="4">
      <c r="A4" s="10" t="inlineStr">
        <is>
          <t>大型</t>
        </is>
      </c>
      <c r="B4" s="10" t="n">
        <v>3</v>
      </c>
      <c r="C4" s="11" t="inlineStr">
        <is>
          <t>CLH</t>
        </is>
      </c>
      <c r="D4" s="10" t="inlineStr">
        <is>
          <t>Clean Harbors Inc.</t>
        </is>
      </c>
      <c r="E4" s="10" t="inlineStr">
        <is>
          <t>工業</t>
        </is>
      </c>
      <c r="F4" s="12" t="n">
        <v>166.57</v>
      </c>
      <c r="G4" s="13" t="n">
        <v>315.55</v>
      </c>
      <c r="H4" s="13" t="n">
        <v>318.8</v>
      </c>
      <c r="I4" s="14">
        <f>G4/H4-1</f>
        <v/>
      </c>
      <c r="J4" s="15" t="n">
        <v>85.59999999999999</v>
      </c>
      <c r="K4" s="15">
        <f>65.2800</f>
        <v/>
      </c>
      <c r="L4" s="15">
        <f>0.5*J4+0.5*K4</f>
        <v/>
      </c>
      <c r="M4" s="10" t="n">
        <v>29</v>
      </c>
    </row>
    <row r="5">
      <c r="A5" s="18" t="inlineStr">
        <is>
          <t>大型</t>
        </is>
      </c>
      <c r="B5" s="18" t="n">
        <v>4</v>
      </c>
      <c r="C5" s="19" t="inlineStr">
        <is>
          <t>TWLO</t>
        </is>
      </c>
      <c r="D5" s="18" t="inlineStr">
        <is>
          <t>Twilio Inc. Class A</t>
        </is>
      </c>
      <c r="E5" s="18" t="inlineStr">
        <is>
          <t>科技</t>
        </is>
      </c>
      <c r="F5" s="20" t="n">
        <v>378.16</v>
      </c>
      <c r="G5" s="21" t="n">
        <v>246.24</v>
      </c>
      <c r="H5" s="21" t="n">
        <v>234.42</v>
      </c>
      <c r="I5" s="22">
        <f>G5/H5-1</f>
        <v/>
      </c>
      <c r="J5" s="23" t="n">
        <v>65.90000000000001</v>
      </c>
      <c r="K5" s="23">
        <f>80.0450</f>
        <v/>
      </c>
      <c r="L5" s="23">
        <f>0.5*J5+0.5*K5</f>
        <v/>
      </c>
      <c r="M5" s="18" t="n">
        <v>43</v>
      </c>
    </row>
    <row r="6">
      <c r="A6" s="10" t="inlineStr">
        <is>
          <t>大型</t>
        </is>
      </c>
      <c r="B6" s="10" t="n">
        <v>5</v>
      </c>
      <c r="C6" s="11" t="inlineStr">
        <is>
          <t>OHI</t>
        </is>
      </c>
      <c r="D6" s="10" t="inlineStr">
        <is>
          <t>Omega Healthcare Investors Inc.</t>
        </is>
      </c>
      <c r="E6" s="10" t="inlineStr">
        <is>
          <t>房地產</t>
        </is>
      </c>
      <c r="F6" s="12" t="n">
        <v>143.54</v>
      </c>
      <c r="G6" s="13" t="n">
        <v>47.37</v>
      </c>
      <c r="H6" s="13" t="n">
        <v>47.03</v>
      </c>
      <c r="I6" s="14">
        <f>G6/H6-1</f>
        <v/>
      </c>
      <c r="J6" s="15" t="n">
        <v>66.2</v>
      </c>
      <c r="K6" s="15">
        <f>79.7500</f>
        <v/>
      </c>
      <c r="L6" s="15">
        <f>0.5*J6+0.5*K6</f>
        <v/>
      </c>
      <c r="M6" s="10" t="n">
        <v>44</v>
      </c>
    </row>
    <row r="7">
      <c r="A7" s="18" t="inlineStr">
        <is>
          <t>大型</t>
        </is>
      </c>
      <c r="B7" s="18" t="n">
        <v>6</v>
      </c>
      <c r="C7" s="19" t="inlineStr">
        <is>
          <t>ADM</t>
        </is>
      </c>
      <c r="D7" s="18" t="inlineStr">
        <is>
          <t>Archer-Daniels-Midland Company</t>
        </is>
      </c>
      <c r="E7" s="18" t="inlineStr">
        <is>
          <t>必需消費</t>
        </is>
      </c>
      <c r="F7" s="20" t="n">
        <v>424.56</v>
      </c>
      <c r="G7" s="21" t="n">
        <v>88.09</v>
      </c>
      <c r="H7" s="21" t="n">
        <v>85.98</v>
      </c>
      <c r="I7" s="22">
        <f>G7/H7-1</f>
        <v/>
      </c>
      <c r="J7" s="23" t="n">
        <v>54.4</v>
      </c>
      <c r="K7" s="23">
        <f>85.7850</f>
        <v/>
      </c>
      <c r="L7" s="23">
        <f>0.5*J7+0.5*K7</f>
        <v/>
      </c>
      <c r="M7" s="18" t="n">
        <v>37</v>
      </c>
    </row>
    <row r="8">
      <c r="A8" s="18" t="inlineStr">
        <is>
          <t>大型</t>
        </is>
      </c>
      <c r="B8" s="18" t="n">
        <v>7</v>
      </c>
      <c r="C8" s="19" t="inlineStr">
        <is>
          <t>BRK/B</t>
        </is>
      </c>
      <c r="D8" s="18" t="inlineStr">
        <is>
          <t>Berkshire Hathaway Inc.</t>
        </is>
      </c>
      <c r="E8" s="18" t="inlineStr">
        <is>
          <t>金融</t>
        </is>
      </c>
      <c r="F8" s="20" t="n">
        <v>11234.54</v>
      </c>
      <c r="G8" s="21" t="n">
        <v>509.2</v>
      </c>
      <c r="H8" s="21" t="n">
        <v>510.48</v>
      </c>
      <c r="I8" s="22">
        <f>G8/H8-1</f>
        <v/>
      </c>
      <c r="J8" s="23" t="n">
        <v>60.8</v>
      </c>
      <c r="K8" s="23">
        <f>77.7800</f>
        <v/>
      </c>
      <c r="L8" s="23">
        <f>0.5*J8+0.5*K8</f>
        <v/>
      </c>
      <c r="M8" s="18" t="n">
        <v>38</v>
      </c>
    </row>
    <row r="9">
      <c r="A9" s="18" t="inlineStr">
        <is>
          <t>大型</t>
        </is>
      </c>
      <c r="B9" s="18" t="n">
        <v>8</v>
      </c>
      <c r="C9" s="19" t="inlineStr">
        <is>
          <t>DT</t>
        </is>
      </c>
      <c r="D9" s="18" t="inlineStr">
        <is>
          <t>Dynatrace Inc.</t>
        </is>
      </c>
      <c r="E9" s="18" t="inlineStr">
        <is>
          <t>科技</t>
        </is>
      </c>
      <c r="F9" s="20" t="n">
        <v>161.35</v>
      </c>
      <c r="G9" s="21" t="n">
        <v>55.83</v>
      </c>
      <c r="H9" s="21" t="n">
        <v>52.76</v>
      </c>
      <c r="I9" s="22">
        <f>G9/H9-1</f>
        <v/>
      </c>
      <c r="J9" s="23" t="n">
        <v>53.3</v>
      </c>
      <c r="K9" s="23">
        <f>84.6150</f>
        <v/>
      </c>
      <c r="L9" s="23">
        <f>0.5*J9+0.5*K9</f>
        <v/>
      </c>
      <c r="M9" s="18" t="n">
        <v>31</v>
      </c>
    </row>
    <row r="10">
      <c r="A10" s="10" t="inlineStr">
        <is>
          <t>大型</t>
        </is>
      </c>
      <c r="B10" s="10" t="n">
        <v>9</v>
      </c>
      <c r="C10" s="11" t="inlineStr">
        <is>
          <t>BRK/A</t>
        </is>
      </c>
      <c r="D10" s="10" t="inlineStr">
        <is>
          <t>Berkshire Hathaway Inc.</t>
        </is>
      </c>
      <c r="E10" s="10" t="inlineStr">
        <is>
          <t>Uncategorized</t>
        </is>
      </c>
      <c r="F10" s="12" t="n">
        <v>11236.54</v>
      </c>
      <c r="G10" s="13" t="n">
        <v>763935.95</v>
      </c>
      <c r="H10" s="13" t="n">
        <v>765637.72</v>
      </c>
      <c r="I10" s="14">
        <f>G10/H10-1</f>
        <v/>
      </c>
      <c r="J10" s="15" t="n">
        <v>53.6</v>
      </c>
      <c r="K10" s="15">
        <f>81.2850</f>
        <v/>
      </c>
      <c r="L10" s="15">
        <f>0.5*J10+0.5*K10</f>
        <v/>
      </c>
      <c r="M10" s="10" t="n">
        <v>41</v>
      </c>
    </row>
    <row r="11">
      <c r="A11" s="18" t="inlineStr">
        <is>
          <t>大型</t>
        </is>
      </c>
      <c r="B11" s="18" t="n">
        <v>10</v>
      </c>
      <c r="C11" s="19" t="inlineStr">
        <is>
          <t>EXPD</t>
        </is>
      </c>
      <c r="D11" s="18" t="inlineStr">
        <is>
          <t>Expeditors International of Washington Inc.</t>
        </is>
      </c>
      <c r="E11" s="18" t="inlineStr">
        <is>
          <t>工業</t>
        </is>
      </c>
      <c r="F11" s="20" t="n">
        <v>245.79</v>
      </c>
      <c r="G11" s="21" t="n">
        <v>189.08</v>
      </c>
      <c r="H11" s="21" t="n">
        <v>189.78</v>
      </c>
      <c r="I11" s="22">
        <f>G11/H11-1</f>
        <v/>
      </c>
      <c r="J11" s="23" t="n">
        <v>66.5</v>
      </c>
      <c r="K11" s="23">
        <f>66.1600</f>
        <v/>
      </c>
      <c r="L11" s="23">
        <f>0.5*J11+0.5*K11</f>
        <v/>
      </c>
      <c r="M11" s="18" t="n">
        <v>35</v>
      </c>
    </row>
    <row r="12">
      <c r="A12" s="10" t="inlineStr">
        <is>
          <t>大型</t>
        </is>
      </c>
      <c r="B12" s="10" t="n">
        <v>11</v>
      </c>
      <c r="C12" s="11" t="inlineStr">
        <is>
          <t>SMCI</t>
        </is>
      </c>
      <c r="D12" s="10" t="inlineStr">
        <is>
          <t>Super Micro Computer Inc.</t>
        </is>
      </c>
      <c r="E12" s="10" t="inlineStr">
        <is>
          <t>科技</t>
        </is>
      </c>
      <c r="F12" s="12" t="n">
        <v>265.09</v>
      </c>
      <c r="G12" s="13" t="n">
        <v>40.35</v>
      </c>
      <c r="H12" s="13" t="n">
        <v>38.37</v>
      </c>
      <c r="I12" s="14">
        <f>G12/H12-1</f>
        <v/>
      </c>
      <c r="J12" s="15" t="n">
        <v>47.2</v>
      </c>
      <c r="K12" s="15">
        <f>83.6750</f>
        <v/>
      </c>
      <c r="L12" s="15">
        <f>0.5*J12+0.5*K12</f>
        <v/>
      </c>
      <c r="M12" s="10" t="n">
        <v>46</v>
      </c>
    </row>
    <row r="13">
      <c r="A13" s="10" t="inlineStr">
        <is>
          <t>大型</t>
        </is>
      </c>
      <c r="B13" s="10" t="n">
        <v>12</v>
      </c>
      <c r="C13" s="11" t="inlineStr">
        <is>
          <t>IBM</t>
        </is>
      </c>
      <c r="D13" s="10" t="inlineStr">
        <is>
          <t>International Business Machines Corporation</t>
        </is>
      </c>
      <c r="E13" s="10" t="inlineStr">
        <is>
          <t>科技</t>
        </is>
      </c>
      <c r="F13" s="12" t="n">
        <v>2239.92</v>
      </c>
      <c r="G13" s="13" t="n">
        <v>237.75</v>
      </c>
      <c r="H13" s="13" t="n">
        <v>239.16</v>
      </c>
      <c r="I13" s="14">
        <f>G13/H13-1</f>
        <v/>
      </c>
      <c r="J13" s="15" t="n">
        <v>45.2</v>
      </c>
      <c r="K13" s="15">
        <f>82.5450</f>
        <v/>
      </c>
      <c r="L13" s="15">
        <f>0.5*J13+0.5*K13</f>
        <v/>
      </c>
      <c r="M13" s="10" t="n">
        <v>60</v>
      </c>
    </row>
    <row r="14">
      <c r="A14" s="18" t="inlineStr">
        <is>
          <t>大型</t>
        </is>
      </c>
      <c r="B14" s="18" t="n">
        <v>13</v>
      </c>
      <c r="C14" s="19" t="inlineStr">
        <is>
          <t>DOCU</t>
        </is>
      </c>
      <c r="D14" s="18" t="inlineStr">
        <is>
          <t>DocuSign Inc.</t>
        </is>
      </c>
      <c r="E14" s="18" t="inlineStr">
        <is>
          <t>科技</t>
        </is>
      </c>
      <c r="F14" s="20" t="n">
        <v>132.03</v>
      </c>
      <c r="G14" s="21" t="n">
        <v>70.64</v>
      </c>
      <c r="H14" s="21" t="n">
        <v>67.8</v>
      </c>
      <c r="I14" s="22">
        <f>G14/H14-1</f>
        <v/>
      </c>
      <c r="J14" s="23" t="n">
        <v>40.6</v>
      </c>
      <c r="K14" s="23">
        <f>85.5500</f>
        <v/>
      </c>
      <c r="L14" s="23">
        <f>0.5*J14+0.5*K14</f>
        <v/>
      </c>
      <c r="M14" s="18" t="n">
        <v>28</v>
      </c>
    </row>
    <row r="15">
      <c r="A15" s="18" t="inlineStr">
        <is>
          <t>大型</t>
        </is>
      </c>
      <c r="B15" s="18" t="n">
        <v>14</v>
      </c>
      <c r="C15" s="19" t="inlineStr">
        <is>
          <t>META</t>
        </is>
      </c>
      <c r="D15" s="18" t="inlineStr">
        <is>
          <t>Meta Platforms Inc. Class A</t>
        </is>
      </c>
      <c r="E15" s="18" t="inlineStr">
        <is>
          <t>通訊服務</t>
        </is>
      </c>
      <c r="F15" s="20" t="n">
        <v>17381.89</v>
      </c>
      <c r="G15" s="21" t="n">
        <v>682.3099999999999</v>
      </c>
      <c r="H15" s="21" t="n">
        <v>647.85</v>
      </c>
      <c r="I15" s="22">
        <f>G15/H15-1</f>
        <v/>
      </c>
      <c r="J15" s="23" t="n">
        <v>34.8</v>
      </c>
      <c r="K15" s="23">
        <f>91.0050</f>
        <v/>
      </c>
      <c r="L15" s="23">
        <f>0.5*J15+0.5*K15</f>
        <v/>
      </c>
      <c r="M15" s="18" t="n">
        <v>49</v>
      </c>
    </row>
    <row r="16">
      <c r="A16" s="10" t="inlineStr">
        <is>
          <t>大型</t>
        </is>
      </c>
      <c r="B16" s="10" t="n">
        <v>15</v>
      </c>
      <c r="C16" s="11" t="inlineStr">
        <is>
          <t>TSLA</t>
        </is>
      </c>
      <c r="D16" s="10" t="inlineStr">
        <is>
          <t>Tesla Inc.</t>
        </is>
      </c>
      <c r="E16" s="10" t="inlineStr">
        <is>
          <t>非必需消費</t>
        </is>
      </c>
      <c r="F16" s="12" t="n">
        <v>14463.24</v>
      </c>
      <c r="G16" s="13" t="n">
        <v>366.2</v>
      </c>
      <c r="H16" s="13" t="n">
        <v>363.52</v>
      </c>
      <c r="I16" s="14">
        <f>G16/H16-1</f>
        <v/>
      </c>
      <c r="J16" s="15" t="n">
        <v>55.8</v>
      </c>
      <c r="K16" s="15">
        <f>61.3500</f>
        <v/>
      </c>
      <c r="L16" s="15">
        <f>0.5*J16+0.5*K16</f>
        <v/>
      </c>
      <c r="M16" s="10" t="n">
        <v>59</v>
      </c>
    </row>
    <row r="17">
      <c r="A17" s="18" t="inlineStr">
        <is>
          <t>大型</t>
        </is>
      </c>
      <c r="B17" s="18" t="n">
        <v>16</v>
      </c>
      <c r="C17" s="19" t="inlineStr">
        <is>
          <t>UNM</t>
        </is>
      </c>
      <c r="D17" s="18" t="inlineStr">
        <is>
          <t>Unum Group</t>
        </is>
      </c>
      <c r="E17" s="18" t="inlineStr">
        <is>
          <t>金融</t>
        </is>
      </c>
      <c r="F17" s="20" t="n">
        <v>151.37</v>
      </c>
      <c r="G17" s="21" t="n">
        <v>95.62</v>
      </c>
      <c r="H17" s="21" t="n">
        <v>94.95</v>
      </c>
      <c r="I17" s="22">
        <f>G17/H17-1</f>
        <v/>
      </c>
      <c r="J17" s="23" t="n">
        <v>51.1</v>
      </c>
      <c r="K17" s="23">
        <f>62.9150</f>
        <v/>
      </c>
      <c r="L17" s="23">
        <f>0.5*J17+0.5*K17</f>
        <v/>
      </c>
      <c r="M17" s="18" t="n">
        <v>70</v>
      </c>
    </row>
    <row r="18">
      <c r="A18" s="18" t="inlineStr">
        <is>
          <t>大型</t>
        </is>
      </c>
      <c r="B18" s="18" t="n">
        <v>17</v>
      </c>
      <c r="C18" s="19" t="inlineStr">
        <is>
          <t>CRWD</t>
        </is>
      </c>
      <c r="D18" s="18" t="inlineStr">
        <is>
          <t>CrowdStrike Holdings Inc. Class A</t>
        </is>
      </c>
      <c r="E18" s="18" t="inlineStr">
        <is>
          <t>科技</t>
        </is>
      </c>
      <c r="F18" s="20" t="n">
        <v>2515.81</v>
      </c>
      <c r="G18" s="21" t="n">
        <v>245.7</v>
      </c>
      <c r="H18" s="21" t="n">
        <v>222.64</v>
      </c>
      <c r="I18" s="22">
        <f>G18/H18-1</f>
        <v/>
      </c>
      <c r="J18" s="23" t="n">
        <v>22.9</v>
      </c>
      <c r="K18" s="23">
        <f>86.1150</f>
        <v/>
      </c>
      <c r="L18" s="23">
        <f>0.5*J18+0.5*K18</f>
        <v/>
      </c>
      <c r="M18" s="18" t="n">
        <v>64</v>
      </c>
    </row>
    <row r="19">
      <c r="A19" s="18" t="inlineStr">
        <is>
          <t>大型</t>
        </is>
      </c>
      <c r="B19" s="18" t="n">
        <v>18</v>
      </c>
      <c r="C19" s="19" t="inlineStr">
        <is>
          <t>MDT</t>
        </is>
      </c>
      <c r="D19" s="18" t="inlineStr">
        <is>
          <t>Medtronic plc.</t>
        </is>
      </c>
      <c r="E19" s="18" t="inlineStr">
        <is>
          <t>醫療保健</t>
        </is>
      </c>
      <c r="F19" s="20" t="n">
        <v>1186.66</v>
      </c>
      <c r="G19" s="21" t="n">
        <v>92.77</v>
      </c>
      <c r="H19" s="21" t="n">
        <v>92.7</v>
      </c>
      <c r="I19" s="22">
        <f>G19/H19-1</f>
        <v/>
      </c>
      <c r="J19" s="23" t="n">
        <v>47.3</v>
      </c>
      <c r="K19" s="23">
        <f>54.8000</f>
        <v/>
      </c>
      <c r="L19" s="23">
        <f>0.5*J19+0.5*K19</f>
        <v/>
      </c>
      <c r="M19" s="18" t="n">
        <v>61</v>
      </c>
    </row>
    <row r="20">
      <c r="A20" s="18" t="inlineStr">
        <is>
          <t>大型</t>
        </is>
      </c>
      <c r="B20" s="18" t="n">
        <v>19</v>
      </c>
      <c r="C20" s="19" t="inlineStr">
        <is>
          <t>HPQ</t>
        </is>
      </c>
      <c r="D20" s="18" t="inlineStr">
        <is>
          <t>HP Inc.</t>
        </is>
      </c>
      <c r="E20" s="18" t="inlineStr">
        <is>
          <t>科技</t>
        </is>
      </c>
      <c r="F20" s="20" t="n">
        <v>312.56</v>
      </c>
      <c r="G20" s="21" t="n">
        <v>34.66</v>
      </c>
      <c r="H20" s="21" t="n">
        <v>33.15</v>
      </c>
      <c r="I20" s="22">
        <f>G20/H20-1</f>
        <v/>
      </c>
      <c r="J20" s="23" t="n">
        <v>22.9</v>
      </c>
      <c r="K20" s="23">
        <f>74.8000</f>
        <v/>
      </c>
      <c r="L20" s="23">
        <f>0.5*J20+0.5*K20</f>
        <v/>
      </c>
      <c r="M20" s="18" t="n">
        <v>55</v>
      </c>
    </row>
    <row r="21">
      <c r="A21" s="18" t="inlineStr">
        <is>
          <t>大型</t>
        </is>
      </c>
      <c r="B21" s="18" t="n">
        <v>20</v>
      </c>
      <c r="C21" s="19" t="inlineStr">
        <is>
          <t>SWKS</t>
        </is>
      </c>
      <c r="D21" s="18" t="inlineStr">
        <is>
          <t>Skyworks Solutions Inc.</t>
        </is>
      </c>
      <c r="E21" s="18" t="inlineStr">
        <is>
          <t>科技</t>
        </is>
      </c>
      <c r="F21" s="20" t="n">
        <v>137.41</v>
      </c>
      <c r="G21" s="21" t="n">
        <v>91.31999999999999</v>
      </c>
      <c r="H21" s="21" t="n">
        <v>81.59999999999999</v>
      </c>
      <c r="I21" s="22">
        <f>G21/H21-1</f>
        <v/>
      </c>
      <c r="J21" s="23" t="n">
        <v>5.1</v>
      </c>
      <c r="K21" s="23">
        <f>89.0400</f>
        <v/>
      </c>
      <c r="L21" s="23">
        <f>0.5*J21+0.5*K21</f>
        <v/>
      </c>
      <c r="M21" s="18" t="n">
        <v>67</v>
      </c>
    </row>
    <row r="22">
      <c r="A22" s="18" t="inlineStr">
        <is>
          <t>大型</t>
        </is>
      </c>
      <c r="B22" s="18" t="n">
        <v>21</v>
      </c>
      <c r="C22" s="19" t="inlineStr">
        <is>
          <t>QRVO</t>
        </is>
      </c>
      <c r="D22" s="18" t="inlineStr">
        <is>
          <t>Qorvo Inc.</t>
        </is>
      </c>
      <c r="E22" s="18" t="inlineStr">
        <is>
          <t>科技</t>
        </is>
      </c>
      <c r="F22" s="20" t="n">
        <v>105.43</v>
      </c>
      <c r="G22" s="21" t="n">
        <v>119.51</v>
      </c>
      <c r="H22" s="21" t="n">
        <v>110.11</v>
      </c>
      <c r="I22" s="22">
        <f>G22/H22-1</f>
        <v/>
      </c>
      <c r="J22" s="23" t="n">
        <v>7.8</v>
      </c>
      <c r="K22" s="23">
        <f>85.8100</f>
        <v/>
      </c>
      <c r="L22" s="23">
        <f>0.5*J22+0.5*K22</f>
        <v/>
      </c>
      <c r="M22" s="18" t="n">
        <v>57</v>
      </c>
    </row>
    <row r="23">
      <c r="A23" s="10" t="inlineStr">
        <is>
          <t>大型</t>
        </is>
      </c>
      <c r="B23" s="10" t="n">
        <v>22</v>
      </c>
      <c r="C23" s="11" t="inlineStr">
        <is>
          <t>IESC</t>
        </is>
      </c>
      <c r="D23" s="10" t="inlineStr">
        <is>
          <t>IES Holdings Inc.</t>
        </is>
      </c>
      <c r="E23" s="10" t="inlineStr">
        <is>
          <t>工業</t>
        </is>
      </c>
      <c r="F23" s="12" t="n">
        <v>126.38</v>
      </c>
      <c r="G23" s="13" t="n">
        <v>317.16</v>
      </c>
      <c r="H23" s="13" t="n">
        <v>324.35</v>
      </c>
      <c r="I23" s="14">
        <f>G23/H23-1</f>
        <v/>
      </c>
      <c r="J23" s="15" t="n">
        <v>60.3</v>
      </c>
      <c r="K23" s="15">
        <f>26.5600</f>
        <v/>
      </c>
      <c r="L23" s="15">
        <f>0.5*J23+0.5*K23</f>
        <v/>
      </c>
      <c r="M23" s="10" t="n">
        <v>88</v>
      </c>
    </row>
    <row r="24">
      <c r="A24" s="18" t="inlineStr">
        <is>
          <t>中型</t>
        </is>
      </c>
      <c r="B24" s="18" t="n">
        <v>1</v>
      </c>
      <c r="C24" s="19" t="inlineStr">
        <is>
          <t>ITGR</t>
        </is>
      </c>
      <c r="D24" s="18" t="inlineStr">
        <is>
          <t>Integer Holdings Corporation</t>
        </is>
      </c>
      <c r="E24" s="18" t="inlineStr">
        <is>
          <t>醫療保健</t>
        </is>
      </c>
      <c r="F24" s="20" t="n">
        <v>42.94</v>
      </c>
      <c r="G24" s="21" t="n">
        <v>126.33</v>
      </c>
      <c r="H24" s="21" t="n">
        <v>126.09</v>
      </c>
      <c r="I24" s="22">
        <f>G24/H24-1</f>
        <v/>
      </c>
      <c r="J24" s="23" t="n">
        <v>98.7</v>
      </c>
      <c r="K24" s="23">
        <f>89.6400</f>
        <v/>
      </c>
      <c r="L24" s="23">
        <f>0.5*J24+0.5*K24</f>
        <v/>
      </c>
      <c r="M24" s="18" t="n">
        <v>1</v>
      </c>
    </row>
    <row r="25">
      <c r="A25" s="18" t="inlineStr">
        <is>
          <t>中型</t>
        </is>
      </c>
      <c r="B25" s="18" t="n">
        <v>2</v>
      </c>
      <c r="C25" s="19" t="inlineStr">
        <is>
          <t>DV</t>
        </is>
      </c>
      <c r="D25" s="18" t="inlineStr">
        <is>
          <t>DoubleVerify Holdings Inc.</t>
        </is>
      </c>
      <c r="E25" s="18" t="inlineStr">
        <is>
          <t>科技</t>
        </is>
      </c>
      <c r="F25" s="20" t="n">
        <v>20.88</v>
      </c>
      <c r="G25" s="21" t="n">
        <v>13.47</v>
      </c>
      <c r="H25" s="21" t="n">
        <v>13.42</v>
      </c>
      <c r="I25" s="22">
        <f>G25/H25-1</f>
        <v/>
      </c>
      <c r="J25" s="23" t="n">
        <v>83.90000000000001</v>
      </c>
      <c r="K25" s="23">
        <f>88.6000</f>
        <v/>
      </c>
      <c r="L25" s="23">
        <f>0.5*J25+0.5*K25</f>
        <v/>
      </c>
      <c r="M25" s="18" t="n">
        <v>2</v>
      </c>
    </row>
    <row r="26">
      <c r="A26" s="18" t="inlineStr">
        <is>
          <t>中型</t>
        </is>
      </c>
      <c r="B26" s="18" t="n">
        <v>3</v>
      </c>
      <c r="C26" s="19" t="inlineStr">
        <is>
          <t>MKTX</t>
        </is>
      </c>
      <c r="D26" s="18" t="inlineStr">
        <is>
          <t>MarketAxess Holdings Inc.</t>
        </is>
      </c>
      <c r="E26" s="18" t="inlineStr">
        <is>
          <t>金融</t>
        </is>
      </c>
      <c r="F26" s="20" t="n">
        <v>57.48</v>
      </c>
      <c r="G26" s="21" t="n">
        <v>163.32</v>
      </c>
      <c r="H26" s="21" t="n">
        <v>163.25</v>
      </c>
      <c r="I26" s="22">
        <f>G26/H26-1</f>
        <v/>
      </c>
      <c r="J26" s="23" t="n">
        <v>98.8</v>
      </c>
      <c r="K26" s="23">
        <f>67.0100</f>
        <v/>
      </c>
      <c r="L26" s="23">
        <f>0.5*J26+0.5*K26</f>
        <v/>
      </c>
      <c r="M26" s="18" t="n">
        <v>13</v>
      </c>
    </row>
    <row r="27">
      <c r="A27" s="10" t="inlineStr">
        <is>
          <t>中型</t>
        </is>
      </c>
      <c r="B27" s="10" t="n">
        <v>4</v>
      </c>
      <c r="C27" s="11" t="inlineStr">
        <is>
          <t>HGTY</t>
        </is>
      </c>
      <c r="D27" s="10" t="inlineStr">
        <is>
          <t>Hagerty Inc. Class A</t>
        </is>
      </c>
      <c r="E27" s="10" t="inlineStr">
        <is>
          <t>金融</t>
        </is>
      </c>
      <c r="F27" s="12" t="n">
        <v>47.66</v>
      </c>
      <c r="G27" s="13" t="n">
        <v>13.87</v>
      </c>
      <c r="H27" s="13" t="n">
        <v>13.64</v>
      </c>
      <c r="I27" s="14">
        <f>G27/H27-1</f>
        <v/>
      </c>
      <c r="J27" s="15" t="n">
        <v>67.40000000000001</v>
      </c>
      <c r="K27" s="15">
        <f>88.2900</f>
        <v/>
      </c>
      <c r="L27" s="15">
        <f>0.5*J27+0.5*K27</f>
        <v/>
      </c>
      <c r="M27" s="10" t="n">
        <v>12</v>
      </c>
    </row>
    <row r="28">
      <c r="A28" s="18" t="inlineStr">
        <is>
          <t>中型</t>
        </is>
      </c>
      <c r="B28" s="18" t="n">
        <v>5</v>
      </c>
      <c r="C28" s="19" t="inlineStr">
        <is>
          <t>CDNA</t>
        </is>
      </c>
      <c r="D28" s="18" t="inlineStr">
        <is>
          <t>CareDx Inc.</t>
        </is>
      </c>
      <c r="E28" s="18" t="inlineStr">
        <is>
          <t>醫療保健</t>
        </is>
      </c>
      <c r="F28" s="20" t="n">
        <v>28.08</v>
      </c>
      <c r="G28" s="21" t="n">
        <v>54.28</v>
      </c>
      <c r="H28" s="21" t="n">
        <v>51.42</v>
      </c>
      <c r="I28" s="22">
        <f>G28/H28-1</f>
        <v/>
      </c>
      <c r="J28" s="23" t="n">
        <v>77.09999999999999</v>
      </c>
      <c r="K28" s="23">
        <f>75.7300</f>
        <v/>
      </c>
      <c r="L28" s="23">
        <f>0.5*J28+0.5*K28</f>
        <v/>
      </c>
      <c r="M28" s="18" t="n">
        <v>7</v>
      </c>
    </row>
    <row r="29">
      <c r="A29" s="18" t="inlineStr">
        <is>
          <t>中型</t>
        </is>
      </c>
      <c r="B29" s="18" t="n">
        <v>6</v>
      </c>
      <c r="C29" s="19" t="inlineStr">
        <is>
          <t>IOVA</t>
        </is>
      </c>
      <c r="D29" s="18" t="inlineStr">
        <is>
          <t>Iovance Biotherapeutics Inc.</t>
        </is>
      </c>
      <c r="E29" s="18" t="inlineStr">
        <is>
          <t>醫療保健</t>
        </is>
      </c>
      <c r="F29" s="20" t="n">
        <v>45.39</v>
      </c>
      <c r="G29" s="21" t="n">
        <v>10.02</v>
      </c>
      <c r="H29" s="21" t="n">
        <v>8.99</v>
      </c>
      <c r="I29" s="22">
        <f>G29/H29-1</f>
        <v/>
      </c>
      <c r="J29" s="23" t="n">
        <v>58.6</v>
      </c>
      <c r="K29" s="23">
        <f>86.8500</f>
        <v/>
      </c>
      <c r="L29" s="23">
        <f>0.5*J29+0.5*K29</f>
        <v/>
      </c>
      <c r="M29" s="18" t="n">
        <v>10</v>
      </c>
    </row>
    <row r="30">
      <c r="A30" s="18" t="inlineStr">
        <is>
          <t>中型</t>
        </is>
      </c>
      <c r="B30" s="18" t="n">
        <v>7</v>
      </c>
      <c r="C30" s="19" t="inlineStr">
        <is>
          <t>SAIC</t>
        </is>
      </c>
      <c r="D30" s="18" t="inlineStr">
        <is>
          <t>Science Applications International Corporation</t>
        </is>
      </c>
      <c r="E30" s="18" t="inlineStr">
        <is>
          <t>科技</t>
        </is>
      </c>
      <c r="F30" s="20" t="n">
        <v>56</v>
      </c>
      <c r="G30" s="21" t="n">
        <v>133.65</v>
      </c>
      <c r="H30" s="21" t="n">
        <v>129.77</v>
      </c>
      <c r="I30" s="22">
        <f>G30/H30-1</f>
        <v/>
      </c>
      <c r="J30" s="23" t="n">
        <v>65.40000000000001</v>
      </c>
      <c r="K30" s="23">
        <f>79.5700</f>
        <v/>
      </c>
      <c r="L30" s="23">
        <f>0.5*J30+0.5*K30</f>
        <v/>
      </c>
      <c r="M30" s="18" t="n">
        <v>11</v>
      </c>
    </row>
    <row r="31">
      <c r="A31" s="10" t="inlineStr">
        <is>
          <t>中型</t>
        </is>
      </c>
      <c r="B31" s="10" t="n">
        <v>8</v>
      </c>
      <c r="C31" s="11" t="inlineStr">
        <is>
          <t>RNG</t>
        </is>
      </c>
      <c r="D31" s="10" t="inlineStr">
        <is>
          <t>RingCentral Inc. Class A</t>
        </is>
      </c>
      <c r="E31" s="10" t="inlineStr">
        <is>
          <t>科技</t>
        </is>
      </c>
      <c r="F31" s="12" t="n">
        <v>62.45</v>
      </c>
      <c r="G31" s="13" t="n">
        <v>74.78</v>
      </c>
      <c r="H31" s="13" t="n">
        <v>72.06</v>
      </c>
      <c r="I31" s="14">
        <f>G31/H31-1</f>
        <v/>
      </c>
      <c r="J31" s="15" t="n">
        <v>74.5</v>
      </c>
      <c r="K31" s="15">
        <f>64.9400</f>
        <v/>
      </c>
      <c r="L31" s="15">
        <f>0.5*J31+0.5*K31</f>
        <v/>
      </c>
      <c r="M31" s="10" t="n">
        <v>26</v>
      </c>
    </row>
    <row r="32">
      <c r="A32" s="18" t="inlineStr">
        <is>
          <t>中型</t>
        </is>
      </c>
      <c r="B32" s="18" t="n">
        <v>9</v>
      </c>
      <c r="C32" s="19" t="inlineStr">
        <is>
          <t>ATRC</t>
        </is>
      </c>
      <c r="D32" s="18" t="inlineStr">
        <is>
          <t>AtriCure Inc.</t>
        </is>
      </c>
      <c r="E32" s="18" t="inlineStr">
        <is>
          <t>醫療保健</t>
        </is>
      </c>
      <c r="F32" s="20" t="n">
        <v>30.07</v>
      </c>
      <c r="G32" s="21" t="n">
        <v>59.12</v>
      </c>
      <c r="H32" s="21" t="n">
        <v>54.65</v>
      </c>
      <c r="I32" s="22">
        <f>G32/H32-1</f>
        <v/>
      </c>
      <c r="J32" s="23" t="n">
        <v>35.6</v>
      </c>
      <c r="K32" s="23">
        <f>96.4200</f>
        <v/>
      </c>
      <c r="L32" s="23">
        <f>0.5*J32+0.5*K32</f>
        <v/>
      </c>
      <c r="M32" s="18" t="n">
        <v>20</v>
      </c>
    </row>
    <row r="33">
      <c r="A33" s="18" t="inlineStr">
        <is>
          <t>中型</t>
        </is>
      </c>
      <c r="B33" s="18" t="n">
        <v>10</v>
      </c>
      <c r="C33" s="19" t="inlineStr">
        <is>
          <t>INSP</t>
        </is>
      </c>
      <c r="D33" s="18" t="inlineStr">
        <is>
          <t>Inspire Medical Systems Inc.</t>
        </is>
      </c>
      <c r="E33" s="18" t="inlineStr">
        <is>
          <t>醫療保健</t>
        </is>
      </c>
      <c r="F33" s="20" t="n">
        <v>21.03</v>
      </c>
      <c r="G33" s="21" t="n">
        <v>72.73999999999999</v>
      </c>
      <c r="H33" s="21" t="n">
        <v>68.94</v>
      </c>
      <c r="I33" s="22">
        <f>G33/H33-1</f>
        <v/>
      </c>
      <c r="J33" s="23" t="n">
        <v>39.2</v>
      </c>
      <c r="K33" s="23">
        <f>90.4650</f>
        <v/>
      </c>
      <c r="L33" s="23">
        <f>0.5*J33+0.5*K33</f>
        <v/>
      </c>
      <c r="M33" s="18" t="n">
        <v>22</v>
      </c>
    </row>
    <row r="34">
      <c r="A34" s="18" t="inlineStr">
        <is>
          <t>中型</t>
        </is>
      </c>
      <c r="B34" s="18" t="n">
        <v>11</v>
      </c>
      <c r="C34" s="19" t="inlineStr">
        <is>
          <t>CNXN</t>
        </is>
      </c>
      <c r="D34" s="18" t="inlineStr">
        <is>
          <t>PC Connection Inc.</t>
        </is>
      </c>
      <c r="E34" s="18" t="inlineStr">
        <is>
          <t>非必需消費</t>
        </is>
      </c>
      <c r="F34" s="20" t="n">
        <v>21.82</v>
      </c>
      <c r="G34" s="21" t="n">
        <v>86.45999999999999</v>
      </c>
      <c r="H34" s="21" t="n">
        <v>84.70999999999999</v>
      </c>
      <c r="I34" s="22">
        <f>G34/H34-1</f>
        <v/>
      </c>
      <c r="J34" s="23" t="n">
        <v>42.7</v>
      </c>
      <c r="K34" s="23">
        <f>80.0300</f>
        <v/>
      </c>
      <c r="L34" s="23">
        <f>0.5*J34+0.5*K34</f>
        <v/>
      </c>
      <c r="M34" s="18" t="n">
        <v>54</v>
      </c>
    </row>
    <row r="35">
      <c r="A35" s="18" t="inlineStr">
        <is>
          <t>中型</t>
        </is>
      </c>
      <c r="B35" s="18" t="n">
        <v>12</v>
      </c>
      <c r="C35" s="19" t="inlineStr">
        <is>
          <t>INSW</t>
        </is>
      </c>
      <c r="D35" s="18" t="inlineStr">
        <is>
          <t>International Seaways Inc.</t>
        </is>
      </c>
      <c r="E35" s="18" t="inlineStr">
        <is>
          <t>非必需消費</t>
        </is>
      </c>
      <c r="F35" s="20" t="n">
        <v>54.75</v>
      </c>
      <c r="G35" s="21" t="n">
        <v>110.53</v>
      </c>
      <c r="H35" s="21" t="n">
        <v>105.45</v>
      </c>
      <c r="I35" s="22">
        <f>G35/H35-1</f>
        <v/>
      </c>
      <c r="J35" s="23" t="n">
        <v>44.7</v>
      </c>
      <c r="K35" s="23">
        <f>77.2500</f>
        <v/>
      </c>
      <c r="L35" s="23">
        <f>0.5*J35+0.5*K35</f>
        <v/>
      </c>
      <c r="M35" s="18" t="n">
        <v>34</v>
      </c>
    </row>
    <row r="36">
      <c r="A36" s="10" t="inlineStr">
        <is>
          <t>中型</t>
        </is>
      </c>
      <c r="B36" s="10" t="n">
        <v>13</v>
      </c>
      <c r="C36" s="11" t="inlineStr">
        <is>
          <t>SLDE</t>
        </is>
      </c>
      <c r="D36" s="10" t="inlineStr">
        <is>
          <t>Slide Insurance Holdings Inc.</t>
        </is>
      </c>
      <c r="E36" s="10" t="inlineStr">
        <is>
          <t>金融</t>
        </is>
      </c>
      <c r="F36" s="12" t="n">
        <v>29.2</v>
      </c>
      <c r="G36" s="13" t="n">
        <v>25</v>
      </c>
      <c r="H36" s="13" t="n">
        <v>25.12</v>
      </c>
      <c r="I36" s="14">
        <f>G36/H36-1</f>
        <v/>
      </c>
      <c r="J36" s="15" t="n">
        <v>27.1</v>
      </c>
      <c r="K36" s="15">
        <f>84.5650</f>
        <v/>
      </c>
      <c r="L36" s="15">
        <f>0.5*J36+0.5*K36</f>
        <v/>
      </c>
      <c r="M36" s="10" t="n">
        <v>39</v>
      </c>
    </row>
    <row r="37">
      <c r="A37" s="18" t="inlineStr">
        <is>
          <t>中型</t>
        </is>
      </c>
      <c r="B37" s="18" t="n">
        <v>14</v>
      </c>
      <c r="C37" s="19" t="inlineStr">
        <is>
          <t>AGM</t>
        </is>
      </c>
      <c r="D37" s="18" t="inlineStr">
        <is>
          <t>Federal Agricultural Mortgage Corporation</t>
        </is>
      </c>
      <c r="E37" s="18" t="inlineStr">
        <is>
          <t>金融</t>
        </is>
      </c>
      <c r="F37" s="20" t="n">
        <v>24.23</v>
      </c>
      <c r="G37" s="21" t="n">
        <v>223.29</v>
      </c>
      <c r="H37" s="21" t="n">
        <v>224.82</v>
      </c>
      <c r="I37" s="22">
        <f>G37/H37-1</f>
        <v/>
      </c>
      <c r="J37" s="23" t="n">
        <v>74.59999999999999</v>
      </c>
      <c r="K37" s="23">
        <f>29.8500</f>
        <v/>
      </c>
      <c r="L37" s="23">
        <f>0.5*J37+0.5*K37</f>
        <v/>
      </c>
      <c r="M37" s="18" t="n">
        <v>81</v>
      </c>
    </row>
    <row r="38">
      <c r="A38" s="18" t="inlineStr">
        <is>
          <t>中型</t>
        </is>
      </c>
      <c r="B38" s="18" t="n">
        <v>15</v>
      </c>
      <c r="C38" s="19" t="inlineStr">
        <is>
          <t>NTSK</t>
        </is>
      </c>
      <c r="D38" s="18" t="inlineStr">
        <is>
          <t>Netskope Inc. Class A</t>
        </is>
      </c>
      <c r="E38" s="18" t="inlineStr">
        <is>
          <t>科技</t>
        </is>
      </c>
      <c r="F38" s="20" t="n">
        <v>70.31999999999999</v>
      </c>
      <c r="G38" s="21" t="n">
        <v>17.21</v>
      </c>
      <c r="H38" s="21" t="n">
        <v>15.59</v>
      </c>
      <c r="I38" s="22">
        <f>G38/H38-1</f>
        <v/>
      </c>
      <c r="J38" s="23" t="n">
        <v>12.6</v>
      </c>
      <c r="K38" s="23">
        <f>88.3250</f>
        <v/>
      </c>
      <c r="L38" s="23">
        <f>0.5*J38+0.5*K38</f>
        <v/>
      </c>
      <c r="M38" s="18" t="n">
        <v>71</v>
      </c>
    </row>
    <row r="39">
      <c r="A39" s="18" t="inlineStr">
        <is>
          <t>中型</t>
        </is>
      </c>
      <c r="B39" s="18" t="n">
        <v>16</v>
      </c>
      <c r="C39" s="19" t="inlineStr">
        <is>
          <t>NSIT</t>
        </is>
      </c>
      <c r="D39" s="18" t="inlineStr">
        <is>
          <t>Insight Enterprises Inc.</t>
        </is>
      </c>
      <c r="E39" s="18" t="inlineStr">
        <is>
          <t>非必需消費</t>
        </is>
      </c>
      <c r="F39" s="20" t="n">
        <v>45.39</v>
      </c>
      <c r="G39" s="21" t="n">
        <v>154.65</v>
      </c>
      <c r="H39" s="21" t="n">
        <v>159.72</v>
      </c>
      <c r="I39" s="22">
        <f>G39/H39-1</f>
        <v/>
      </c>
      <c r="J39" s="23" t="n">
        <v>45.1</v>
      </c>
      <c r="K39" s="23">
        <f>51.3900</f>
        <v/>
      </c>
      <c r="L39" s="23">
        <f>0.5*J39+0.5*K39</f>
        <v/>
      </c>
      <c r="M39" s="18" t="n">
        <v>65</v>
      </c>
    </row>
    <row r="40">
      <c r="A40" s="18" t="inlineStr">
        <is>
          <t>小型</t>
        </is>
      </c>
      <c r="B40" s="18" t="n">
        <v>1</v>
      </c>
      <c r="C40" s="19" t="inlineStr">
        <is>
          <t>FMAO</t>
        </is>
      </c>
      <c r="D40" s="18" t="inlineStr">
        <is>
          <t>Farmers &amp; Merchants Bancorp Inc.</t>
        </is>
      </c>
      <c r="E40" s="18" t="inlineStr">
        <is>
          <t>金融</t>
        </is>
      </c>
      <c r="F40" s="20" t="n">
        <v>4.91</v>
      </c>
      <c r="G40" s="21" t="n">
        <v>35.67</v>
      </c>
      <c r="H40" s="21" t="n">
        <v>35.41</v>
      </c>
      <c r="I40" s="22">
        <f>G40/H40-1</f>
        <v/>
      </c>
      <c r="J40" s="23" t="n">
        <v>94.2</v>
      </c>
      <c r="K40" s="23">
        <f>85.6350</f>
        <v/>
      </c>
      <c r="L40" s="23">
        <f>0.5*J40+0.5*K40</f>
        <v/>
      </c>
      <c r="M40" s="18" t="n">
        <v>4</v>
      </c>
    </row>
    <row r="41">
      <c r="A41" s="18" t="inlineStr">
        <is>
          <t>小型</t>
        </is>
      </c>
      <c r="B41" s="18" t="n">
        <v>2</v>
      </c>
      <c r="C41" s="19" t="inlineStr">
        <is>
          <t>SMTI</t>
        </is>
      </c>
      <c r="D41" s="18" t="inlineStr">
        <is>
          <t>Sanara MedTech Inc.</t>
        </is>
      </c>
      <c r="E41" s="18" t="inlineStr">
        <is>
          <t>醫療保健</t>
        </is>
      </c>
      <c r="F41" s="20" t="n">
        <v>3.21</v>
      </c>
      <c r="G41" s="21" t="n">
        <v>34.98</v>
      </c>
      <c r="H41" s="21" t="n">
        <v>34.96</v>
      </c>
      <c r="I41" s="22">
        <f>G41/H41-1</f>
        <v/>
      </c>
      <c r="J41" s="23" t="n">
        <v>97.5</v>
      </c>
      <c r="K41" s="23">
        <f>78.2950</f>
        <v/>
      </c>
      <c r="L41" s="23">
        <f>0.5*J41+0.5*K41</f>
        <v/>
      </c>
      <c r="M41" s="18" t="n">
        <v>5</v>
      </c>
    </row>
    <row r="42">
      <c r="A42" s="10" t="inlineStr">
        <is>
          <t>小型</t>
        </is>
      </c>
      <c r="B42" s="10" t="n">
        <v>3</v>
      </c>
      <c r="C42" s="11" t="inlineStr">
        <is>
          <t>HRTG</t>
        </is>
      </c>
      <c r="D42" s="10" t="inlineStr">
        <is>
          <t>Heritage Insurance Holdings Inc.</t>
        </is>
      </c>
      <c r="E42" s="10" t="inlineStr">
        <is>
          <t>金融</t>
        </is>
      </c>
      <c r="F42" s="12" t="n">
        <v>10.53</v>
      </c>
      <c r="G42" s="13" t="n">
        <v>35.42</v>
      </c>
      <c r="H42" s="13" t="n">
        <v>34.67</v>
      </c>
      <c r="I42" s="14">
        <f>G42/H42-1</f>
        <v/>
      </c>
      <c r="J42" s="15" t="n">
        <v>83.3</v>
      </c>
      <c r="K42" s="15">
        <f>84.4000</f>
        <v/>
      </c>
      <c r="L42" s="15">
        <f>0.5*J42+0.5*K42</f>
        <v/>
      </c>
      <c r="M42" s="10" t="n">
        <v>3</v>
      </c>
    </row>
    <row r="43">
      <c r="A43" s="18" t="inlineStr">
        <is>
          <t>小型</t>
        </is>
      </c>
      <c r="B43" s="18" t="n">
        <v>4</v>
      </c>
      <c r="C43" s="19" t="inlineStr">
        <is>
          <t>DMLP</t>
        </is>
      </c>
      <c r="D43" s="18" t="inlineStr">
        <is>
          <t>Dorchester Minerals L.P. Common Units Representing Limited Partnership Interests</t>
        </is>
      </c>
      <c r="E43" s="18" t="inlineStr">
        <is>
          <t>能源</t>
        </is>
      </c>
      <c r="F43" s="20" t="n">
        <v>14.61</v>
      </c>
      <c r="G43" s="21" t="n">
        <v>29.77</v>
      </c>
      <c r="H43" s="21" t="n">
        <v>29.61</v>
      </c>
      <c r="I43" s="22">
        <f>G43/H43-1</f>
        <v/>
      </c>
      <c r="J43" s="23" t="n">
        <v>67.40000000000001</v>
      </c>
      <c r="K43" s="23">
        <f>93.5100</f>
        <v/>
      </c>
      <c r="L43" s="23">
        <f>0.5*J43+0.5*K43</f>
        <v/>
      </c>
      <c r="M43" s="18" t="n">
        <v>9</v>
      </c>
    </row>
    <row r="44">
      <c r="A44" s="18" t="inlineStr">
        <is>
          <t>小型</t>
        </is>
      </c>
      <c r="B44" s="18" t="n">
        <v>5</v>
      </c>
      <c r="C44" s="19" t="inlineStr">
        <is>
          <t>RDVT</t>
        </is>
      </c>
      <c r="D44" s="18" t="inlineStr">
        <is>
          <t>Red Violet Inc.</t>
        </is>
      </c>
      <c r="E44" s="18" t="inlineStr">
        <is>
          <t>科技</t>
        </is>
      </c>
      <c r="F44" s="20" t="n">
        <v>12.38</v>
      </c>
      <c r="G44" s="21" t="n">
        <v>77.12</v>
      </c>
      <c r="H44" s="21" t="n">
        <v>75.69</v>
      </c>
      <c r="I44" s="22">
        <f>G44/H44-1</f>
        <v/>
      </c>
      <c r="J44" s="23" t="n">
        <v>65.2</v>
      </c>
      <c r="K44" s="23">
        <f>85.5700</f>
        <v/>
      </c>
      <c r="L44" s="23">
        <f>0.5*J44+0.5*K44</f>
        <v/>
      </c>
      <c r="M44" s="18" t="n">
        <v>8</v>
      </c>
    </row>
    <row r="45">
      <c r="A45" s="10" t="inlineStr">
        <is>
          <t>小型</t>
        </is>
      </c>
      <c r="B45" s="10" t="n">
        <v>6</v>
      </c>
      <c r="C45" s="11" t="inlineStr">
        <is>
          <t>INTG</t>
        </is>
      </c>
      <c r="D45" s="10" t="inlineStr">
        <is>
          <t>Intergroup Corporation (The)</t>
        </is>
      </c>
      <c r="E45" s="10" t="inlineStr">
        <is>
          <t>房地產</t>
        </is>
      </c>
      <c r="F45" s="12" t="n">
        <v>0.79</v>
      </c>
      <c r="G45" s="13" t="n">
        <v>36.87</v>
      </c>
      <c r="H45" s="13" t="n">
        <v>37.15</v>
      </c>
      <c r="I45" s="14">
        <f>G45/H45-1</f>
        <v/>
      </c>
      <c r="J45" s="15" t="n">
        <v>60.3</v>
      </c>
      <c r="K45" s="15">
        <f>89.7950</f>
        <v/>
      </c>
      <c r="L45" s="15">
        <f>0.5*J45+0.5*K45</f>
        <v/>
      </c>
      <c r="M45" s="10" t="n">
        <v>32</v>
      </c>
    </row>
    <row r="46">
      <c r="A46" s="18" t="inlineStr">
        <is>
          <t>小型</t>
        </is>
      </c>
      <c r="B46" s="18" t="n">
        <v>7</v>
      </c>
      <c r="C46" s="19" t="inlineStr">
        <is>
          <t>CRSR</t>
        </is>
      </c>
      <c r="D46" s="18" t="inlineStr">
        <is>
          <t>Corsair Gaming Inc.</t>
        </is>
      </c>
      <c r="E46" s="18" t="inlineStr">
        <is>
          <t>科技</t>
        </is>
      </c>
      <c r="F46" s="20" t="n">
        <v>14.61</v>
      </c>
      <c r="G46" s="21" t="n">
        <v>13.51</v>
      </c>
      <c r="H46" s="21" t="n">
        <v>12.93</v>
      </c>
      <c r="I46" s="22">
        <f>G46/H46-1</f>
        <v/>
      </c>
      <c r="J46" s="23" t="n">
        <v>69.7</v>
      </c>
      <c r="K46" s="23">
        <f>79.8450</f>
        <v/>
      </c>
      <c r="L46" s="23">
        <f>0.5*J46+0.5*K46</f>
        <v/>
      </c>
      <c r="M46" s="18" t="n">
        <v>15</v>
      </c>
    </row>
    <row r="47">
      <c r="A47" s="18" t="inlineStr">
        <is>
          <t>小型</t>
        </is>
      </c>
      <c r="B47" s="18" t="n">
        <v>8</v>
      </c>
      <c r="C47" s="19" t="inlineStr">
        <is>
          <t>REFI</t>
        </is>
      </c>
      <c r="D47" s="18" t="inlineStr">
        <is>
          <t>Chicago Atlantic Real Estate Finance Inc.</t>
        </is>
      </c>
      <c r="E47" s="18" t="inlineStr">
        <is>
          <t>房地產</t>
        </is>
      </c>
      <c r="F47" s="20" t="n">
        <v>2.86</v>
      </c>
      <c r="G47" s="21" t="n">
        <v>11.15</v>
      </c>
      <c r="H47" s="21" t="n">
        <v>10.88</v>
      </c>
      <c r="I47" s="22">
        <f>G47/H47-1</f>
        <v/>
      </c>
      <c r="J47" s="23" t="n">
        <v>62.7</v>
      </c>
      <c r="K47" s="23">
        <f>85.5050</f>
        <v/>
      </c>
      <c r="L47" s="23">
        <f>0.5*J47+0.5*K47</f>
        <v/>
      </c>
      <c r="M47" s="18" t="n">
        <v>33</v>
      </c>
    </row>
    <row r="48">
      <c r="A48" s="18" t="inlineStr">
        <is>
          <t>小型</t>
        </is>
      </c>
      <c r="B48" s="18" t="n">
        <v>9</v>
      </c>
      <c r="C48" s="19" t="inlineStr">
        <is>
          <t>XRX</t>
        </is>
      </c>
      <c r="D48" s="18" t="inlineStr">
        <is>
          <t>Xerox Holdings Corporation</t>
        </is>
      </c>
      <c r="E48" s="18" t="inlineStr">
        <is>
          <t>科技</t>
        </is>
      </c>
      <c r="F48" s="20" t="n">
        <v>4.75</v>
      </c>
      <c r="G48" s="21" t="n">
        <v>3.62</v>
      </c>
      <c r="H48" s="21" t="n">
        <v>3.34</v>
      </c>
      <c r="I48" s="22">
        <f>G48/H48-1</f>
        <v/>
      </c>
      <c r="J48" s="23" t="n">
        <v>61.9</v>
      </c>
      <c r="K48" s="23">
        <f>80.7250</f>
        <v/>
      </c>
      <c r="L48" s="23">
        <f>0.5*J48+0.5*K48</f>
        <v/>
      </c>
      <c r="M48" s="18" t="n">
        <v>36</v>
      </c>
    </row>
    <row r="49">
      <c r="A49" s="18" t="inlineStr">
        <is>
          <t>小型</t>
        </is>
      </c>
      <c r="B49" s="18" t="n">
        <v>10</v>
      </c>
      <c r="C49" s="19" t="inlineStr">
        <is>
          <t>MYGN</t>
        </is>
      </c>
      <c r="D49" s="18" t="inlineStr">
        <is>
          <t>Myriad Genetics Inc.</t>
        </is>
      </c>
      <c r="E49" s="18" t="inlineStr">
        <is>
          <t>醫療保健</t>
        </is>
      </c>
      <c r="F49" s="20" t="n">
        <v>3.96</v>
      </c>
      <c r="G49" s="21" t="n">
        <v>4.14</v>
      </c>
      <c r="H49" s="21" t="n">
        <v>3.52</v>
      </c>
      <c r="I49" s="22">
        <f>G49/H49-1</f>
        <v/>
      </c>
      <c r="J49" s="23" t="n">
        <v>59.3</v>
      </c>
      <c r="K49" s="23">
        <f>82.1150</f>
        <v/>
      </c>
      <c r="L49" s="23">
        <f>0.5*J49+0.5*K49</f>
        <v/>
      </c>
      <c r="M49" s="18" t="n">
        <v>24</v>
      </c>
    </row>
    <row r="50">
      <c r="A50" s="18" t="inlineStr">
        <is>
          <t>小型</t>
        </is>
      </c>
      <c r="B50" s="18" t="n">
        <v>11</v>
      </c>
      <c r="C50" s="19" t="inlineStr">
        <is>
          <t>NUTX</t>
        </is>
      </c>
      <c r="D50" s="18" t="inlineStr">
        <is>
          <t>Nutex Health Inc.</t>
        </is>
      </c>
      <c r="E50" s="18" t="inlineStr">
        <is>
          <t>非必需消費</t>
        </is>
      </c>
      <c r="F50" s="20" t="n">
        <v>14.68</v>
      </c>
      <c r="G50" s="21" t="n">
        <v>214.32</v>
      </c>
      <c r="H50" s="21" t="n">
        <v>203.87</v>
      </c>
      <c r="I50" s="22">
        <f>G50/H50-1</f>
        <v/>
      </c>
      <c r="J50" s="23" t="n">
        <v>51.4</v>
      </c>
      <c r="K50" s="23">
        <f>87.5600</f>
        <v/>
      </c>
      <c r="L50" s="23">
        <f>0.5*J50+0.5*K50</f>
        <v/>
      </c>
      <c r="M50" s="18" t="n">
        <v>27</v>
      </c>
    </row>
    <row r="51">
      <c r="A51" s="18" t="inlineStr">
        <is>
          <t>小型</t>
        </is>
      </c>
      <c r="B51" s="18" t="n">
        <v>12</v>
      </c>
      <c r="C51" s="19" t="inlineStr">
        <is>
          <t>FBLA</t>
        </is>
      </c>
      <c r="D51" s="18" t="inlineStr">
        <is>
          <t>FB Bancorp Inc.</t>
        </is>
      </c>
      <c r="E51" s="18" t="inlineStr">
        <is>
          <t>金融</t>
        </is>
      </c>
      <c r="F51" s="20" t="n">
        <v>2.57</v>
      </c>
      <c r="G51" s="21" t="n">
        <v>16.09</v>
      </c>
      <c r="H51" s="21" t="n">
        <v>15.98</v>
      </c>
      <c r="I51" s="22">
        <f>G51/H51-1</f>
        <v/>
      </c>
      <c r="J51" s="23" t="n">
        <v>54.1</v>
      </c>
      <c r="K51" s="23">
        <f>80.2750</f>
        <v/>
      </c>
      <c r="L51" s="23">
        <f>0.5*J51+0.5*K51</f>
        <v/>
      </c>
      <c r="M51" s="18" t="n">
        <v>16</v>
      </c>
    </row>
    <row r="52">
      <c r="A52" s="18" t="inlineStr">
        <is>
          <t>小型</t>
        </is>
      </c>
      <c r="B52" s="18" t="n">
        <v>13</v>
      </c>
      <c r="C52" s="19" t="inlineStr">
        <is>
          <t>PD</t>
        </is>
      </c>
      <c r="D52" s="18" t="inlineStr">
        <is>
          <t>PagerDuty Inc.</t>
        </is>
      </c>
      <c r="E52" s="18" t="inlineStr">
        <is>
          <t>科技</t>
        </is>
      </c>
      <c r="F52" s="20" t="n">
        <v>11.36</v>
      </c>
      <c r="G52" s="21" t="n">
        <v>14.44</v>
      </c>
      <c r="H52" s="21" t="n">
        <v>14.07</v>
      </c>
      <c r="I52" s="22">
        <f>G52/H52-1</f>
        <v/>
      </c>
      <c r="J52" s="23" t="n">
        <v>45.8</v>
      </c>
      <c r="K52" s="23">
        <f>88.4800</f>
        <v/>
      </c>
      <c r="L52" s="23">
        <f>0.5*J52+0.5*K52</f>
        <v/>
      </c>
      <c r="M52" s="18" t="n">
        <v>17</v>
      </c>
    </row>
    <row r="53">
      <c r="A53" s="18" t="inlineStr">
        <is>
          <t>小型</t>
        </is>
      </c>
      <c r="B53" s="18" t="n">
        <v>14</v>
      </c>
      <c r="C53" s="19" t="inlineStr">
        <is>
          <t>AMPH</t>
        </is>
      </c>
      <c r="D53" s="18" t="inlineStr">
        <is>
          <t>Amphastar Pharmaceuticals Inc.</t>
        </is>
      </c>
      <c r="E53" s="18" t="inlineStr">
        <is>
          <t>醫療保健</t>
        </is>
      </c>
      <c r="F53" s="20" t="n">
        <v>10.13</v>
      </c>
      <c r="G53" s="21" t="n">
        <v>23.82</v>
      </c>
      <c r="H53" s="21" t="n">
        <v>23.56</v>
      </c>
      <c r="I53" s="22">
        <f>G53/H53-1</f>
        <v/>
      </c>
      <c r="J53" s="23" t="n">
        <v>55.4</v>
      </c>
      <c r="K53" s="23">
        <f>77.2650</f>
        <v/>
      </c>
      <c r="L53" s="23">
        <f>0.5*J53+0.5*K53</f>
        <v/>
      </c>
      <c r="M53" s="18" t="n">
        <v>18</v>
      </c>
    </row>
    <row r="54">
      <c r="A54" s="10" t="inlineStr">
        <is>
          <t>小型</t>
        </is>
      </c>
      <c r="B54" s="10" t="n">
        <v>15</v>
      </c>
      <c r="C54" s="11" t="inlineStr">
        <is>
          <t>DFIN</t>
        </is>
      </c>
      <c r="D54" s="10" t="inlineStr">
        <is>
          <t>Donnelley Financial Solutions Inc.</t>
        </is>
      </c>
      <c r="E54" s="10" t="inlineStr">
        <is>
          <t>非必需消費</t>
        </is>
      </c>
      <c r="F54" s="12" t="n">
        <v>11.81</v>
      </c>
      <c r="G54" s="13" t="n">
        <v>48.02</v>
      </c>
      <c r="H54" s="13" t="n">
        <v>48.82</v>
      </c>
      <c r="I54" s="14">
        <f>G54/H54-1</f>
        <v/>
      </c>
      <c r="J54" s="15" t="n">
        <v>54.8</v>
      </c>
      <c r="K54" s="15">
        <f>75.9350</f>
        <v/>
      </c>
      <c r="L54" s="15">
        <f>0.5*J54+0.5*K54</f>
        <v/>
      </c>
      <c r="M54" s="10" t="n">
        <v>58</v>
      </c>
    </row>
    <row r="55">
      <c r="A55" s="10" t="inlineStr">
        <is>
          <t>小型</t>
        </is>
      </c>
      <c r="B55" s="10" t="n">
        <v>16</v>
      </c>
      <c r="C55" s="11" t="inlineStr">
        <is>
          <t>FPI</t>
        </is>
      </c>
      <c r="D55" s="10" t="inlineStr">
        <is>
          <t>Farmland Partners Inc.</t>
        </is>
      </c>
      <c r="E55" s="10" t="inlineStr">
        <is>
          <t>房地產</t>
        </is>
      </c>
      <c r="F55" s="12" t="n">
        <v>4.78</v>
      </c>
      <c r="G55" s="13" t="n">
        <v>10.95</v>
      </c>
      <c r="H55" s="13" t="n">
        <v>10.73</v>
      </c>
      <c r="I55" s="14">
        <f>G55/H55-1</f>
        <v/>
      </c>
      <c r="J55" s="15" t="n">
        <v>51.7</v>
      </c>
      <c r="K55" s="15">
        <f>77.6950</f>
        <v/>
      </c>
      <c r="L55" s="15">
        <f>0.5*J55+0.5*K55</f>
        <v/>
      </c>
      <c r="M55" s="10" t="n">
        <v>23</v>
      </c>
    </row>
    <row r="56">
      <c r="A56" s="18" t="inlineStr">
        <is>
          <t>小型</t>
        </is>
      </c>
      <c r="B56" s="18" t="n">
        <v>17</v>
      </c>
      <c r="C56" s="19" t="inlineStr">
        <is>
          <t>NAKA</t>
        </is>
      </c>
      <c r="D56" s="18" t="inlineStr">
        <is>
          <t>Nakamoto Inc.</t>
        </is>
      </c>
      <c r="E56" s="18" t="inlineStr">
        <is>
          <t>醫療保健</t>
        </is>
      </c>
      <c r="F56" s="20" t="n">
        <v>1.52</v>
      </c>
      <c r="G56" s="21" t="n">
        <v>8.5</v>
      </c>
      <c r="H56" s="21" t="n">
        <v>8.1</v>
      </c>
      <c r="I56" s="22">
        <f>G56/H56-1</f>
        <v/>
      </c>
      <c r="J56" s="23" t="n">
        <v>44.2</v>
      </c>
      <c r="K56" s="23">
        <f>79.9850</f>
        <v/>
      </c>
      <c r="L56" s="23">
        <f>0.5*J56+0.5*K56</f>
        <v/>
      </c>
      <c r="M56" s="18" t="n">
        <v>40</v>
      </c>
    </row>
    <row r="57">
      <c r="A57" s="18" t="inlineStr">
        <is>
          <t>小型</t>
        </is>
      </c>
      <c r="B57" s="18" t="n">
        <v>18</v>
      </c>
      <c r="C57" s="19" t="inlineStr">
        <is>
          <t>SGP</t>
        </is>
      </c>
      <c r="D57" s="18" t="inlineStr">
        <is>
          <t>SpyGlass Pharma Inc.</t>
        </is>
      </c>
      <c r="E57" s="18" t="inlineStr">
        <is>
          <t>醫療保健</t>
        </is>
      </c>
      <c r="F57" s="20" t="n">
        <v>9.81</v>
      </c>
      <c r="G57" s="21" t="n">
        <v>29.33</v>
      </c>
      <c r="H57" s="21" t="n">
        <v>28.47</v>
      </c>
      <c r="I57" s="22">
        <f>G57/H57-1</f>
        <v/>
      </c>
      <c r="J57" s="23" t="n">
        <v>38.4</v>
      </c>
      <c r="K57" s="23">
        <f>83.7050</f>
        <v/>
      </c>
      <c r="L57" s="23">
        <f>0.5*J57+0.5*K57</f>
        <v/>
      </c>
      <c r="M57" s="18" t="n">
        <v>42</v>
      </c>
    </row>
    <row r="58">
      <c r="A58" s="10" t="inlineStr">
        <is>
          <t>小型</t>
        </is>
      </c>
      <c r="B58" s="10" t="n">
        <v>19</v>
      </c>
      <c r="C58" s="11" t="inlineStr">
        <is>
          <t>NATH</t>
        </is>
      </c>
      <c r="D58" s="10" t="inlineStr">
        <is>
          <t>Nathan's Famous Inc.</t>
        </is>
      </c>
      <c r="E58" s="10" t="inlineStr">
        <is>
          <t>非必需消費</t>
        </is>
      </c>
      <c r="F58" s="12" t="n">
        <v>4.01</v>
      </c>
      <c r="G58" s="13" t="n">
        <v>97.94</v>
      </c>
      <c r="H58" s="13" t="n">
        <v>98.15000000000001</v>
      </c>
      <c r="I58" s="14">
        <f>G58/H58-1</f>
        <v/>
      </c>
      <c r="J58" s="15" t="n">
        <v>64</v>
      </c>
      <c r="K58" s="15">
        <f>56.3000</f>
        <v/>
      </c>
      <c r="L58" s="15">
        <f>0.5*J58+0.5*K58</f>
        <v/>
      </c>
      <c r="M58" s="10" t="n">
        <v>56</v>
      </c>
    </row>
    <row r="59">
      <c r="A59" s="18" t="inlineStr">
        <is>
          <t>小型</t>
        </is>
      </c>
      <c r="B59" s="18" t="n">
        <v>20</v>
      </c>
      <c r="C59" s="19" t="inlineStr">
        <is>
          <t>REPX</t>
        </is>
      </c>
      <c r="D59" s="18" t="inlineStr">
        <is>
          <t>Riley Exploration Permian Inc.</t>
        </is>
      </c>
      <c r="E59" s="18" t="inlineStr">
        <is>
          <t>能源</t>
        </is>
      </c>
      <c r="F59" s="20" t="n">
        <v>9.59</v>
      </c>
      <c r="G59" s="21" t="n">
        <v>43.31</v>
      </c>
      <c r="H59" s="21" t="n">
        <v>43.12</v>
      </c>
      <c r="I59" s="22">
        <f>G59/H59-1</f>
        <v/>
      </c>
      <c r="J59" s="23" t="n">
        <v>26.3</v>
      </c>
      <c r="K59" s="23">
        <f>85.6050</f>
        <v/>
      </c>
      <c r="L59" s="23">
        <f>0.5*J59+0.5*K59</f>
        <v/>
      </c>
      <c r="M59" s="18" t="n">
        <v>51</v>
      </c>
    </row>
    <row r="60">
      <c r="A60" s="18" t="inlineStr">
        <is>
          <t>小型</t>
        </is>
      </c>
      <c r="B60" s="18" t="n">
        <v>21</v>
      </c>
      <c r="C60" s="19" t="inlineStr">
        <is>
          <t>OSPN</t>
        </is>
      </c>
      <c r="D60" s="18" t="inlineStr">
        <is>
          <t>OneSpan Inc.</t>
        </is>
      </c>
      <c r="E60" s="18" t="inlineStr">
        <is>
          <t>科技</t>
        </is>
      </c>
      <c r="F60" s="20" t="n">
        <v>6.61</v>
      </c>
      <c r="G60" s="21" t="n">
        <v>17.95</v>
      </c>
      <c r="H60" s="21" t="n">
        <v>17.02</v>
      </c>
      <c r="I60" s="22">
        <f>G60/H60-1</f>
        <v/>
      </c>
      <c r="J60" s="23" t="n">
        <v>26.4</v>
      </c>
      <c r="K60" s="23">
        <f>85.0600</f>
        <v/>
      </c>
      <c r="L60" s="23">
        <f>0.5*J60+0.5*K60</f>
        <v/>
      </c>
      <c r="M60" s="18" t="n">
        <v>52</v>
      </c>
    </row>
    <row r="61">
      <c r="A61" s="10" t="inlineStr">
        <is>
          <t>小型</t>
        </is>
      </c>
      <c r="B61" s="10" t="n">
        <v>22</v>
      </c>
      <c r="C61" s="11" t="inlineStr">
        <is>
          <t>XHLD</t>
        </is>
      </c>
      <c r="D61" s="10" t="inlineStr">
        <is>
          <t>TEN Holdings Inc.</t>
        </is>
      </c>
      <c r="E61" s="10" t="inlineStr">
        <is>
          <t>非必需消費</t>
        </is>
      </c>
      <c r="F61" s="12" t="n">
        <v>1.16</v>
      </c>
      <c r="G61" s="13" t="n">
        <v>9.720000000000001</v>
      </c>
      <c r="H61" s="13" t="n">
        <v>9.949999999999999</v>
      </c>
      <c r="I61" s="14">
        <f>G61/H61-1</f>
        <v/>
      </c>
      <c r="J61" s="15" t="n">
        <v>68.8</v>
      </c>
      <c r="K61" s="15">
        <f>41.4150</f>
        <v/>
      </c>
      <c r="L61" s="15">
        <f>0.5*J61+0.5*K61</f>
        <v/>
      </c>
      <c r="M61" s="10" t="n">
        <v>53</v>
      </c>
    </row>
    <row r="62">
      <c r="A62" s="10" t="inlineStr">
        <is>
          <t>小型</t>
        </is>
      </c>
      <c r="B62" s="10" t="n">
        <v>23</v>
      </c>
      <c r="C62" s="11" t="inlineStr">
        <is>
          <t>HYPD</t>
        </is>
      </c>
      <c r="D62" s="10" t="inlineStr">
        <is>
          <t>Hyperion DeFi Inc.</t>
        </is>
      </c>
      <c r="E62" s="10" t="inlineStr">
        <is>
          <t>醫療保健</t>
        </is>
      </c>
      <c r="F62" s="12" t="n">
        <v>0.54</v>
      </c>
      <c r="G62" s="13" t="n">
        <v>3.47</v>
      </c>
      <c r="H62" s="13" t="n">
        <v>3.46</v>
      </c>
      <c r="I62" s="14">
        <f>G62/H62-1</f>
        <v/>
      </c>
      <c r="J62" s="15" t="n">
        <v>22.9</v>
      </c>
      <c r="K62" s="15">
        <f>85.9300</f>
        <v/>
      </c>
      <c r="L62" s="15">
        <f>0.5*J62+0.5*K62</f>
        <v/>
      </c>
      <c r="M62" s="10" t="n">
        <v>66</v>
      </c>
    </row>
    <row r="63">
      <c r="A63" s="18" t="inlineStr">
        <is>
          <t>小型</t>
        </is>
      </c>
      <c r="B63" s="18" t="n">
        <v>24</v>
      </c>
      <c r="C63" s="19" t="inlineStr">
        <is>
          <t>AESI</t>
        </is>
      </c>
      <c r="D63" s="18" t="inlineStr">
        <is>
          <t>Atlas Energy Solutions Inc.</t>
        </is>
      </c>
      <c r="E63" s="18" t="inlineStr">
        <is>
          <t>工業</t>
        </is>
      </c>
      <c r="F63" s="20" t="n">
        <v>16.78</v>
      </c>
      <c r="G63" s="21" t="n">
        <v>13.42</v>
      </c>
      <c r="H63" s="21" t="n">
        <v>13.7</v>
      </c>
      <c r="I63" s="22">
        <f>G63/H63-1</f>
        <v/>
      </c>
      <c r="J63" s="23" t="n">
        <v>49.7</v>
      </c>
      <c r="K63" s="23">
        <f>47.0250</f>
        <v/>
      </c>
      <c r="L63" s="23">
        <f>0.5*J63+0.5*K63</f>
        <v/>
      </c>
      <c r="M63" s="18" t="n">
        <v>75</v>
      </c>
    </row>
    <row r="64">
      <c r="A64" s="18" t="inlineStr">
        <is>
          <t>小型</t>
        </is>
      </c>
      <c r="B64" s="18" t="n">
        <v>25</v>
      </c>
      <c r="C64" s="19" t="inlineStr">
        <is>
          <t>FEIM</t>
        </is>
      </c>
      <c r="D64" s="18" t="inlineStr">
        <is>
          <t>Frequency Electronics Inc.</t>
        </is>
      </c>
      <c r="E64" s="18" t="inlineStr">
        <is>
          <t>工業</t>
        </is>
      </c>
      <c r="F64" s="20" t="n">
        <v>9.449999999999999</v>
      </c>
      <c r="G64" s="21" t="n">
        <v>83.81999999999999</v>
      </c>
      <c r="H64" s="21" t="n">
        <v>73.89</v>
      </c>
      <c r="I64" s="22">
        <f>G64/H64-1</f>
        <v/>
      </c>
      <c r="J64" s="23" t="n">
        <v>8.199999999999999</v>
      </c>
      <c r="K64" s="23">
        <f>87.1700</f>
        <v/>
      </c>
      <c r="L64" s="23">
        <f>0.5*J64+0.5*K64</f>
        <v/>
      </c>
      <c r="M64" s="18" t="n">
        <v>77</v>
      </c>
    </row>
    <row r="65">
      <c r="A65" s="10" t="inlineStr">
        <is>
          <t>小型</t>
        </is>
      </c>
      <c r="B65" s="10" t="n">
        <v>26</v>
      </c>
      <c r="C65" s="11" t="inlineStr">
        <is>
          <t>CTKB</t>
        </is>
      </c>
      <c r="D65" s="10" t="inlineStr">
        <is>
          <t>Cytek Biosciences Inc.</t>
        </is>
      </c>
      <c r="E65" s="10" t="inlineStr">
        <is>
          <t>工業</t>
        </is>
      </c>
      <c r="F65" s="12" t="n">
        <v>6.77</v>
      </c>
      <c r="G65" s="13" t="n">
        <v>5.21</v>
      </c>
      <c r="H65" s="13" t="n">
        <v>4.78</v>
      </c>
      <c r="I65" s="14">
        <f>G65/H65-1</f>
        <v/>
      </c>
      <c r="J65" s="15" t="n">
        <v>21.4</v>
      </c>
      <c r="K65" s="15">
        <f>71.8500</f>
        <v/>
      </c>
      <c r="L65" s="15">
        <f>0.5*J65+0.5*K65</f>
        <v/>
      </c>
      <c r="M65" s="10" t="n">
        <v>79</v>
      </c>
    </row>
    <row r="66">
      <c r="A66" s="18" t="inlineStr">
        <is>
          <t>小型</t>
        </is>
      </c>
      <c r="B66" s="18" t="n">
        <v>27</v>
      </c>
      <c r="C66" s="19" t="inlineStr">
        <is>
          <t>EFSI</t>
        </is>
      </c>
      <c r="D66" s="18" t="inlineStr">
        <is>
          <t>Eagle Financial Services Inc</t>
        </is>
      </c>
      <c r="E66" s="18" t="inlineStr">
        <is>
          <t>金融</t>
        </is>
      </c>
      <c r="F66" s="20" t="n">
        <v>2.48</v>
      </c>
      <c r="G66" s="21" t="n">
        <v>45.89</v>
      </c>
      <c r="H66" s="21" t="n">
        <v>45.08</v>
      </c>
      <c r="I66" s="22">
        <f>G66/H66-1</f>
        <v/>
      </c>
      <c r="J66" s="23" t="n">
        <v>18</v>
      </c>
      <c r="K66" s="23">
        <f>75.1600</f>
        <v/>
      </c>
      <c r="L66" s="23">
        <f>0.5*J66+0.5*K66</f>
        <v/>
      </c>
      <c r="M66" s="18" t="n">
        <v>80</v>
      </c>
    </row>
    <row r="67">
      <c r="A67" s="10" t="inlineStr">
        <is>
          <t>小型</t>
        </is>
      </c>
      <c r="B67" s="10" t="n">
        <v>28</v>
      </c>
      <c r="C67" s="11" t="inlineStr">
        <is>
          <t>OBIO</t>
        </is>
      </c>
      <c r="D67" s="10" t="inlineStr">
        <is>
          <t>Orchestra BioMed Holdings Inc.</t>
        </is>
      </c>
      <c r="E67" s="10" t="inlineStr">
        <is>
          <t>醫療保健</t>
        </is>
      </c>
      <c r="F67" s="12" t="n">
        <v>3.47</v>
      </c>
      <c r="G67" s="13" t="n">
        <v>5.78</v>
      </c>
      <c r="H67" s="13" t="n">
        <v>5.64</v>
      </c>
      <c r="I67" s="14">
        <f>G67/H67-1</f>
        <v/>
      </c>
      <c r="J67" s="15" t="n">
        <v>12</v>
      </c>
      <c r="K67" s="15">
        <f>79.7800</f>
        <v/>
      </c>
      <c r="L67" s="15">
        <f>0.5*J67+0.5*K67</f>
        <v/>
      </c>
      <c r="M67" s="10" t="n">
        <v>68</v>
      </c>
    </row>
    <row r="68">
      <c r="A68" s="10" t="inlineStr">
        <is>
          <t>小型</t>
        </is>
      </c>
      <c r="B68" s="10" t="n">
        <v>29</v>
      </c>
      <c r="C68" s="11" t="inlineStr">
        <is>
          <t>OESX</t>
        </is>
      </c>
      <c r="D68" s="10" t="inlineStr">
        <is>
          <t>Orion Energy Systems Inc.</t>
        </is>
      </c>
      <c r="E68" s="10" t="inlineStr">
        <is>
          <t>非必需消費</t>
        </is>
      </c>
      <c r="F68" s="12" t="n">
        <v>1.1</v>
      </c>
      <c r="G68" s="13" t="n">
        <v>26.99</v>
      </c>
      <c r="H68" s="13" t="n">
        <v>26.91</v>
      </c>
      <c r="I68" s="14">
        <f>G68/H68-1</f>
        <v/>
      </c>
      <c r="J68" s="15" t="n">
        <v>38.4</v>
      </c>
      <c r="K68" s="15">
        <f>48.9100</f>
        <v/>
      </c>
      <c r="L68" s="15">
        <f>0.5*J68+0.5*K68</f>
        <v/>
      </c>
      <c r="M68" s="10" t="n">
        <v>72</v>
      </c>
    </row>
    <row r="69">
      <c r="A69" s="18" t="inlineStr">
        <is>
          <t>小型</t>
        </is>
      </c>
      <c r="B69" s="18" t="n">
        <v>30</v>
      </c>
      <c r="C69" s="19" t="inlineStr">
        <is>
          <t>CYPH</t>
        </is>
      </c>
      <c r="D69" s="18" t="inlineStr">
        <is>
          <t>Cypherpunk Technologies Inc.</t>
        </is>
      </c>
      <c r="E69" s="18" t="inlineStr">
        <is>
          <t>醫療保健</t>
        </is>
      </c>
      <c r="F69" s="20" t="n">
        <v>3.31</v>
      </c>
      <c r="G69" s="21" t="n">
        <v>3.07</v>
      </c>
      <c r="H69" s="21" t="n">
        <v>2.45</v>
      </c>
      <c r="I69" s="22">
        <f>G69/H69-1</f>
        <v/>
      </c>
      <c r="J69" s="23" t="n">
        <v>2.7</v>
      </c>
      <c r="K69" s="23">
        <f>81.4850</f>
        <v/>
      </c>
      <c r="L69" s="23">
        <f>0.5*J69+0.5*K69</f>
        <v/>
      </c>
      <c r="M69" s="18" t="n">
        <v>76</v>
      </c>
    </row>
    <row r="70">
      <c r="A70" s="18" t="inlineStr">
        <is>
          <t>小型</t>
        </is>
      </c>
      <c r="B70" s="18" t="n">
        <v>31</v>
      </c>
      <c r="C70" s="19" t="inlineStr">
        <is>
          <t>NKTX</t>
        </is>
      </c>
      <c r="D70" s="18" t="inlineStr">
        <is>
          <t>Nkarta Inc.</t>
        </is>
      </c>
      <c r="E70" s="18" t="inlineStr">
        <is>
          <t>醫療保健</t>
        </is>
      </c>
      <c r="F70" s="20" t="n">
        <v>2.01</v>
      </c>
      <c r="G70" s="21" t="n">
        <v>2.81</v>
      </c>
      <c r="H70" s="21" t="n">
        <v>2.91</v>
      </c>
      <c r="I70" s="22">
        <f>G70/H70-1</f>
        <v/>
      </c>
      <c r="J70" s="23" t="n">
        <v>19.5</v>
      </c>
      <c r="K70" s="23">
        <f>40.1950</f>
        <v/>
      </c>
      <c r="L70" s="23">
        <f>0.5*J70+0.5*K70</f>
        <v/>
      </c>
      <c r="M70" s="18" t="n">
        <v>89</v>
      </c>
    </row>
    <row r="72">
      <c r="A72" s="31" t="inlineStr">
        <is>
          <t>2星期 · 10MA vs 10日：MA(今日) &gt; MA(3 個交易日前) 嘅比較窗口見標題；另需最後 3 個 MA 值逐個遞升（兩次上升）同期內 ≥70% 日子上升。每個市值組各取 top 50。</t>
        </is>
      </c>
    </row>
  </sheetData>
  <autoFilter ref="A1:M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30" customWidth="1" min="4" max="4"/>
    <col width="11" customWidth="1" min="5" max="5"/>
    <col width="12" customWidth="1" min="6" max="6"/>
    <col width="11" customWidth="1" min="7" max="7"/>
    <col width="11" customWidth="1" min="8" max="8"/>
    <col width="10" customWidth="1" min="9" max="9"/>
    <col width="7" customWidth="1" min="10" max="10"/>
    <col width="8" customWidth="1" min="11" max="11"/>
    <col width="9" customWidth="1" min="12" max="12"/>
    <col width="9" customWidth="1" min="13" max="13"/>
  </cols>
  <sheetData>
    <row r="1" ht="30" customHeight="1">
      <c r="A1" s="1" t="inlineStr">
        <is>
          <t>市值組</t>
        </is>
      </c>
      <c r="B1" s="1" t="inlineStr">
        <is>
          <t>組內排名</t>
        </is>
      </c>
      <c r="C1" s="1" t="inlineStr">
        <is>
          <t>代號</t>
        </is>
      </c>
      <c r="D1" s="1" t="inlineStr">
        <is>
          <t>公司</t>
        </is>
      </c>
      <c r="E1" s="1" t="inlineStr">
        <is>
          <t>板塊</t>
        </is>
      </c>
      <c r="F1" s="1" t="inlineStr">
        <is>
          <t>市值(億美元)</t>
        </is>
      </c>
      <c r="G1" s="1" t="inlineStr">
        <is>
          <t>收市價</t>
        </is>
      </c>
      <c r="H1" s="1" t="inlineStr">
        <is>
          <t>MA10</t>
        </is>
      </c>
      <c r="I1" s="1" t="inlineStr">
        <is>
          <t>距MA10%</t>
        </is>
      </c>
      <c r="J1" s="1" t="inlineStr">
        <is>
          <t>VCP</t>
        </is>
      </c>
      <c r="K1" s="1" t="inlineStr">
        <is>
          <t>確定性</t>
        </is>
      </c>
      <c r="L1" s="1" t="inlineStr">
        <is>
          <t>綜合分數</t>
        </is>
      </c>
      <c r="M1" s="1" t="inlineStr">
        <is>
          <t>總表排名</t>
        </is>
      </c>
    </row>
    <row r="2">
      <c r="A2" s="10" t="inlineStr">
        <is>
          <t>大型</t>
        </is>
      </c>
      <c r="B2" s="10" t="n">
        <v>1</v>
      </c>
      <c r="C2" s="11" t="inlineStr">
        <is>
          <t>HALO</t>
        </is>
      </c>
      <c r="D2" s="10" t="inlineStr">
        <is>
          <t>Halozyme Therapeutics Inc.</t>
        </is>
      </c>
      <c r="E2" s="10" t="inlineStr">
        <is>
          <t>醫療保健</t>
        </is>
      </c>
      <c r="F2" s="12" t="n">
        <v>124.48</v>
      </c>
      <c r="G2" s="13" t="n">
        <v>109.68</v>
      </c>
      <c r="H2" s="13" t="n">
        <v>108.32</v>
      </c>
      <c r="I2" s="14">
        <f>G2/H2-1</f>
        <v/>
      </c>
      <c r="J2" s="15" t="n">
        <v>85.3</v>
      </c>
      <c r="K2" s="15">
        <f>79.4050</f>
        <v/>
      </c>
      <c r="L2" s="15">
        <f>0.5*J2+0.5*K2</f>
        <v/>
      </c>
      <c r="M2" s="10" t="n">
        <v>14</v>
      </c>
    </row>
    <row r="3">
      <c r="A3" s="18" t="inlineStr">
        <is>
          <t>大型</t>
        </is>
      </c>
      <c r="B3" s="18" t="n">
        <v>2</v>
      </c>
      <c r="C3" s="19" t="inlineStr">
        <is>
          <t>AVTR</t>
        </is>
      </c>
      <c r="D3" s="18" t="inlineStr">
        <is>
          <t>Avantor Inc.</t>
        </is>
      </c>
      <c r="E3" s="18" t="inlineStr">
        <is>
          <t>工業</t>
        </is>
      </c>
      <c r="F3" s="20" t="n">
        <v>107.27</v>
      </c>
      <c r="G3" s="21" t="n">
        <v>15.86</v>
      </c>
      <c r="H3" s="21" t="n">
        <v>15.21</v>
      </c>
      <c r="I3" s="22">
        <f>G3/H3-1</f>
        <v/>
      </c>
      <c r="J3" s="23" t="n">
        <v>72.5</v>
      </c>
      <c r="K3" s="23">
        <f>83.3700</f>
        <v/>
      </c>
      <c r="L3" s="23">
        <f>0.5*J3+0.5*K3</f>
        <v/>
      </c>
      <c r="M3" s="18" t="n">
        <v>6</v>
      </c>
    </row>
    <row r="4">
      <c r="A4" s="18" t="inlineStr">
        <is>
          <t>大型</t>
        </is>
      </c>
      <c r="B4" s="18" t="n">
        <v>3</v>
      </c>
      <c r="C4" s="19" t="inlineStr">
        <is>
          <t>ADM</t>
        </is>
      </c>
      <c r="D4" s="18" t="inlineStr">
        <is>
          <t>Archer-Daniels-Midland Company</t>
        </is>
      </c>
      <c r="E4" s="18" t="inlineStr">
        <is>
          <t>必需消費</t>
        </is>
      </c>
      <c r="F4" s="20" t="n">
        <v>424.56</v>
      </c>
      <c r="G4" s="21" t="n">
        <v>88.09</v>
      </c>
      <c r="H4" s="21" t="n">
        <v>85.98</v>
      </c>
      <c r="I4" s="22">
        <f>G4/H4-1</f>
        <v/>
      </c>
      <c r="J4" s="23" t="n">
        <v>54.4</v>
      </c>
      <c r="K4" s="23">
        <f>85.7850</f>
        <v/>
      </c>
      <c r="L4" s="23">
        <f>0.5*J4+0.5*K4</f>
        <v/>
      </c>
      <c r="M4" s="18" t="n">
        <v>37</v>
      </c>
    </row>
    <row r="5">
      <c r="A5" s="18" t="inlineStr">
        <is>
          <t>大型</t>
        </is>
      </c>
      <c r="B5" s="18" t="n">
        <v>4</v>
      </c>
      <c r="C5" s="19" t="inlineStr">
        <is>
          <t>DT</t>
        </is>
      </c>
      <c r="D5" s="18" t="inlineStr">
        <is>
          <t>Dynatrace Inc.</t>
        </is>
      </c>
      <c r="E5" s="18" t="inlineStr">
        <is>
          <t>科技</t>
        </is>
      </c>
      <c r="F5" s="20" t="n">
        <v>161.35</v>
      </c>
      <c r="G5" s="21" t="n">
        <v>55.83</v>
      </c>
      <c r="H5" s="21" t="n">
        <v>52.76</v>
      </c>
      <c r="I5" s="22">
        <f>G5/H5-1</f>
        <v/>
      </c>
      <c r="J5" s="23" t="n">
        <v>53.3</v>
      </c>
      <c r="K5" s="23">
        <f>84.6150</f>
        <v/>
      </c>
      <c r="L5" s="23">
        <f>0.5*J5+0.5*K5</f>
        <v/>
      </c>
      <c r="M5" s="18" t="n">
        <v>31</v>
      </c>
    </row>
    <row r="6">
      <c r="A6" s="18" t="inlineStr">
        <is>
          <t>大型</t>
        </is>
      </c>
      <c r="B6" s="18" t="n">
        <v>5</v>
      </c>
      <c r="C6" s="19" t="inlineStr">
        <is>
          <t>EXPD</t>
        </is>
      </c>
      <c r="D6" s="18" t="inlineStr">
        <is>
          <t>Expeditors International of Washington Inc.</t>
        </is>
      </c>
      <c r="E6" s="18" t="inlineStr">
        <is>
          <t>工業</t>
        </is>
      </c>
      <c r="F6" s="20" t="n">
        <v>245.79</v>
      </c>
      <c r="G6" s="21" t="n">
        <v>189.08</v>
      </c>
      <c r="H6" s="21" t="n">
        <v>189.78</v>
      </c>
      <c r="I6" s="22">
        <f>G6/H6-1</f>
        <v/>
      </c>
      <c r="J6" s="23" t="n">
        <v>66.5</v>
      </c>
      <c r="K6" s="23">
        <f>66.1600</f>
        <v/>
      </c>
      <c r="L6" s="23">
        <f>0.5*J6+0.5*K6</f>
        <v/>
      </c>
      <c r="M6" s="18" t="n">
        <v>35</v>
      </c>
    </row>
    <row r="7">
      <c r="A7" s="18" t="inlineStr">
        <is>
          <t>大型</t>
        </is>
      </c>
      <c r="B7" s="18" t="n">
        <v>6</v>
      </c>
      <c r="C7" s="19" t="inlineStr">
        <is>
          <t>DOCU</t>
        </is>
      </c>
      <c r="D7" s="18" t="inlineStr">
        <is>
          <t>DocuSign Inc.</t>
        </is>
      </c>
      <c r="E7" s="18" t="inlineStr">
        <is>
          <t>科技</t>
        </is>
      </c>
      <c r="F7" s="20" t="n">
        <v>132.03</v>
      </c>
      <c r="G7" s="21" t="n">
        <v>70.64</v>
      </c>
      <c r="H7" s="21" t="n">
        <v>67.8</v>
      </c>
      <c r="I7" s="22">
        <f>G7/H7-1</f>
        <v/>
      </c>
      <c r="J7" s="23" t="n">
        <v>40.6</v>
      </c>
      <c r="K7" s="23">
        <f>85.5500</f>
        <v/>
      </c>
      <c r="L7" s="23">
        <f>0.5*J7+0.5*K7</f>
        <v/>
      </c>
      <c r="M7" s="18" t="n">
        <v>28</v>
      </c>
    </row>
    <row r="8">
      <c r="A8" s="18" t="inlineStr">
        <is>
          <t>大型</t>
        </is>
      </c>
      <c r="B8" s="18" t="n">
        <v>7</v>
      </c>
      <c r="C8" s="19" t="inlineStr">
        <is>
          <t>COKE</t>
        </is>
      </c>
      <c r="D8" s="18" t="inlineStr">
        <is>
          <t>Coca-Cola Consolidated Inc.</t>
        </is>
      </c>
      <c r="E8" s="18" t="inlineStr">
        <is>
          <t>必需消費</t>
        </is>
      </c>
      <c r="F8" s="20" t="n">
        <v>132.44</v>
      </c>
      <c r="G8" s="21" t="n">
        <v>198.97</v>
      </c>
      <c r="H8" s="21" t="n">
        <v>194.24</v>
      </c>
      <c r="I8" s="22">
        <f>G8/H8-1</f>
        <v/>
      </c>
      <c r="J8" s="23" t="n">
        <v>42.7</v>
      </c>
      <c r="K8" s="23">
        <f>75.7400</f>
        <v/>
      </c>
      <c r="L8" s="23">
        <f>0.5*J8+0.5*K8</f>
        <v/>
      </c>
      <c r="M8" s="18" t="n">
        <v>45</v>
      </c>
    </row>
    <row r="9">
      <c r="A9" s="10" t="inlineStr">
        <is>
          <t>大型</t>
        </is>
      </c>
      <c r="B9" s="10" t="n">
        <v>8</v>
      </c>
      <c r="C9" s="11" t="inlineStr">
        <is>
          <t>TSLA</t>
        </is>
      </c>
      <c r="D9" s="10" t="inlineStr">
        <is>
          <t>Tesla Inc.</t>
        </is>
      </c>
      <c r="E9" s="10" t="inlineStr">
        <is>
          <t>非必需消費</t>
        </is>
      </c>
      <c r="F9" s="12" t="n">
        <v>14463.24</v>
      </c>
      <c r="G9" s="13" t="n">
        <v>366.2</v>
      </c>
      <c r="H9" s="13" t="n">
        <v>363.52</v>
      </c>
      <c r="I9" s="14">
        <f>G9/H9-1</f>
        <v/>
      </c>
      <c r="J9" s="15" t="n">
        <v>55.8</v>
      </c>
      <c r="K9" s="15">
        <f>61.3500</f>
        <v/>
      </c>
      <c r="L9" s="15">
        <f>0.5*J9+0.5*K9</f>
        <v/>
      </c>
      <c r="M9" s="10" t="n">
        <v>59</v>
      </c>
    </row>
    <row r="10">
      <c r="A10" s="18" t="inlineStr">
        <is>
          <t>大型</t>
        </is>
      </c>
      <c r="B10" s="18" t="n">
        <v>9</v>
      </c>
      <c r="C10" s="19" t="inlineStr">
        <is>
          <t>MDT</t>
        </is>
      </c>
      <c r="D10" s="18" t="inlineStr">
        <is>
          <t>Medtronic plc.</t>
        </is>
      </c>
      <c r="E10" s="18" t="inlineStr">
        <is>
          <t>醫療保健</t>
        </is>
      </c>
      <c r="F10" s="20" t="n">
        <v>1186.66</v>
      </c>
      <c r="G10" s="21" t="n">
        <v>92.77</v>
      </c>
      <c r="H10" s="21" t="n">
        <v>92.7</v>
      </c>
      <c r="I10" s="22">
        <f>G10/H10-1</f>
        <v/>
      </c>
      <c r="J10" s="23" t="n">
        <v>47.3</v>
      </c>
      <c r="K10" s="23">
        <f>54.8000</f>
        <v/>
      </c>
      <c r="L10" s="23">
        <f>0.5*J10+0.5*K10</f>
        <v/>
      </c>
      <c r="M10" s="18" t="n">
        <v>61</v>
      </c>
    </row>
    <row r="11">
      <c r="A11" s="18" t="inlineStr">
        <is>
          <t>大型</t>
        </is>
      </c>
      <c r="B11" s="18" t="n">
        <v>10</v>
      </c>
      <c r="C11" s="19" t="inlineStr">
        <is>
          <t>HPQ</t>
        </is>
      </c>
      <c r="D11" s="18" t="inlineStr">
        <is>
          <t>HP Inc.</t>
        </is>
      </c>
      <c r="E11" s="18" t="inlineStr">
        <is>
          <t>科技</t>
        </is>
      </c>
      <c r="F11" s="20" t="n">
        <v>312.56</v>
      </c>
      <c r="G11" s="21" t="n">
        <v>34.66</v>
      </c>
      <c r="H11" s="21" t="n">
        <v>33.15</v>
      </c>
      <c r="I11" s="22">
        <f>G11/H11-1</f>
        <v/>
      </c>
      <c r="J11" s="23" t="n">
        <v>22.9</v>
      </c>
      <c r="K11" s="23">
        <f>74.8000</f>
        <v/>
      </c>
      <c r="L11" s="23">
        <f>0.5*J11+0.5*K11</f>
        <v/>
      </c>
      <c r="M11" s="18" t="n">
        <v>55</v>
      </c>
    </row>
    <row r="12">
      <c r="A12" s="18" t="inlineStr">
        <is>
          <t>大型</t>
        </is>
      </c>
      <c r="B12" s="18" t="n">
        <v>11</v>
      </c>
      <c r="C12" s="19" t="inlineStr">
        <is>
          <t>QRVO</t>
        </is>
      </c>
      <c r="D12" s="18" t="inlineStr">
        <is>
          <t>Qorvo Inc.</t>
        </is>
      </c>
      <c r="E12" s="18" t="inlineStr">
        <is>
          <t>科技</t>
        </is>
      </c>
      <c r="F12" s="20" t="n">
        <v>105.43</v>
      </c>
      <c r="G12" s="21" t="n">
        <v>119.51</v>
      </c>
      <c r="H12" s="21" t="n">
        <v>110.11</v>
      </c>
      <c r="I12" s="22">
        <f>G12/H12-1</f>
        <v/>
      </c>
      <c r="J12" s="23" t="n">
        <v>7.8</v>
      </c>
      <c r="K12" s="23">
        <f>85.8100</f>
        <v/>
      </c>
      <c r="L12" s="23">
        <f>0.5*J12+0.5*K12</f>
        <v/>
      </c>
      <c r="M12" s="18" t="n">
        <v>57</v>
      </c>
    </row>
    <row r="13">
      <c r="A13" s="18" t="inlineStr">
        <is>
          <t>中型</t>
        </is>
      </c>
      <c r="B13" s="18" t="n">
        <v>1</v>
      </c>
      <c r="C13" s="19" t="inlineStr">
        <is>
          <t>ITGR</t>
        </is>
      </c>
      <c r="D13" s="18" t="inlineStr">
        <is>
          <t>Integer Holdings Corporation</t>
        </is>
      </c>
      <c r="E13" s="18" t="inlineStr">
        <is>
          <t>醫療保健</t>
        </is>
      </c>
      <c r="F13" s="20" t="n">
        <v>42.94</v>
      </c>
      <c r="G13" s="21" t="n">
        <v>126.33</v>
      </c>
      <c r="H13" s="21" t="n">
        <v>126.09</v>
      </c>
      <c r="I13" s="22">
        <f>G13/H13-1</f>
        <v/>
      </c>
      <c r="J13" s="23" t="n">
        <v>98.7</v>
      </c>
      <c r="K13" s="23">
        <f>89.6400</f>
        <v/>
      </c>
      <c r="L13" s="23">
        <f>0.5*J13+0.5*K13</f>
        <v/>
      </c>
      <c r="M13" s="18" t="n">
        <v>1</v>
      </c>
    </row>
    <row r="14">
      <c r="A14" s="18" t="inlineStr">
        <is>
          <t>中型</t>
        </is>
      </c>
      <c r="B14" s="18" t="n">
        <v>2</v>
      </c>
      <c r="C14" s="19" t="inlineStr">
        <is>
          <t>DV</t>
        </is>
      </c>
      <c r="D14" s="18" t="inlineStr">
        <is>
          <t>DoubleVerify Holdings Inc.</t>
        </is>
      </c>
      <c r="E14" s="18" t="inlineStr">
        <is>
          <t>科技</t>
        </is>
      </c>
      <c r="F14" s="20" t="n">
        <v>20.88</v>
      </c>
      <c r="G14" s="21" t="n">
        <v>13.47</v>
      </c>
      <c r="H14" s="21" t="n">
        <v>13.42</v>
      </c>
      <c r="I14" s="22">
        <f>G14/H14-1</f>
        <v/>
      </c>
      <c r="J14" s="23" t="n">
        <v>83.90000000000001</v>
      </c>
      <c r="K14" s="23">
        <f>88.6000</f>
        <v/>
      </c>
      <c r="L14" s="23">
        <f>0.5*J14+0.5*K14</f>
        <v/>
      </c>
      <c r="M14" s="18" t="n">
        <v>2</v>
      </c>
    </row>
    <row r="15">
      <c r="A15" s="10" t="inlineStr">
        <is>
          <t>中型</t>
        </is>
      </c>
      <c r="B15" s="10" t="n">
        <v>3</v>
      </c>
      <c r="C15" s="11" t="inlineStr">
        <is>
          <t>HGTY</t>
        </is>
      </c>
      <c r="D15" s="10" t="inlineStr">
        <is>
          <t>Hagerty Inc. Class A</t>
        </is>
      </c>
      <c r="E15" s="10" t="inlineStr">
        <is>
          <t>金融</t>
        </is>
      </c>
      <c r="F15" s="12" t="n">
        <v>47.66</v>
      </c>
      <c r="G15" s="13" t="n">
        <v>13.87</v>
      </c>
      <c r="H15" s="13" t="n">
        <v>13.64</v>
      </c>
      <c r="I15" s="14">
        <f>G15/H15-1</f>
        <v/>
      </c>
      <c r="J15" s="15" t="n">
        <v>67.40000000000001</v>
      </c>
      <c r="K15" s="15">
        <f>88.2900</f>
        <v/>
      </c>
      <c r="L15" s="15">
        <f>0.5*J15+0.5*K15</f>
        <v/>
      </c>
      <c r="M15" s="10" t="n">
        <v>12</v>
      </c>
    </row>
    <row r="16">
      <c r="A16" s="18" t="inlineStr">
        <is>
          <t>中型</t>
        </is>
      </c>
      <c r="B16" s="18" t="n">
        <v>4</v>
      </c>
      <c r="C16" s="19" t="inlineStr">
        <is>
          <t>CDNA</t>
        </is>
      </c>
      <c r="D16" s="18" t="inlineStr">
        <is>
          <t>CareDx Inc.</t>
        </is>
      </c>
      <c r="E16" s="18" t="inlineStr">
        <is>
          <t>醫療保健</t>
        </is>
      </c>
      <c r="F16" s="20" t="n">
        <v>28.08</v>
      </c>
      <c r="G16" s="21" t="n">
        <v>54.28</v>
      </c>
      <c r="H16" s="21" t="n">
        <v>51.42</v>
      </c>
      <c r="I16" s="22">
        <f>G16/H16-1</f>
        <v/>
      </c>
      <c r="J16" s="23" t="n">
        <v>77.09999999999999</v>
      </c>
      <c r="K16" s="23">
        <f>75.7300</f>
        <v/>
      </c>
      <c r="L16" s="23">
        <f>0.5*J16+0.5*K16</f>
        <v/>
      </c>
      <c r="M16" s="18" t="n">
        <v>7</v>
      </c>
    </row>
    <row r="17">
      <c r="A17" s="18" t="inlineStr">
        <is>
          <t>中型</t>
        </is>
      </c>
      <c r="B17" s="18" t="n">
        <v>5</v>
      </c>
      <c r="C17" s="19" t="inlineStr">
        <is>
          <t>IOVA</t>
        </is>
      </c>
      <c r="D17" s="18" t="inlineStr">
        <is>
          <t>Iovance Biotherapeutics Inc.</t>
        </is>
      </c>
      <c r="E17" s="18" t="inlineStr">
        <is>
          <t>醫療保健</t>
        </is>
      </c>
      <c r="F17" s="20" t="n">
        <v>45.39</v>
      </c>
      <c r="G17" s="21" t="n">
        <v>10.02</v>
      </c>
      <c r="H17" s="21" t="n">
        <v>8.99</v>
      </c>
      <c r="I17" s="22">
        <f>G17/H17-1</f>
        <v/>
      </c>
      <c r="J17" s="23" t="n">
        <v>58.6</v>
      </c>
      <c r="K17" s="23">
        <f>86.8500</f>
        <v/>
      </c>
      <c r="L17" s="23">
        <f>0.5*J17+0.5*K17</f>
        <v/>
      </c>
      <c r="M17" s="18" t="n">
        <v>10</v>
      </c>
    </row>
    <row r="18">
      <c r="A18" s="18" t="inlineStr">
        <is>
          <t>中型</t>
        </is>
      </c>
      <c r="B18" s="18" t="n">
        <v>6</v>
      </c>
      <c r="C18" s="19" t="inlineStr">
        <is>
          <t>SAIC</t>
        </is>
      </c>
      <c r="D18" s="18" t="inlineStr">
        <is>
          <t>Science Applications International Corporation</t>
        </is>
      </c>
      <c r="E18" s="18" t="inlineStr">
        <is>
          <t>科技</t>
        </is>
      </c>
      <c r="F18" s="20" t="n">
        <v>56</v>
      </c>
      <c r="G18" s="21" t="n">
        <v>133.65</v>
      </c>
      <c r="H18" s="21" t="n">
        <v>129.77</v>
      </c>
      <c r="I18" s="22">
        <f>G18/H18-1</f>
        <v/>
      </c>
      <c r="J18" s="23" t="n">
        <v>65.40000000000001</v>
      </c>
      <c r="K18" s="23">
        <f>79.5700</f>
        <v/>
      </c>
      <c r="L18" s="23">
        <f>0.5*J18+0.5*K18</f>
        <v/>
      </c>
      <c r="M18" s="18" t="n">
        <v>11</v>
      </c>
    </row>
    <row r="19">
      <c r="A19" s="10" t="inlineStr">
        <is>
          <t>中型</t>
        </is>
      </c>
      <c r="B19" s="10" t="n">
        <v>7</v>
      </c>
      <c r="C19" s="11" t="inlineStr">
        <is>
          <t>RNG</t>
        </is>
      </c>
      <c r="D19" s="10" t="inlineStr">
        <is>
          <t>RingCentral Inc. Class A</t>
        </is>
      </c>
      <c r="E19" s="10" t="inlineStr">
        <is>
          <t>科技</t>
        </is>
      </c>
      <c r="F19" s="12" t="n">
        <v>62.45</v>
      </c>
      <c r="G19" s="13" t="n">
        <v>74.78</v>
      </c>
      <c r="H19" s="13" t="n">
        <v>72.06</v>
      </c>
      <c r="I19" s="14">
        <f>G19/H19-1</f>
        <v/>
      </c>
      <c r="J19" s="15" t="n">
        <v>74.5</v>
      </c>
      <c r="K19" s="15">
        <f>64.9400</f>
        <v/>
      </c>
      <c r="L19" s="15">
        <f>0.5*J19+0.5*K19</f>
        <v/>
      </c>
      <c r="M19" s="10" t="n">
        <v>26</v>
      </c>
    </row>
    <row r="20">
      <c r="A20" s="18" t="inlineStr">
        <is>
          <t>中型</t>
        </is>
      </c>
      <c r="B20" s="18" t="n">
        <v>8</v>
      </c>
      <c r="C20" s="19" t="inlineStr">
        <is>
          <t>AUGO</t>
        </is>
      </c>
      <c r="D20" s="18" t="inlineStr">
        <is>
          <t>Aura Minerals Inc. Common Shares</t>
        </is>
      </c>
      <c r="E20" s="18" t="inlineStr">
        <is>
          <t>原材料</t>
        </is>
      </c>
      <c r="F20" s="20" t="n">
        <v>74.33</v>
      </c>
      <c r="G20" s="21" t="n">
        <v>88.70999999999999</v>
      </c>
      <c r="H20" s="21" t="n">
        <v>86.34999999999999</v>
      </c>
      <c r="I20" s="22">
        <f>G20/H20-1</f>
        <v/>
      </c>
      <c r="J20" s="23" t="n">
        <v>73.5</v>
      </c>
      <c r="K20" s="23">
        <f>64.8600</f>
        <v/>
      </c>
      <c r="L20" s="23">
        <f>0.5*J20+0.5*K20</f>
        <v/>
      </c>
      <c r="M20" s="18" t="n">
        <v>30</v>
      </c>
    </row>
    <row r="21">
      <c r="A21" s="18" t="inlineStr">
        <is>
          <t>中型</t>
        </is>
      </c>
      <c r="B21" s="18" t="n">
        <v>9</v>
      </c>
      <c r="C21" s="19" t="inlineStr">
        <is>
          <t>ATRC</t>
        </is>
      </c>
      <c r="D21" s="18" t="inlineStr">
        <is>
          <t>AtriCure Inc.</t>
        </is>
      </c>
      <c r="E21" s="18" t="inlineStr">
        <is>
          <t>醫療保健</t>
        </is>
      </c>
      <c r="F21" s="20" t="n">
        <v>30.07</v>
      </c>
      <c r="G21" s="21" t="n">
        <v>59.12</v>
      </c>
      <c r="H21" s="21" t="n">
        <v>54.65</v>
      </c>
      <c r="I21" s="22">
        <f>G21/H21-1</f>
        <v/>
      </c>
      <c r="J21" s="23" t="n">
        <v>35.6</v>
      </c>
      <c r="K21" s="23">
        <f>96.4200</f>
        <v/>
      </c>
      <c r="L21" s="23">
        <f>0.5*J21+0.5*K21</f>
        <v/>
      </c>
      <c r="M21" s="18" t="n">
        <v>20</v>
      </c>
    </row>
    <row r="22">
      <c r="A22" s="18" t="inlineStr">
        <is>
          <t>中型</t>
        </is>
      </c>
      <c r="B22" s="18" t="n">
        <v>10</v>
      </c>
      <c r="C22" s="19" t="inlineStr">
        <is>
          <t>INSP</t>
        </is>
      </c>
      <c r="D22" s="18" t="inlineStr">
        <is>
          <t>Inspire Medical Systems Inc.</t>
        </is>
      </c>
      <c r="E22" s="18" t="inlineStr">
        <is>
          <t>醫療保健</t>
        </is>
      </c>
      <c r="F22" s="20" t="n">
        <v>21.03</v>
      </c>
      <c r="G22" s="21" t="n">
        <v>72.73999999999999</v>
      </c>
      <c r="H22" s="21" t="n">
        <v>68.94</v>
      </c>
      <c r="I22" s="22">
        <f>G22/H22-1</f>
        <v/>
      </c>
      <c r="J22" s="23" t="n">
        <v>39.2</v>
      </c>
      <c r="K22" s="23">
        <f>90.4650</f>
        <v/>
      </c>
      <c r="L22" s="23">
        <f>0.5*J22+0.5*K22</f>
        <v/>
      </c>
      <c r="M22" s="18" t="n">
        <v>22</v>
      </c>
    </row>
    <row r="23">
      <c r="A23" s="18" t="inlineStr">
        <is>
          <t>中型</t>
        </is>
      </c>
      <c r="B23" s="18" t="n">
        <v>11</v>
      </c>
      <c r="C23" s="19" t="inlineStr">
        <is>
          <t>INSW</t>
        </is>
      </c>
      <c r="D23" s="18" t="inlineStr">
        <is>
          <t>International Seaways Inc.</t>
        </is>
      </c>
      <c r="E23" s="18" t="inlineStr">
        <is>
          <t>非必需消費</t>
        </is>
      </c>
      <c r="F23" s="20" t="n">
        <v>54.75</v>
      </c>
      <c r="G23" s="21" t="n">
        <v>110.53</v>
      </c>
      <c r="H23" s="21" t="n">
        <v>105.45</v>
      </c>
      <c r="I23" s="22">
        <f>G23/H23-1</f>
        <v/>
      </c>
      <c r="J23" s="23" t="n">
        <v>44.7</v>
      </c>
      <c r="K23" s="23">
        <f>77.2500</f>
        <v/>
      </c>
      <c r="L23" s="23">
        <f>0.5*J23+0.5*K23</f>
        <v/>
      </c>
      <c r="M23" s="18" t="n">
        <v>34</v>
      </c>
    </row>
    <row r="24">
      <c r="A24" s="10" t="inlineStr">
        <is>
          <t>中型</t>
        </is>
      </c>
      <c r="B24" s="10" t="n">
        <v>12</v>
      </c>
      <c r="C24" s="11" t="inlineStr">
        <is>
          <t>SLDE</t>
        </is>
      </c>
      <c r="D24" s="10" t="inlineStr">
        <is>
          <t>Slide Insurance Holdings Inc.</t>
        </is>
      </c>
      <c r="E24" s="10" t="inlineStr">
        <is>
          <t>金融</t>
        </is>
      </c>
      <c r="F24" s="12" t="n">
        <v>29.2</v>
      </c>
      <c r="G24" s="13" t="n">
        <v>25</v>
      </c>
      <c r="H24" s="13" t="n">
        <v>25.12</v>
      </c>
      <c r="I24" s="14">
        <f>G24/H24-1</f>
        <v/>
      </c>
      <c r="J24" s="15" t="n">
        <v>27.1</v>
      </c>
      <c r="K24" s="15">
        <f>84.5650</f>
        <v/>
      </c>
      <c r="L24" s="15">
        <f>0.5*J24+0.5*K24</f>
        <v/>
      </c>
      <c r="M24" s="10" t="n">
        <v>39</v>
      </c>
    </row>
    <row r="25">
      <c r="A25" s="18" t="inlineStr">
        <is>
          <t>中型</t>
        </is>
      </c>
      <c r="B25" s="18" t="n">
        <v>13</v>
      </c>
      <c r="C25" s="19" t="inlineStr">
        <is>
          <t>NSIT</t>
        </is>
      </c>
      <c r="D25" s="18" t="inlineStr">
        <is>
          <t>Insight Enterprises Inc.</t>
        </is>
      </c>
      <c r="E25" s="18" t="inlineStr">
        <is>
          <t>非必需消費</t>
        </is>
      </c>
      <c r="F25" s="20" t="n">
        <v>45.39</v>
      </c>
      <c r="G25" s="21" t="n">
        <v>154.65</v>
      </c>
      <c r="H25" s="21" t="n">
        <v>159.72</v>
      </c>
      <c r="I25" s="22">
        <f>G25/H25-1</f>
        <v/>
      </c>
      <c r="J25" s="23" t="n">
        <v>45.1</v>
      </c>
      <c r="K25" s="23">
        <f>51.3900</f>
        <v/>
      </c>
      <c r="L25" s="23">
        <f>0.5*J25+0.5*K25</f>
        <v/>
      </c>
      <c r="M25" s="18" t="n">
        <v>65</v>
      </c>
    </row>
    <row r="26">
      <c r="A26" s="18" t="inlineStr">
        <is>
          <t>小型</t>
        </is>
      </c>
      <c r="B26" s="18" t="n">
        <v>1</v>
      </c>
      <c r="C26" s="19" t="inlineStr">
        <is>
          <t>SMTI</t>
        </is>
      </c>
      <c r="D26" s="18" t="inlineStr">
        <is>
          <t>Sanara MedTech Inc.</t>
        </is>
      </c>
      <c r="E26" s="18" t="inlineStr">
        <is>
          <t>醫療保健</t>
        </is>
      </c>
      <c r="F26" s="20" t="n">
        <v>3.21</v>
      </c>
      <c r="G26" s="21" t="n">
        <v>34.98</v>
      </c>
      <c r="H26" s="21" t="n">
        <v>34.96</v>
      </c>
      <c r="I26" s="22">
        <f>G26/H26-1</f>
        <v/>
      </c>
      <c r="J26" s="23" t="n">
        <v>97.5</v>
      </c>
      <c r="K26" s="23">
        <f>78.2950</f>
        <v/>
      </c>
      <c r="L26" s="23">
        <f>0.5*J26+0.5*K26</f>
        <v/>
      </c>
      <c r="M26" s="18" t="n">
        <v>5</v>
      </c>
    </row>
    <row r="27">
      <c r="A27" s="10" t="inlineStr">
        <is>
          <t>小型</t>
        </is>
      </c>
      <c r="B27" s="10" t="n">
        <v>2</v>
      </c>
      <c r="C27" s="11" t="inlineStr">
        <is>
          <t>HRTG</t>
        </is>
      </c>
      <c r="D27" s="10" t="inlineStr">
        <is>
          <t>Heritage Insurance Holdings Inc.</t>
        </is>
      </c>
      <c r="E27" s="10" t="inlineStr">
        <is>
          <t>金融</t>
        </is>
      </c>
      <c r="F27" s="12" t="n">
        <v>10.53</v>
      </c>
      <c r="G27" s="13" t="n">
        <v>35.42</v>
      </c>
      <c r="H27" s="13" t="n">
        <v>34.67</v>
      </c>
      <c r="I27" s="14">
        <f>G27/H27-1</f>
        <v/>
      </c>
      <c r="J27" s="15" t="n">
        <v>83.3</v>
      </c>
      <c r="K27" s="15">
        <f>84.4000</f>
        <v/>
      </c>
      <c r="L27" s="15">
        <f>0.5*J27+0.5*K27</f>
        <v/>
      </c>
      <c r="M27" s="10" t="n">
        <v>3</v>
      </c>
    </row>
    <row r="28">
      <c r="A28" s="18" t="inlineStr">
        <is>
          <t>小型</t>
        </is>
      </c>
      <c r="B28" s="18" t="n">
        <v>3</v>
      </c>
      <c r="C28" s="19" t="inlineStr">
        <is>
          <t>DMLP</t>
        </is>
      </c>
      <c r="D28" s="18" t="inlineStr">
        <is>
          <t>Dorchester Minerals L.P. Common Units Representing Limited Partnership Interests</t>
        </is>
      </c>
      <c r="E28" s="18" t="inlineStr">
        <is>
          <t>能源</t>
        </is>
      </c>
      <c r="F28" s="20" t="n">
        <v>14.61</v>
      </c>
      <c r="G28" s="21" t="n">
        <v>29.77</v>
      </c>
      <c r="H28" s="21" t="n">
        <v>29.61</v>
      </c>
      <c r="I28" s="22">
        <f>G28/H28-1</f>
        <v/>
      </c>
      <c r="J28" s="23" t="n">
        <v>67.40000000000001</v>
      </c>
      <c r="K28" s="23">
        <f>93.5100</f>
        <v/>
      </c>
      <c r="L28" s="23">
        <f>0.5*J28+0.5*K28</f>
        <v/>
      </c>
      <c r="M28" s="18" t="n">
        <v>9</v>
      </c>
    </row>
    <row r="29">
      <c r="A29" s="18" t="inlineStr">
        <is>
          <t>小型</t>
        </is>
      </c>
      <c r="B29" s="18" t="n">
        <v>4</v>
      </c>
      <c r="C29" s="19" t="inlineStr">
        <is>
          <t>RDVT</t>
        </is>
      </c>
      <c r="D29" s="18" t="inlineStr">
        <is>
          <t>Red Violet Inc.</t>
        </is>
      </c>
      <c r="E29" s="18" t="inlineStr">
        <is>
          <t>科技</t>
        </is>
      </c>
      <c r="F29" s="20" t="n">
        <v>12.38</v>
      </c>
      <c r="G29" s="21" t="n">
        <v>77.12</v>
      </c>
      <c r="H29" s="21" t="n">
        <v>75.69</v>
      </c>
      <c r="I29" s="22">
        <f>G29/H29-1</f>
        <v/>
      </c>
      <c r="J29" s="23" t="n">
        <v>65.2</v>
      </c>
      <c r="K29" s="23">
        <f>85.5700</f>
        <v/>
      </c>
      <c r="L29" s="23">
        <f>0.5*J29+0.5*K29</f>
        <v/>
      </c>
      <c r="M29" s="18" t="n">
        <v>8</v>
      </c>
    </row>
    <row r="30">
      <c r="A30" s="10" t="inlineStr">
        <is>
          <t>小型</t>
        </is>
      </c>
      <c r="B30" s="10" t="n">
        <v>5</v>
      </c>
      <c r="C30" s="11" t="inlineStr">
        <is>
          <t>INTG</t>
        </is>
      </c>
      <c r="D30" s="10" t="inlineStr">
        <is>
          <t>Intergroup Corporation (The)</t>
        </is>
      </c>
      <c r="E30" s="10" t="inlineStr">
        <is>
          <t>房地產</t>
        </is>
      </c>
      <c r="F30" s="12" t="n">
        <v>0.79</v>
      </c>
      <c r="G30" s="13" t="n">
        <v>36.87</v>
      </c>
      <c r="H30" s="13" t="n">
        <v>37.15</v>
      </c>
      <c r="I30" s="14">
        <f>G30/H30-1</f>
        <v/>
      </c>
      <c r="J30" s="15" t="n">
        <v>60.3</v>
      </c>
      <c r="K30" s="15">
        <f>89.7950</f>
        <v/>
      </c>
      <c r="L30" s="15">
        <f>0.5*J30+0.5*K30</f>
        <v/>
      </c>
      <c r="M30" s="10" t="n">
        <v>32</v>
      </c>
    </row>
    <row r="31">
      <c r="A31" s="18" t="inlineStr">
        <is>
          <t>小型</t>
        </is>
      </c>
      <c r="B31" s="18" t="n">
        <v>6</v>
      </c>
      <c r="C31" s="19" t="inlineStr">
        <is>
          <t>REFI</t>
        </is>
      </c>
      <c r="D31" s="18" t="inlineStr">
        <is>
          <t>Chicago Atlantic Real Estate Finance Inc.</t>
        </is>
      </c>
      <c r="E31" s="18" t="inlineStr">
        <is>
          <t>房地產</t>
        </is>
      </c>
      <c r="F31" s="20" t="n">
        <v>2.86</v>
      </c>
      <c r="G31" s="21" t="n">
        <v>11.15</v>
      </c>
      <c r="H31" s="21" t="n">
        <v>10.88</v>
      </c>
      <c r="I31" s="22">
        <f>G31/H31-1</f>
        <v/>
      </c>
      <c r="J31" s="23" t="n">
        <v>62.7</v>
      </c>
      <c r="K31" s="23">
        <f>85.5050</f>
        <v/>
      </c>
      <c r="L31" s="23">
        <f>0.5*J31+0.5*K31</f>
        <v/>
      </c>
      <c r="M31" s="18" t="n">
        <v>33</v>
      </c>
    </row>
    <row r="32">
      <c r="A32" s="18" t="inlineStr">
        <is>
          <t>小型</t>
        </is>
      </c>
      <c r="B32" s="18" t="n">
        <v>7</v>
      </c>
      <c r="C32" s="19" t="inlineStr">
        <is>
          <t>BDSX</t>
        </is>
      </c>
      <c r="D32" s="18" t="inlineStr">
        <is>
          <t>Biodesix Inc.</t>
        </is>
      </c>
      <c r="E32" s="18" t="inlineStr">
        <is>
          <t>醫療保健</t>
        </is>
      </c>
      <c r="F32" s="20" t="n">
        <v>3.04</v>
      </c>
      <c r="G32" s="21" t="n">
        <v>28.81</v>
      </c>
      <c r="H32" s="21" t="n">
        <v>27.18</v>
      </c>
      <c r="I32" s="22">
        <f>G32/H32-1</f>
        <v/>
      </c>
      <c r="J32" s="23" t="n">
        <v>67.90000000000001</v>
      </c>
      <c r="K32" s="23">
        <f>76.7400</f>
        <v/>
      </c>
      <c r="L32" s="23">
        <f>0.5*J32+0.5*K32</f>
        <v/>
      </c>
      <c r="M32" s="18" t="n">
        <v>19</v>
      </c>
    </row>
    <row r="33">
      <c r="A33" s="18" t="inlineStr">
        <is>
          <t>小型</t>
        </is>
      </c>
      <c r="B33" s="18" t="n">
        <v>8</v>
      </c>
      <c r="C33" s="19" t="inlineStr">
        <is>
          <t>MYGN</t>
        </is>
      </c>
      <c r="D33" s="18" t="inlineStr">
        <is>
          <t>Myriad Genetics Inc.</t>
        </is>
      </c>
      <c r="E33" s="18" t="inlineStr">
        <is>
          <t>醫療保健</t>
        </is>
      </c>
      <c r="F33" s="20" t="n">
        <v>3.96</v>
      </c>
      <c r="G33" s="21" t="n">
        <v>4.14</v>
      </c>
      <c r="H33" s="21" t="n">
        <v>3.52</v>
      </c>
      <c r="I33" s="22">
        <f>G33/H33-1</f>
        <v/>
      </c>
      <c r="J33" s="23" t="n">
        <v>59.3</v>
      </c>
      <c r="K33" s="23">
        <f>82.1150</f>
        <v/>
      </c>
      <c r="L33" s="23">
        <f>0.5*J33+0.5*K33</f>
        <v/>
      </c>
      <c r="M33" s="18" t="n">
        <v>24</v>
      </c>
    </row>
    <row r="34">
      <c r="A34" s="18" t="inlineStr">
        <is>
          <t>小型</t>
        </is>
      </c>
      <c r="B34" s="18" t="n">
        <v>9</v>
      </c>
      <c r="C34" s="19" t="inlineStr">
        <is>
          <t>NUTX</t>
        </is>
      </c>
      <c r="D34" s="18" t="inlineStr">
        <is>
          <t>Nutex Health Inc.</t>
        </is>
      </c>
      <c r="E34" s="18" t="inlineStr">
        <is>
          <t>非必需消費</t>
        </is>
      </c>
      <c r="F34" s="20" t="n">
        <v>14.68</v>
      </c>
      <c r="G34" s="21" t="n">
        <v>214.32</v>
      </c>
      <c r="H34" s="21" t="n">
        <v>203.87</v>
      </c>
      <c r="I34" s="22">
        <f>G34/H34-1</f>
        <v/>
      </c>
      <c r="J34" s="23" t="n">
        <v>51.4</v>
      </c>
      <c r="K34" s="23">
        <f>87.5600</f>
        <v/>
      </c>
      <c r="L34" s="23">
        <f>0.5*J34+0.5*K34</f>
        <v/>
      </c>
      <c r="M34" s="18" t="n">
        <v>27</v>
      </c>
    </row>
    <row r="35">
      <c r="A35" s="18" t="inlineStr">
        <is>
          <t>小型</t>
        </is>
      </c>
      <c r="B35" s="18" t="n">
        <v>10</v>
      </c>
      <c r="C35" s="19" t="inlineStr">
        <is>
          <t>FBLA</t>
        </is>
      </c>
      <c r="D35" s="18" t="inlineStr">
        <is>
          <t>FB Bancorp Inc.</t>
        </is>
      </c>
      <c r="E35" s="18" t="inlineStr">
        <is>
          <t>金融</t>
        </is>
      </c>
      <c r="F35" s="20" t="n">
        <v>2.57</v>
      </c>
      <c r="G35" s="21" t="n">
        <v>16.09</v>
      </c>
      <c r="H35" s="21" t="n">
        <v>15.98</v>
      </c>
      <c r="I35" s="22">
        <f>G35/H35-1</f>
        <v/>
      </c>
      <c r="J35" s="23" t="n">
        <v>54.1</v>
      </c>
      <c r="K35" s="23">
        <f>80.2750</f>
        <v/>
      </c>
      <c r="L35" s="23">
        <f>0.5*J35+0.5*K35</f>
        <v/>
      </c>
      <c r="M35" s="18" t="n">
        <v>16</v>
      </c>
    </row>
    <row r="36">
      <c r="A36" s="18" t="inlineStr">
        <is>
          <t>小型</t>
        </is>
      </c>
      <c r="B36" s="18" t="n">
        <v>11</v>
      </c>
      <c r="C36" s="19" t="inlineStr">
        <is>
          <t>PD</t>
        </is>
      </c>
      <c r="D36" s="18" t="inlineStr">
        <is>
          <t>PagerDuty Inc.</t>
        </is>
      </c>
      <c r="E36" s="18" t="inlineStr">
        <is>
          <t>科技</t>
        </is>
      </c>
      <c r="F36" s="20" t="n">
        <v>11.36</v>
      </c>
      <c r="G36" s="21" t="n">
        <v>14.44</v>
      </c>
      <c r="H36" s="21" t="n">
        <v>14.07</v>
      </c>
      <c r="I36" s="22">
        <f>G36/H36-1</f>
        <v/>
      </c>
      <c r="J36" s="23" t="n">
        <v>45.8</v>
      </c>
      <c r="K36" s="23">
        <f>88.4800</f>
        <v/>
      </c>
      <c r="L36" s="23">
        <f>0.5*J36+0.5*K36</f>
        <v/>
      </c>
      <c r="M36" s="18" t="n">
        <v>17</v>
      </c>
    </row>
    <row r="37">
      <c r="A37" s="18" t="inlineStr">
        <is>
          <t>小型</t>
        </is>
      </c>
      <c r="B37" s="18" t="n">
        <v>12</v>
      </c>
      <c r="C37" s="19" t="inlineStr">
        <is>
          <t>AMPH</t>
        </is>
      </c>
      <c r="D37" s="18" t="inlineStr">
        <is>
          <t>Amphastar Pharmaceuticals Inc.</t>
        </is>
      </c>
      <c r="E37" s="18" t="inlineStr">
        <is>
          <t>醫療保健</t>
        </is>
      </c>
      <c r="F37" s="20" t="n">
        <v>10.13</v>
      </c>
      <c r="G37" s="21" t="n">
        <v>23.82</v>
      </c>
      <c r="H37" s="21" t="n">
        <v>23.56</v>
      </c>
      <c r="I37" s="22">
        <f>G37/H37-1</f>
        <v/>
      </c>
      <c r="J37" s="23" t="n">
        <v>55.4</v>
      </c>
      <c r="K37" s="23">
        <f>77.2650</f>
        <v/>
      </c>
      <c r="L37" s="23">
        <f>0.5*J37+0.5*K37</f>
        <v/>
      </c>
      <c r="M37" s="18" t="n">
        <v>18</v>
      </c>
    </row>
    <row r="38">
      <c r="A38" s="10" t="inlineStr">
        <is>
          <t>小型</t>
        </is>
      </c>
      <c r="B38" s="10" t="n">
        <v>13</v>
      </c>
      <c r="C38" s="11" t="inlineStr">
        <is>
          <t>FPI</t>
        </is>
      </c>
      <c r="D38" s="10" t="inlineStr">
        <is>
          <t>Farmland Partners Inc.</t>
        </is>
      </c>
      <c r="E38" s="10" t="inlineStr">
        <is>
          <t>房地產</t>
        </is>
      </c>
      <c r="F38" s="12" t="n">
        <v>4.78</v>
      </c>
      <c r="G38" s="13" t="n">
        <v>10.95</v>
      </c>
      <c r="H38" s="13" t="n">
        <v>10.73</v>
      </c>
      <c r="I38" s="14">
        <f>G38/H38-1</f>
        <v/>
      </c>
      <c r="J38" s="15" t="n">
        <v>51.7</v>
      </c>
      <c r="K38" s="15">
        <f>77.6950</f>
        <v/>
      </c>
      <c r="L38" s="15">
        <f>0.5*J38+0.5*K38</f>
        <v/>
      </c>
      <c r="M38" s="10" t="n">
        <v>23</v>
      </c>
    </row>
    <row r="39">
      <c r="A39" s="18" t="inlineStr">
        <is>
          <t>小型</t>
        </is>
      </c>
      <c r="B39" s="18" t="n">
        <v>14</v>
      </c>
      <c r="C39" s="19" t="inlineStr">
        <is>
          <t>NAKA</t>
        </is>
      </c>
      <c r="D39" s="18" t="inlineStr">
        <is>
          <t>Nakamoto Inc.</t>
        </is>
      </c>
      <c r="E39" s="18" t="inlineStr">
        <is>
          <t>醫療保健</t>
        </is>
      </c>
      <c r="F39" s="20" t="n">
        <v>1.52</v>
      </c>
      <c r="G39" s="21" t="n">
        <v>8.5</v>
      </c>
      <c r="H39" s="21" t="n">
        <v>8.1</v>
      </c>
      <c r="I39" s="22">
        <f>G39/H39-1</f>
        <v/>
      </c>
      <c r="J39" s="23" t="n">
        <v>44.2</v>
      </c>
      <c r="K39" s="23">
        <f>79.9850</f>
        <v/>
      </c>
      <c r="L39" s="23">
        <f>0.5*J39+0.5*K39</f>
        <v/>
      </c>
      <c r="M39" s="18" t="n">
        <v>40</v>
      </c>
    </row>
    <row r="40">
      <c r="A40" s="18" t="inlineStr">
        <is>
          <t>小型</t>
        </is>
      </c>
      <c r="B40" s="18" t="n">
        <v>15</v>
      </c>
      <c r="C40" s="19" t="inlineStr">
        <is>
          <t>SGP</t>
        </is>
      </c>
      <c r="D40" s="18" t="inlineStr">
        <is>
          <t>SpyGlass Pharma Inc.</t>
        </is>
      </c>
      <c r="E40" s="18" t="inlineStr">
        <is>
          <t>醫療保健</t>
        </is>
      </c>
      <c r="F40" s="20" t="n">
        <v>9.81</v>
      </c>
      <c r="G40" s="21" t="n">
        <v>29.33</v>
      </c>
      <c r="H40" s="21" t="n">
        <v>28.47</v>
      </c>
      <c r="I40" s="22">
        <f>G40/H40-1</f>
        <v/>
      </c>
      <c r="J40" s="23" t="n">
        <v>38.4</v>
      </c>
      <c r="K40" s="23">
        <f>83.7050</f>
        <v/>
      </c>
      <c r="L40" s="23">
        <f>0.5*J40+0.5*K40</f>
        <v/>
      </c>
      <c r="M40" s="18" t="n">
        <v>42</v>
      </c>
    </row>
    <row r="41">
      <c r="A41" s="10" t="inlineStr">
        <is>
          <t>小型</t>
        </is>
      </c>
      <c r="B41" s="10" t="n">
        <v>16</v>
      </c>
      <c r="C41" s="11" t="inlineStr">
        <is>
          <t>NATH</t>
        </is>
      </c>
      <c r="D41" s="10" t="inlineStr">
        <is>
          <t>Nathan's Famous Inc.</t>
        </is>
      </c>
      <c r="E41" s="10" t="inlineStr">
        <is>
          <t>非必需消費</t>
        </is>
      </c>
      <c r="F41" s="12" t="n">
        <v>4.01</v>
      </c>
      <c r="G41" s="13" t="n">
        <v>97.94</v>
      </c>
      <c r="H41" s="13" t="n">
        <v>98.15000000000001</v>
      </c>
      <c r="I41" s="14">
        <f>G41/H41-1</f>
        <v/>
      </c>
      <c r="J41" s="15" t="n">
        <v>64</v>
      </c>
      <c r="K41" s="15">
        <f>56.3000</f>
        <v/>
      </c>
      <c r="L41" s="15">
        <f>0.5*J41+0.5*K41</f>
        <v/>
      </c>
      <c r="M41" s="10" t="n">
        <v>56</v>
      </c>
    </row>
    <row r="42">
      <c r="A42" s="18" t="inlineStr">
        <is>
          <t>小型</t>
        </is>
      </c>
      <c r="B42" s="18" t="n">
        <v>17</v>
      </c>
      <c r="C42" s="19" t="inlineStr">
        <is>
          <t>REPX</t>
        </is>
      </c>
      <c r="D42" s="18" t="inlineStr">
        <is>
          <t>Riley Exploration Permian Inc.</t>
        </is>
      </c>
      <c r="E42" s="18" t="inlineStr">
        <is>
          <t>能源</t>
        </is>
      </c>
      <c r="F42" s="20" t="n">
        <v>9.59</v>
      </c>
      <c r="G42" s="21" t="n">
        <v>43.31</v>
      </c>
      <c r="H42" s="21" t="n">
        <v>43.12</v>
      </c>
      <c r="I42" s="22">
        <f>G42/H42-1</f>
        <v/>
      </c>
      <c r="J42" s="23" t="n">
        <v>26.3</v>
      </c>
      <c r="K42" s="23">
        <f>85.6050</f>
        <v/>
      </c>
      <c r="L42" s="23">
        <f>0.5*J42+0.5*K42</f>
        <v/>
      </c>
      <c r="M42" s="18" t="n">
        <v>51</v>
      </c>
    </row>
    <row r="43">
      <c r="A43" s="10" t="inlineStr">
        <is>
          <t>小型</t>
        </is>
      </c>
      <c r="B43" s="10" t="n">
        <v>18</v>
      </c>
      <c r="C43" s="11" t="inlineStr">
        <is>
          <t>XHLD</t>
        </is>
      </c>
      <c r="D43" s="10" t="inlineStr">
        <is>
          <t>TEN Holdings Inc.</t>
        </is>
      </c>
      <c r="E43" s="10" t="inlineStr">
        <is>
          <t>非必需消費</t>
        </is>
      </c>
      <c r="F43" s="12" t="n">
        <v>1.16</v>
      </c>
      <c r="G43" s="13" t="n">
        <v>9.720000000000001</v>
      </c>
      <c r="H43" s="13" t="n">
        <v>9.949999999999999</v>
      </c>
      <c r="I43" s="14">
        <f>G43/H43-1</f>
        <v/>
      </c>
      <c r="J43" s="15" t="n">
        <v>68.8</v>
      </c>
      <c r="K43" s="15">
        <f>41.4150</f>
        <v/>
      </c>
      <c r="L43" s="15">
        <f>0.5*J43+0.5*K43</f>
        <v/>
      </c>
      <c r="M43" s="10" t="n">
        <v>53</v>
      </c>
    </row>
    <row r="44">
      <c r="A44" s="10" t="inlineStr">
        <is>
          <t>小型</t>
        </is>
      </c>
      <c r="B44" s="10" t="n">
        <v>19</v>
      </c>
      <c r="C44" s="11" t="inlineStr">
        <is>
          <t>HYPD</t>
        </is>
      </c>
      <c r="D44" s="10" t="inlineStr">
        <is>
          <t>Hyperion DeFi Inc.</t>
        </is>
      </c>
      <c r="E44" s="10" t="inlineStr">
        <is>
          <t>醫療保健</t>
        </is>
      </c>
      <c r="F44" s="12" t="n">
        <v>0.54</v>
      </c>
      <c r="G44" s="13" t="n">
        <v>3.47</v>
      </c>
      <c r="H44" s="13" t="n">
        <v>3.46</v>
      </c>
      <c r="I44" s="14">
        <f>G44/H44-1</f>
        <v/>
      </c>
      <c r="J44" s="15" t="n">
        <v>22.9</v>
      </c>
      <c r="K44" s="15">
        <f>85.9300</f>
        <v/>
      </c>
      <c r="L44" s="15">
        <f>0.5*J44+0.5*K44</f>
        <v/>
      </c>
      <c r="M44" s="10" t="n">
        <v>66</v>
      </c>
    </row>
    <row r="45">
      <c r="A45" s="18" t="inlineStr">
        <is>
          <t>小型</t>
        </is>
      </c>
      <c r="B45" s="18" t="n">
        <v>20</v>
      </c>
      <c r="C45" s="19" t="inlineStr">
        <is>
          <t>AESI</t>
        </is>
      </c>
      <c r="D45" s="18" t="inlineStr">
        <is>
          <t>Atlas Energy Solutions Inc.</t>
        </is>
      </c>
      <c r="E45" s="18" t="inlineStr">
        <is>
          <t>工業</t>
        </is>
      </c>
      <c r="F45" s="20" t="n">
        <v>16.78</v>
      </c>
      <c r="G45" s="21" t="n">
        <v>13.42</v>
      </c>
      <c r="H45" s="21" t="n">
        <v>13.7</v>
      </c>
      <c r="I45" s="22">
        <f>G45/H45-1</f>
        <v/>
      </c>
      <c r="J45" s="23" t="n">
        <v>49.7</v>
      </c>
      <c r="K45" s="23">
        <f>47.0250</f>
        <v/>
      </c>
      <c r="L45" s="23">
        <f>0.5*J45+0.5*K45</f>
        <v/>
      </c>
      <c r="M45" s="18" t="n">
        <v>75</v>
      </c>
    </row>
    <row r="46">
      <c r="A46" s="10" t="inlineStr">
        <is>
          <t>小型</t>
        </is>
      </c>
      <c r="B46" s="10" t="n">
        <v>21</v>
      </c>
      <c r="C46" s="11" t="inlineStr">
        <is>
          <t>ABTC</t>
        </is>
      </c>
      <c r="D46" s="10" t="inlineStr">
        <is>
          <t>American Bitcoin Corp. Class A</t>
        </is>
      </c>
      <c r="E46" s="10" t="inlineStr">
        <is>
          <t>金融</t>
        </is>
      </c>
      <c r="F46" s="12" t="n">
        <v>6.43</v>
      </c>
      <c r="G46" s="13" t="n">
        <v>8.83</v>
      </c>
      <c r="H46" s="13" t="n">
        <v>8.380000000000001</v>
      </c>
      <c r="I46" s="14">
        <f>G46/H46-1</f>
        <v/>
      </c>
      <c r="J46" s="15" t="n">
        <v>19.4</v>
      </c>
      <c r="K46" s="15">
        <f>72.4250</f>
        <v/>
      </c>
      <c r="L46" s="15">
        <f>0.5*J46+0.5*K46</f>
        <v/>
      </c>
      <c r="M46" s="10" t="n">
        <v>82</v>
      </c>
    </row>
    <row r="47">
      <c r="A47" s="10" t="inlineStr">
        <is>
          <t>小型</t>
        </is>
      </c>
      <c r="B47" s="10" t="n">
        <v>22</v>
      </c>
      <c r="C47" s="11" t="inlineStr">
        <is>
          <t>OBIO</t>
        </is>
      </c>
      <c r="D47" s="10" t="inlineStr">
        <is>
          <t>Orchestra BioMed Holdings Inc.</t>
        </is>
      </c>
      <c r="E47" s="10" t="inlineStr">
        <is>
          <t>醫療保健</t>
        </is>
      </c>
      <c r="F47" s="12" t="n">
        <v>3.47</v>
      </c>
      <c r="G47" s="13" t="n">
        <v>5.78</v>
      </c>
      <c r="H47" s="13" t="n">
        <v>5.64</v>
      </c>
      <c r="I47" s="14">
        <f>G47/H47-1</f>
        <v/>
      </c>
      <c r="J47" s="15" t="n">
        <v>12</v>
      </c>
      <c r="K47" s="15">
        <f>79.7800</f>
        <v/>
      </c>
      <c r="L47" s="15">
        <f>0.5*J47+0.5*K47</f>
        <v/>
      </c>
      <c r="M47" s="10" t="n">
        <v>68</v>
      </c>
    </row>
    <row r="48">
      <c r="A48" s="10" t="inlineStr">
        <is>
          <t>小型</t>
        </is>
      </c>
      <c r="B48" s="10" t="n">
        <v>23</v>
      </c>
      <c r="C48" s="11" t="inlineStr">
        <is>
          <t>OESX</t>
        </is>
      </c>
      <c r="D48" s="10" t="inlineStr">
        <is>
          <t>Orion Energy Systems Inc.</t>
        </is>
      </c>
      <c r="E48" s="10" t="inlineStr">
        <is>
          <t>非必需消費</t>
        </is>
      </c>
      <c r="F48" s="12" t="n">
        <v>1.1</v>
      </c>
      <c r="G48" s="13" t="n">
        <v>26.99</v>
      </c>
      <c r="H48" s="13" t="n">
        <v>26.91</v>
      </c>
      <c r="I48" s="14">
        <f>G48/H48-1</f>
        <v/>
      </c>
      <c r="J48" s="15" t="n">
        <v>38.4</v>
      </c>
      <c r="K48" s="15">
        <f>48.9100</f>
        <v/>
      </c>
      <c r="L48" s="15">
        <f>0.5*J48+0.5*K48</f>
        <v/>
      </c>
      <c r="M48" s="10" t="n">
        <v>72</v>
      </c>
    </row>
    <row r="49">
      <c r="A49" s="18" t="inlineStr">
        <is>
          <t>小型</t>
        </is>
      </c>
      <c r="B49" s="18" t="n">
        <v>24</v>
      </c>
      <c r="C49" s="19" t="inlineStr">
        <is>
          <t>CYPH</t>
        </is>
      </c>
      <c r="D49" s="18" t="inlineStr">
        <is>
          <t>Cypherpunk Technologies Inc.</t>
        </is>
      </c>
      <c r="E49" s="18" t="inlineStr">
        <is>
          <t>醫療保健</t>
        </is>
      </c>
      <c r="F49" s="20" t="n">
        <v>3.31</v>
      </c>
      <c r="G49" s="21" t="n">
        <v>3.07</v>
      </c>
      <c r="H49" s="21" t="n">
        <v>2.45</v>
      </c>
      <c r="I49" s="22">
        <f>G49/H49-1</f>
        <v/>
      </c>
      <c r="J49" s="23" t="n">
        <v>2.7</v>
      </c>
      <c r="K49" s="23">
        <f>81.4850</f>
        <v/>
      </c>
      <c r="L49" s="23">
        <f>0.5*J49+0.5*K49</f>
        <v/>
      </c>
      <c r="M49" s="18" t="n">
        <v>76</v>
      </c>
    </row>
    <row r="50">
      <c r="A50" s="18" t="inlineStr">
        <is>
          <t>小型</t>
        </is>
      </c>
      <c r="B50" s="18" t="n">
        <v>25</v>
      </c>
      <c r="C50" s="19" t="inlineStr">
        <is>
          <t>NKTX</t>
        </is>
      </c>
      <c r="D50" s="18" t="inlineStr">
        <is>
          <t>Nkarta Inc.</t>
        </is>
      </c>
      <c r="E50" s="18" t="inlineStr">
        <is>
          <t>醫療保健</t>
        </is>
      </c>
      <c r="F50" s="20" t="n">
        <v>2.01</v>
      </c>
      <c r="G50" s="21" t="n">
        <v>2.81</v>
      </c>
      <c r="H50" s="21" t="n">
        <v>2.91</v>
      </c>
      <c r="I50" s="22">
        <f>G50/H50-1</f>
        <v/>
      </c>
      <c r="J50" s="23" t="n">
        <v>19.5</v>
      </c>
      <c r="K50" s="23">
        <f>40.1950</f>
        <v/>
      </c>
      <c r="L50" s="23">
        <f>0.5*J50+0.5*K50</f>
        <v/>
      </c>
      <c r="M50" s="18" t="n">
        <v>89</v>
      </c>
    </row>
    <row r="52">
      <c r="A52" s="31" t="inlineStr">
        <is>
          <t>1個月 · 10MA vs 21日：MA(今日) &gt; MA(4 個交易日前) 嘅比較窗口見標題；另需最後 3 個 MA 值逐個遞升（兩次上升）同期內 ≥70% 日子上升。每個市值組各取 top 50。</t>
        </is>
      </c>
    </row>
  </sheetData>
  <autoFilter ref="A1:M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30" customWidth="1" min="4" max="4"/>
    <col width="11" customWidth="1" min="5" max="5"/>
    <col width="12" customWidth="1" min="6" max="6"/>
    <col width="11" customWidth="1" min="7" max="7"/>
    <col width="11" customWidth="1" min="8" max="8"/>
    <col width="10" customWidth="1" min="9" max="9"/>
    <col width="7" customWidth="1" min="10" max="10"/>
    <col width="8" customWidth="1" min="11" max="11"/>
    <col width="9" customWidth="1" min="12" max="12"/>
    <col width="9" customWidth="1" min="13" max="13"/>
  </cols>
  <sheetData>
    <row r="1" ht="30" customHeight="1">
      <c r="A1" s="1" t="inlineStr">
        <is>
          <t>市值組</t>
        </is>
      </c>
      <c r="B1" s="1" t="inlineStr">
        <is>
          <t>組內排名</t>
        </is>
      </c>
      <c r="C1" s="1" t="inlineStr">
        <is>
          <t>代號</t>
        </is>
      </c>
      <c r="D1" s="1" t="inlineStr">
        <is>
          <t>公司</t>
        </is>
      </c>
      <c r="E1" s="1" t="inlineStr">
        <is>
          <t>板塊</t>
        </is>
      </c>
      <c r="F1" s="1" t="inlineStr">
        <is>
          <t>市值(億美元)</t>
        </is>
      </c>
      <c r="G1" s="1" t="inlineStr">
        <is>
          <t>收市價</t>
        </is>
      </c>
      <c r="H1" s="1" t="inlineStr">
        <is>
          <t>MA10</t>
        </is>
      </c>
      <c r="I1" s="1" t="inlineStr">
        <is>
          <t>距MA10%</t>
        </is>
      </c>
      <c r="J1" s="1" t="inlineStr">
        <is>
          <t>VCP</t>
        </is>
      </c>
      <c r="K1" s="1" t="inlineStr">
        <is>
          <t>確定性</t>
        </is>
      </c>
      <c r="L1" s="1" t="inlineStr">
        <is>
          <t>綜合分數</t>
        </is>
      </c>
      <c r="M1" s="1" t="inlineStr">
        <is>
          <t>總表排名</t>
        </is>
      </c>
    </row>
    <row r="2">
      <c r="A2" s="10" t="inlineStr">
        <is>
          <t>大型</t>
        </is>
      </c>
      <c r="B2" s="10" t="n">
        <v>1</v>
      </c>
      <c r="C2" s="11" t="inlineStr">
        <is>
          <t>HALO</t>
        </is>
      </c>
      <c r="D2" s="10" t="inlineStr">
        <is>
          <t>Halozyme Therapeutics Inc.</t>
        </is>
      </c>
      <c r="E2" s="10" t="inlineStr">
        <is>
          <t>醫療保健</t>
        </is>
      </c>
      <c r="F2" s="12" t="n">
        <v>124.48</v>
      </c>
      <c r="G2" s="13" t="n">
        <v>109.68</v>
      </c>
      <c r="H2" s="13" t="n">
        <v>108.32</v>
      </c>
      <c r="I2" s="14">
        <f>G2/H2-1</f>
        <v/>
      </c>
      <c r="J2" s="15" t="n">
        <v>85.3</v>
      </c>
      <c r="K2" s="15">
        <f>79.4050</f>
        <v/>
      </c>
      <c r="L2" s="15">
        <f>0.5*J2+0.5*K2</f>
        <v/>
      </c>
      <c r="M2" s="10" t="n">
        <v>14</v>
      </c>
    </row>
    <row r="3">
      <c r="A3" s="18" t="inlineStr">
        <is>
          <t>大型</t>
        </is>
      </c>
      <c r="B3" s="18" t="n">
        <v>2</v>
      </c>
      <c r="C3" s="19" t="inlineStr">
        <is>
          <t>AVTR</t>
        </is>
      </c>
      <c r="D3" s="18" t="inlineStr">
        <is>
          <t>Avantor Inc.</t>
        </is>
      </c>
      <c r="E3" s="18" t="inlineStr">
        <is>
          <t>工業</t>
        </is>
      </c>
      <c r="F3" s="20" t="n">
        <v>107.27</v>
      </c>
      <c r="G3" s="21" t="n">
        <v>15.86</v>
      </c>
      <c r="H3" s="21" t="n">
        <v>15.21</v>
      </c>
      <c r="I3" s="22">
        <f>G3/H3-1</f>
        <v/>
      </c>
      <c r="J3" s="23" t="n">
        <v>72.5</v>
      </c>
      <c r="K3" s="23">
        <f>83.3700</f>
        <v/>
      </c>
      <c r="L3" s="23">
        <f>0.5*J3+0.5*K3</f>
        <v/>
      </c>
      <c r="M3" s="18" t="n">
        <v>6</v>
      </c>
    </row>
    <row r="4">
      <c r="A4" s="18" t="inlineStr">
        <is>
          <t>大型</t>
        </is>
      </c>
      <c r="B4" s="18" t="n">
        <v>3</v>
      </c>
      <c r="C4" s="19" t="inlineStr">
        <is>
          <t>NUE</t>
        </is>
      </c>
      <c r="D4" s="18" t="inlineStr">
        <is>
          <t>Nucor Corporation</t>
        </is>
      </c>
      <c r="E4" s="18" t="inlineStr">
        <is>
          <t>原材料</t>
        </is>
      </c>
      <c r="F4" s="20" t="n">
        <v>601.54</v>
      </c>
      <c r="G4" s="21" t="n">
        <v>265.14</v>
      </c>
      <c r="H4" s="21" t="n">
        <v>259.2</v>
      </c>
      <c r="I4" s="22">
        <f>G4/H4-1</f>
        <v/>
      </c>
      <c r="J4" s="23" t="n">
        <v>86.09999999999999</v>
      </c>
      <c r="K4" s="23">
        <f>69.7550</f>
        <v/>
      </c>
      <c r="L4" s="23">
        <f>0.5*J4+0.5*K4</f>
        <v/>
      </c>
      <c r="M4" s="18" t="n">
        <v>21</v>
      </c>
    </row>
    <row r="5">
      <c r="A5" s="10" t="inlineStr">
        <is>
          <t>大型</t>
        </is>
      </c>
      <c r="B5" s="10" t="n">
        <v>4</v>
      </c>
      <c r="C5" s="11" t="inlineStr">
        <is>
          <t>CLH</t>
        </is>
      </c>
      <c r="D5" s="10" t="inlineStr">
        <is>
          <t>Clean Harbors Inc.</t>
        </is>
      </c>
      <c r="E5" s="10" t="inlineStr">
        <is>
          <t>工業</t>
        </is>
      </c>
      <c r="F5" s="12" t="n">
        <v>166.57</v>
      </c>
      <c r="G5" s="13" t="n">
        <v>315.55</v>
      </c>
      <c r="H5" s="13" t="n">
        <v>318.8</v>
      </c>
      <c r="I5" s="14">
        <f>G5/H5-1</f>
        <v/>
      </c>
      <c r="J5" s="15" t="n">
        <v>85.59999999999999</v>
      </c>
      <c r="K5" s="15">
        <f>65.2800</f>
        <v/>
      </c>
      <c r="L5" s="15">
        <f>0.5*J5+0.5*K5</f>
        <v/>
      </c>
      <c r="M5" s="10" t="n">
        <v>29</v>
      </c>
    </row>
    <row r="6">
      <c r="A6" s="18" t="inlineStr">
        <is>
          <t>大型</t>
        </is>
      </c>
      <c r="B6" s="18" t="n">
        <v>5</v>
      </c>
      <c r="C6" s="19" t="inlineStr">
        <is>
          <t>EXPD</t>
        </is>
      </c>
      <c r="D6" s="18" t="inlineStr">
        <is>
          <t>Expeditors International of Washington Inc.</t>
        </is>
      </c>
      <c r="E6" s="18" t="inlineStr">
        <is>
          <t>工業</t>
        </is>
      </c>
      <c r="F6" s="20" t="n">
        <v>245.79</v>
      </c>
      <c r="G6" s="21" t="n">
        <v>189.08</v>
      </c>
      <c r="H6" s="21" t="n">
        <v>189.78</v>
      </c>
      <c r="I6" s="22">
        <f>G6/H6-1</f>
        <v/>
      </c>
      <c r="J6" s="23" t="n">
        <v>66.5</v>
      </c>
      <c r="K6" s="23">
        <f>66.1600</f>
        <v/>
      </c>
      <c r="L6" s="23">
        <f>0.5*J6+0.5*K6</f>
        <v/>
      </c>
      <c r="M6" s="18" t="n">
        <v>35</v>
      </c>
    </row>
    <row r="7">
      <c r="A7" s="10" t="inlineStr">
        <is>
          <t>大型</t>
        </is>
      </c>
      <c r="B7" s="10" t="n">
        <v>6</v>
      </c>
      <c r="C7" s="11" t="inlineStr">
        <is>
          <t>SMCI</t>
        </is>
      </c>
      <c r="D7" s="10" t="inlineStr">
        <is>
          <t>Super Micro Computer Inc.</t>
        </is>
      </c>
      <c r="E7" s="10" t="inlineStr">
        <is>
          <t>科技</t>
        </is>
      </c>
      <c r="F7" s="12" t="n">
        <v>265.09</v>
      </c>
      <c r="G7" s="13" t="n">
        <v>40.35</v>
      </c>
      <c r="H7" s="13" t="n">
        <v>38.37</v>
      </c>
      <c r="I7" s="14">
        <f>G7/H7-1</f>
        <v/>
      </c>
      <c r="J7" s="15" t="n">
        <v>47.2</v>
      </c>
      <c r="K7" s="15">
        <f>83.6750</f>
        <v/>
      </c>
      <c r="L7" s="15">
        <f>0.5*J7+0.5*K7</f>
        <v/>
      </c>
      <c r="M7" s="10" t="n">
        <v>46</v>
      </c>
    </row>
    <row r="8">
      <c r="A8" s="18" t="inlineStr">
        <is>
          <t>大型</t>
        </is>
      </c>
      <c r="B8" s="18" t="n">
        <v>7</v>
      </c>
      <c r="C8" s="19" t="inlineStr">
        <is>
          <t>DOCU</t>
        </is>
      </c>
      <c r="D8" s="18" t="inlineStr">
        <is>
          <t>DocuSign Inc.</t>
        </is>
      </c>
      <c r="E8" s="18" t="inlineStr">
        <is>
          <t>科技</t>
        </is>
      </c>
      <c r="F8" s="20" t="n">
        <v>132.03</v>
      </c>
      <c r="G8" s="21" t="n">
        <v>70.64</v>
      </c>
      <c r="H8" s="21" t="n">
        <v>67.8</v>
      </c>
      <c r="I8" s="22">
        <f>G8/H8-1</f>
        <v/>
      </c>
      <c r="J8" s="23" t="n">
        <v>40.6</v>
      </c>
      <c r="K8" s="23">
        <f>85.5500</f>
        <v/>
      </c>
      <c r="L8" s="23">
        <f>0.5*J8+0.5*K8</f>
        <v/>
      </c>
      <c r="M8" s="18" t="n">
        <v>28</v>
      </c>
    </row>
    <row r="9">
      <c r="A9" s="18" t="inlineStr">
        <is>
          <t>大型</t>
        </is>
      </c>
      <c r="B9" s="18" t="n">
        <v>8</v>
      </c>
      <c r="C9" s="19" t="inlineStr">
        <is>
          <t>TMO</t>
        </is>
      </c>
      <c r="D9" s="18" t="inlineStr">
        <is>
          <t>Thermo Fisher Scientific Inc</t>
        </is>
      </c>
      <c r="E9" s="18" t="inlineStr">
        <is>
          <t>醫療保健</t>
        </is>
      </c>
      <c r="F9" s="20" t="n">
        <v>2434.12</v>
      </c>
      <c r="G9" s="21" t="n">
        <v>658.3200000000001</v>
      </c>
      <c r="H9" s="21" t="n">
        <v>621.5700000000001</v>
      </c>
      <c r="I9" s="22">
        <f>G9/H9-1</f>
        <v/>
      </c>
      <c r="J9" s="23" t="n">
        <v>40</v>
      </c>
      <c r="K9" s="23">
        <f>85.1150</f>
        <v/>
      </c>
      <c r="L9" s="23">
        <f>0.5*J9+0.5*K9</f>
        <v/>
      </c>
      <c r="M9" s="18" t="n">
        <v>62</v>
      </c>
    </row>
    <row r="10">
      <c r="A10" s="18" t="inlineStr">
        <is>
          <t>大型</t>
        </is>
      </c>
      <c r="B10" s="18" t="n">
        <v>9</v>
      </c>
      <c r="C10" s="19" t="inlineStr">
        <is>
          <t>COKE</t>
        </is>
      </c>
      <c r="D10" s="18" t="inlineStr">
        <is>
          <t>Coca-Cola Consolidated Inc.</t>
        </is>
      </c>
      <c r="E10" s="18" t="inlineStr">
        <is>
          <t>必需消費</t>
        </is>
      </c>
      <c r="F10" s="20" t="n">
        <v>132.44</v>
      </c>
      <c r="G10" s="21" t="n">
        <v>198.97</v>
      </c>
      <c r="H10" s="21" t="n">
        <v>194.24</v>
      </c>
      <c r="I10" s="22">
        <f>G10/H10-1</f>
        <v/>
      </c>
      <c r="J10" s="23" t="n">
        <v>42.7</v>
      </c>
      <c r="K10" s="23">
        <f>75.7400</f>
        <v/>
      </c>
      <c r="L10" s="23">
        <f>0.5*J10+0.5*K10</f>
        <v/>
      </c>
      <c r="M10" s="18" t="n">
        <v>45</v>
      </c>
    </row>
    <row r="11">
      <c r="A11" s="18" t="inlineStr">
        <is>
          <t>大型</t>
        </is>
      </c>
      <c r="B11" s="18" t="n">
        <v>10</v>
      </c>
      <c r="C11" s="19" t="inlineStr">
        <is>
          <t>MDT</t>
        </is>
      </c>
      <c r="D11" s="18" t="inlineStr">
        <is>
          <t>Medtronic plc.</t>
        </is>
      </c>
      <c r="E11" s="18" t="inlineStr">
        <is>
          <t>醫療保健</t>
        </is>
      </c>
      <c r="F11" s="20" t="n">
        <v>1186.66</v>
      </c>
      <c r="G11" s="21" t="n">
        <v>92.77</v>
      </c>
      <c r="H11" s="21" t="n">
        <v>92.7</v>
      </c>
      <c r="I11" s="22">
        <f>G11/H11-1</f>
        <v/>
      </c>
      <c r="J11" s="23" t="n">
        <v>47.3</v>
      </c>
      <c r="K11" s="23">
        <f>54.8000</f>
        <v/>
      </c>
      <c r="L11" s="23">
        <f>0.5*J11+0.5*K11</f>
        <v/>
      </c>
      <c r="M11" s="18" t="n">
        <v>61</v>
      </c>
    </row>
    <row r="12">
      <c r="A12" s="18" t="inlineStr">
        <is>
          <t>大型</t>
        </is>
      </c>
      <c r="B12" s="18" t="n">
        <v>11</v>
      </c>
      <c r="C12" s="19" t="inlineStr">
        <is>
          <t>HPQ</t>
        </is>
      </c>
      <c r="D12" s="18" t="inlineStr">
        <is>
          <t>HP Inc.</t>
        </is>
      </c>
      <c r="E12" s="18" t="inlineStr">
        <is>
          <t>科技</t>
        </is>
      </c>
      <c r="F12" s="20" t="n">
        <v>312.56</v>
      </c>
      <c r="G12" s="21" t="n">
        <v>34.66</v>
      </c>
      <c r="H12" s="21" t="n">
        <v>33.15</v>
      </c>
      <c r="I12" s="22">
        <f>G12/H12-1</f>
        <v/>
      </c>
      <c r="J12" s="23" t="n">
        <v>22.9</v>
      </c>
      <c r="K12" s="23">
        <f>74.8000</f>
        <v/>
      </c>
      <c r="L12" s="23">
        <f>0.5*J12+0.5*K12</f>
        <v/>
      </c>
      <c r="M12" s="18" t="n">
        <v>55</v>
      </c>
    </row>
    <row r="13">
      <c r="A13" s="18" t="inlineStr">
        <is>
          <t>大型</t>
        </is>
      </c>
      <c r="B13" s="18" t="n">
        <v>12</v>
      </c>
      <c r="C13" s="19" t="inlineStr">
        <is>
          <t>SWKS</t>
        </is>
      </c>
      <c r="D13" s="18" t="inlineStr">
        <is>
          <t>Skyworks Solutions Inc.</t>
        </is>
      </c>
      <c r="E13" s="18" t="inlineStr">
        <is>
          <t>科技</t>
        </is>
      </c>
      <c r="F13" s="20" t="n">
        <v>137.41</v>
      </c>
      <c r="G13" s="21" t="n">
        <v>91.31999999999999</v>
      </c>
      <c r="H13" s="21" t="n">
        <v>81.59999999999999</v>
      </c>
      <c r="I13" s="22">
        <f>G13/H13-1</f>
        <v/>
      </c>
      <c r="J13" s="23" t="n">
        <v>5.1</v>
      </c>
      <c r="K13" s="23">
        <f>89.0400</f>
        <v/>
      </c>
      <c r="L13" s="23">
        <f>0.5*J13+0.5*K13</f>
        <v/>
      </c>
      <c r="M13" s="18" t="n">
        <v>67</v>
      </c>
    </row>
    <row r="14">
      <c r="A14" s="18" t="inlineStr">
        <is>
          <t>大型</t>
        </is>
      </c>
      <c r="B14" s="18" t="n">
        <v>13</v>
      </c>
      <c r="C14" s="19" t="inlineStr">
        <is>
          <t>QRVO</t>
        </is>
      </c>
      <c r="D14" s="18" t="inlineStr">
        <is>
          <t>Qorvo Inc.</t>
        </is>
      </c>
      <c r="E14" s="18" t="inlineStr">
        <is>
          <t>科技</t>
        </is>
      </c>
      <c r="F14" s="20" t="n">
        <v>105.43</v>
      </c>
      <c r="G14" s="21" t="n">
        <v>119.51</v>
      </c>
      <c r="H14" s="21" t="n">
        <v>110.11</v>
      </c>
      <c r="I14" s="22">
        <f>G14/H14-1</f>
        <v/>
      </c>
      <c r="J14" s="23" t="n">
        <v>7.8</v>
      </c>
      <c r="K14" s="23">
        <f>85.8100</f>
        <v/>
      </c>
      <c r="L14" s="23">
        <f>0.5*J14+0.5*K14</f>
        <v/>
      </c>
      <c r="M14" s="18" t="n">
        <v>57</v>
      </c>
    </row>
    <row r="15">
      <c r="A15" s="18" t="inlineStr">
        <is>
          <t>中型</t>
        </is>
      </c>
      <c r="B15" s="18" t="n">
        <v>1</v>
      </c>
      <c r="C15" s="19" t="inlineStr">
        <is>
          <t>ITGR</t>
        </is>
      </c>
      <c r="D15" s="18" t="inlineStr">
        <is>
          <t>Integer Holdings Corporation</t>
        </is>
      </c>
      <c r="E15" s="18" t="inlineStr">
        <is>
          <t>醫療保健</t>
        </is>
      </c>
      <c r="F15" s="20" t="n">
        <v>42.94</v>
      </c>
      <c r="G15" s="21" t="n">
        <v>126.33</v>
      </c>
      <c r="H15" s="21" t="n">
        <v>126.09</v>
      </c>
      <c r="I15" s="22">
        <f>G15/H15-1</f>
        <v/>
      </c>
      <c r="J15" s="23" t="n">
        <v>98.7</v>
      </c>
      <c r="K15" s="23">
        <f>89.6400</f>
        <v/>
      </c>
      <c r="L15" s="23">
        <f>0.5*J15+0.5*K15</f>
        <v/>
      </c>
      <c r="M15" s="18" t="n">
        <v>1</v>
      </c>
    </row>
    <row r="16">
      <c r="A16" s="18" t="inlineStr">
        <is>
          <t>中型</t>
        </is>
      </c>
      <c r="B16" s="18" t="n">
        <v>2</v>
      </c>
      <c r="C16" s="19" t="inlineStr">
        <is>
          <t>DV</t>
        </is>
      </c>
      <c r="D16" s="18" t="inlineStr">
        <is>
          <t>DoubleVerify Holdings Inc.</t>
        </is>
      </c>
      <c r="E16" s="18" t="inlineStr">
        <is>
          <t>科技</t>
        </is>
      </c>
      <c r="F16" s="20" t="n">
        <v>20.88</v>
      </c>
      <c r="G16" s="21" t="n">
        <v>13.47</v>
      </c>
      <c r="H16" s="21" t="n">
        <v>13.42</v>
      </c>
      <c r="I16" s="22">
        <f>G16/H16-1</f>
        <v/>
      </c>
      <c r="J16" s="23" t="n">
        <v>83.90000000000001</v>
      </c>
      <c r="K16" s="23">
        <f>88.6000</f>
        <v/>
      </c>
      <c r="L16" s="23">
        <f>0.5*J16+0.5*K16</f>
        <v/>
      </c>
      <c r="M16" s="18" t="n">
        <v>2</v>
      </c>
    </row>
    <row r="17">
      <c r="A17" s="18" t="inlineStr">
        <is>
          <t>中型</t>
        </is>
      </c>
      <c r="B17" s="18" t="n">
        <v>3</v>
      </c>
      <c r="C17" s="19" t="inlineStr">
        <is>
          <t>MKTX</t>
        </is>
      </c>
      <c r="D17" s="18" t="inlineStr">
        <is>
          <t>MarketAxess Holdings Inc.</t>
        </is>
      </c>
      <c r="E17" s="18" t="inlineStr">
        <is>
          <t>金融</t>
        </is>
      </c>
      <c r="F17" s="20" t="n">
        <v>57.48</v>
      </c>
      <c r="G17" s="21" t="n">
        <v>163.32</v>
      </c>
      <c r="H17" s="21" t="n">
        <v>163.25</v>
      </c>
      <c r="I17" s="22">
        <f>G17/H17-1</f>
        <v/>
      </c>
      <c r="J17" s="23" t="n">
        <v>98.8</v>
      </c>
      <c r="K17" s="23">
        <f>67.0100</f>
        <v/>
      </c>
      <c r="L17" s="23">
        <f>0.5*J17+0.5*K17</f>
        <v/>
      </c>
      <c r="M17" s="18" t="n">
        <v>13</v>
      </c>
    </row>
    <row r="18">
      <c r="A18" s="18" t="inlineStr">
        <is>
          <t>中型</t>
        </is>
      </c>
      <c r="B18" s="18" t="n">
        <v>4</v>
      </c>
      <c r="C18" s="19" t="inlineStr">
        <is>
          <t>CDNA</t>
        </is>
      </c>
      <c r="D18" s="18" t="inlineStr">
        <is>
          <t>CareDx Inc.</t>
        </is>
      </c>
      <c r="E18" s="18" t="inlineStr">
        <is>
          <t>醫療保健</t>
        </is>
      </c>
      <c r="F18" s="20" t="n">
        <v>28.08</v>
      </c>
      <c r="G18" s="21" t="n">
        <v>54.28</v>
      </c>
      <c r="H18" s="21" t="n">
        <v>51.42</v>
      </c>
      <c r="I18" s="22">
        <f>G18/H18-1</f>
        <v/>
      </c>
      <c r="J18" s="23" t="n">
        <v>77.09999999999999</v>
      </c>
      <c r="K18" s="23">
        <f>75.7300</f>
        <v/>
      </c>
      <c r="L18" s="23">
        <f>0.5*J18+0.5*K18</f>
        <v/>
      </c>
      <c r="M18" s="18" t="n">
        <v>7</v>
      </c>
    </row>
    <row r="19">
      <c r="A19" s="18" t="inlineStr">
        <is>
          <t>中型</t>
        </is>
      </c>
      <c r="B19" s="18" t="n">
        <v>5</v>
      </c>
      <c r="C19" s="19" t="inlineStr">
        <is>
          <t>IOVA</t>
        </is>
      </c>
      <c r="D19" s="18" t="inlineStr">
        <is>
          <t>Iovance Biotherapeutics Inc.</t>
        </is>
      </c>
      <c r="E19" s="18" t="inlineStr">
        <is>
          <t>醫療保健</t>
        </is>
      </c>
      <c r="F19" s="20" t="n">
        <v>45.39</v>
      </c>
      <c r="G19" s="21" t="n">
        <v>10.02</v>
      </c>
      <c r="H19" s="21" t="n">
        <v>8.99</v>
      </c>
      <c r="I19" s="22">
        <f>G19/H19-1</f>
        <v/>
      </c>
      <c r="J19" s="23" t="n">
        <v>58.6</v>
      </c>
      <c r="K19" s="23">
        <f>86.8500</f>
        <v/>
      </c>
      <c r="L19" s="23">
        <f>0.5*J19+0.5*K19</f>
        <v/>
      </c>
      <c r="M19" s="18" t="n">
        <v>10</v>
      </c>
    </row>
    <row r="20">
      <c r="A20" s="18" t="inlineStr">
        <is>
          <t>中型</t>
        </is>
      </c>
      <c r="B20" s="18" t="n">
        <v>6</v>
      </c>
      <c r="C20" s="19" t="inlineStr">
        <is>
          <t>SAIC</t>
        </is>
      </c>
      <c r="D20" s="18" t="inlineStr">
        <is>
          <t>Science Applications International Corporation</t>
        </is>
      </c>
      <c r="E20" s="18" t="inlineStr">
        <is>
          <t>科技</t>
        </is>
      </c>
      <c r="F20" s="20" t="n">
        <v>56</v>
      </c>
      <c r="G20" s="21" t="n">
        <v>133.65</v>
      </c>
      <c r="H20" s="21" t="n">
        <v>129.77</v>
      </c>
      <c r="I20" s="22">
        <f>G20/H20-1</f>
        <v/>
      </c>
      <c r="J20" s="23" t="n">
        <v>65.40000000000001</v>
      </c>
      <c r="K20" s="23">
        <f>79.5700</f>
        <v/>
      </c>
      <c r="L20" s="23">
        <f>0.5*J20+0.5*K20</f>
        <v/>
      </c>
      <c r="M20" s="18" t="n">
        <v>11</v>
      </c>
    </row>
    <row r="21">
      <c r="A21" s="10" t="inlineStr">
        <is>
          <t>中型</t>
        </is>
      </c>
      <c r="B21" s="10" t="n">
        <v>7</v>
      </c>
      <c r="C21" s="11" t="inlineStr">
        <is>
          <t>RNG</t>
        </is>
      </c>
      <c r="D21" s="10" t="inlineStr">
        <is>
          <t>RingCentral Inc. Class A</t>
        </is>
      </c>
      <c r="E21" s="10" t="inlineStr">
        <is>
          <t>科技</t>
        </is>
      </c>
      <c r="F21" s="12" t="n">
        <v>62.45</v>
      </c>
      <c r="G21" s="13" t="n">
        <v>74.78</v>
      </c>
      <c r="H21" s="13" t="n">
        <v>72.06</v>
      </c>
      <c r="I21" s="14">
        <f>G21/H21-1</f>
        <v/>
      </c>
      <c r="J21" s="15" t="n">
        <v>74.5</v>
      </c>
      <c r="K21" s="15">
        <f>64.9400</f>
        <v/>
      </c>
      <c r="L21" s="15">
        <f>0.5*J21+0.5*K21</f>
        <v/>
      </c>
      <c r="M21" s="10" t="n">
        <v>26</v>
      </c>
    </row>
    <row r="22">
      <c r="A22" s="18" t="inlineStr">
        <is>
          <t>中型</t>
        </is>
      </c>
      <c r="B22" s="18" t="n">
        <v>8</v>
      </c>
      <c r="C22" s="19" t="inlineStr">
        <is>
          <t>AUGO</t>
        </is>
      </c>
      <c r="D22" s="18" t="inlineStr">
        <is>
          <t>Aura Minerals Inc. Common Shares</t>
        </is>
      </c>
      <c r="E22" s="18" t="inlineStr">
        <is>
          <t>原材料</t>
        </is>
      </c>
      <c r="F22" s="20" t="n">
        <v>74.33</v>
      </c>
      <c r="G22" s="21" t="n">
        <v>88.70999999999999</v>
      </c>
      <c r="H22" s="21" t="n">
        <v>86.34999999999999</v>
      </c>
      <c r="I22" s="22">
        <f>G22/H22-1</f>
        <v/>
      </c>
      <c r="J22" s="23" t="n">
        <v>73.5</v>
      </c>
      <c r="K22" s="23">
        <f>64.8600</f>
        <v/>
      </c>
      <c r="L22" s="23">
        <f>0.5*J22+0.5*K22</f>
        <v/>
      </c>
      <c r="M22" s="18" t="n">
        <v>30</v>
      </c>
    </row>
    <row r="23">
      <c r="A23" s="18" t="inlineStr">
        <is>
          <t>中型</t>
        </is>
      </c>
      <c r="B23" s="18" t="n">
        <v>9</v>
      </c>
      <c r="C23" s="19" t="inlineStr">
        <is>
          <t>ATRC</t>
        </is>
      </c>
      <c r="D23" s="18" t="inlineStr">
        <is>
          <t>AtriCure Inc.</t>
        </is>
      </c>
      <c r="E23" s="18" t="inlineStr">
        <is>
          <t>醫療保健</t>
        </is>
      </c>
      <c r="F23" s="20" t="n">
        <v>30.07</v>
      </c>
      <c r="G23" s="21" t="n">
        <v>59.12</v>
      </c>
      <c r="H23" s="21" t="n">
        <v>54.65</v>
      </c>
      <c r="I23" s="22">
        <f>G23/H23-1</f>
        <v/>
      </c>
      <c r="J23" s="23" t="n">
        <v>35.6</v>
      </c>
      <c r="K23" s="23">
        <f>96.4200</f>
        <v/>
      </c>
      <c r="L23" s="23">
        <f>0.5*J23+0.5*K23</f>
        <v/>
      </c>
      <c r="M23" s="18" t="n">
        <v>20</v>
      </c>
    </row>
    <row r="24">
      <c r="A24" s="18" t="inlineStr">
        <is>
          <t>中型</t>
        </is>
      </c>
      <c r="B24" s="18" t="n">
        <v>10</v>
      </c>
      <c r="C24" s="19" t="inlineStr">
        <is>
          <t>INSP</t>
        </is>
      </c>
      <c r="D24" s="18" t="inlineStr">
        <is>
          <t>Inspire Medical Systems Inc.</t>
        </is>
      </c>
      <c r="E24" s="18" t="inlineStr">
        <is>
          <t>醫療保健</t>
        </is>
      </c>
      <c r="F24" s="20" t="n">
        <v>21.03</v>
      </c>
      <c r="G24" s="21" t="n">
        <v>72.73999999999999</v>
      </c>
      <c r="H24" s="21" t="n">
        <v>68.94</v>
      </c>
      <c r="I24" s="22">
        <f>G24/H24-1</f>
        <v/>
      </c>
      <c r="J24" s="23" t="n">
        <v>39.2</v>
      </c>
      <c r="K24" s="23">
        <f>90.4650</f>
        <v/>
      </c>
      <c r="L24" s="23">
        <f>0.5*J24+0.5*K24</f>
        <v/>
      </c>
      <c r="M24" s="18" t="n">
        <v>22</v>
      </c>
    </row>
    <row r="25">
      <c r="A25" s="18" t="inlineStr">
        <is>
          <t>中型</t>
        </is>
      </c>
      <c r="B25" s="18" t="n">
        <v>11</v>
      </c>
      <c r="C25" s="19" t="inlineStr">
        <is>
          <t>INSW</t>
        </is>
      </c>
      <c r="D25" s="18" t="inlineStr">
        <is>
          <t>International Seaways Inc.</t>
        </is>
      </c>
      <c r="E25" s="18" t="inlineStr">
        <is>
          <t>非必需消費</t>
        </is>
      </c>
      <c r="F25" s="20" t="n">
        <v>54.75</v>
      </c>
      <c r="G25" s="21" t="n">
        <v>110.53</v>
      </c>
      <c r="H25" s="21" t="n">
        <v>105.45</v>
      </c>
      <c r="I25" s="22">
        <f>G25/H25-1</f>
        <v/>
      </c>
      <c r="J25" s="23" t="n">
        <v>44.7</v>
      </c>
      <c r="K25" s="23">
        <f>77.2500</f>
        <v/>
      </c>
      <c r="L25" s="23">
        <f>0.5*J25+0.5*K25</f>
        <v/>
      </c>
      <c r="M25" s="18" t="n">
        <v>34</v>
      </c>
    </row>
    <row r="26">
      <c r="A26" s="10" t="inlineStr">
        <is>
          <t>中型</t>
        </is>
      </c>
      <c r="B26" s="10" t="n">
        <v>12</v>
      </c>
      <c r="C26" s="11" t="inlineStr">
        <is>
          <t>SLDE</t>
        </is>
      </c>
      <c r="D26" s="10" t="inlineStr">
        <is>
          <t>Slide Insurance Holdings Inc.</t>
        </is>
      </c>
      <c r="E26" s="10" t="inlineStr">
        <is>
          <t>金融</t>
        </is>
      </c>
      <c r="F26" s="12" t="n">
        <v>29.2</v>
      </c>
      <c r="G26" s="13" t="n">
        <v>25</v>
      </c>
      <c r="H26" s="13" t="n">
        <v>25.12</v>
      </c>
      <c r="I26" s="14">
        <f>G26/H26-1</f>
        <v/>
      </c>
      <c r="J26" s="15" t="n">
        <v>27.1</v>
      </c>
      <c r="K26" s="15">
        <f>84.5650</f>
        <v/>
      </c>
      <c r="L26" s="15">
        <f>0.5*J26+0.5*K26</f>
        <v/>
      </c>
      <c r="M26" s="10" t="n">
        <v>39</v>
      </c>
    </row>
    <row r="27">
      <c r="A27" s="18" t="inlineStr">
        <is>
          <t>中型</t>
        </is>
      </c>
      <c r="B27" s="18" t="n">
        <v>13</v>
      </c>
      <c r="C27" s="19" t="inlineStr">
        <is>
          <t>NSIT</t>
        </is>
      </c>
      <c r="D27" s="18" t="inlineStr">
        <is>
          <t>Insight Enterprises Inc.</t>
        </is>
      </c>
      <c r="E27" s="18" t="inlineStr">
        <is>
          <t>非必需消費</t>
        </is>
      </c>
      <c r="F27" s="20" t="n">
        <v>45.39</v>
      </c>
      <c r="G27" s="21" t="n">
        <v>154.65</v>
      </c>
      <c r="H27" s="21" t="n">
        <v>159.72</v>
      </c>
      <c r="I27" s="22">
        <f>G27/H27-1</f>
        <v/>
      </c>
      <c r="J27" s="23" t="n">
        <v>45.1</v>
      </c>
      <c r="K27" s="23">
        <f>51.3900</f>
        <v/>
      </c>
      <c r="L27" s="23">
        <f>0.5*J27+0.5*K27</f>
        <v/>
      </c>
      <c r="M27" s="18" t="n">
        <v>65</v>
      </c>
    </row>
    <row r="28">
      <c r="A28" s="18" t="inlineStr">
        <is>
          <t>小型</t>
        </is>
      </c>
      <c r="B28" s="18" t="n">
        <v>1</v>
      </c>
      <c r="C28" s="19" t="inlineStr">
        <is>
          <t>FMAO</t>
        </is>
      </c>
      <c r="D28" s="18" t="inlineStr">
        <is>
          <t>Farmers &amp; Merchants Bancorp Inc.</t>
        </is>
      </c>
      <c r="E28" s="18" t="inlineStr">
        <is>
          <t>金融</t>
        </is>
      </c>
      <c r="F28" s="20" t="n">
        <v>4.91</v>
      </c>
      <c r="G28" s="21" t="n">
        <v>35.67</v>
      </c>
      <c r="H28" s="21" t="n">
        <v>35.41</v>
      </c>
      <c r="I28" s="22">
        <f>G28/H28-1</f>
        <v/>
      </c>
      <c r="J28" s="23" t="n">
        <v>94.2</v>
      </c>
      <c r="K28" s="23">
        <f>85.6350</f>
        <v/>
      </c>
      <c r="L28" s="23">
        <f>0.5*J28+0.5*K28</f>
        <v/>
      </c>
      <c r="M28" s="18" t="n">
        <v>4</v>
      </c>
    </row>
    <row r="29">
      <c r="A29" s="18" t="inlineStr">
        <is>
          <t>小型</t>
        </is>
      </c>
      <c r="B29" s="18" t="n">
        <v>2</v>
      </c>
      <c r="C29" s="19" t="inlineStr">
        <is>
          <t>SMTI</t>
        </is>
      </c>
      <c r="D29" s="18" t="inlineStr">
        <is>
          <t>Sanara MedTech Inc.</t>
        </is>
      </c>
      <c r="E29" s="18" t="inlineStr">
        <is>
          <t>醫療保健</t>
        </is>
      </c>
      <c r="F29" s="20" t="n">
        <v>3.21</v>
      </c>
      <c r="G29" s="21" t="n">
        <v>34.98</v>
      </c>
      <c r="H29" s="21" t="n">
        <v>34.96</v>
      </c>
      <c r="I29" s="22">
        <f>G29/H29-1</f>
        <v/>
      </c>
      <c r="J29" s="23" t="n">
        <v>97.5</v>
      </c>
      <c r="K29" s="23">
        <f>78.2950</f>
        <v/>
      </c>
      <c r="L29" s="23">
        <f>0.5*J29+0.5*K29</f>
        <v/>
      </c>
      <c r="M29" s="18" t="n">
        <v>5</v>
      </c>
    </row>
    <row r="30">
      <c r="A30" s="10" t="inlineStr">
        <is>
          <t>小型</t>
        </is>
      </c>
      <c r="B30" s="10" t="n">
        <v>3</v>
      </c>
      <c r="C30" s="11" t="inlineStr">
        <is>
          <t>HRTG</t>
        </is>
      </c>
      <c r="D30" s="10" t="inlineStr">
        <is>
          <t>Heritage Insurance Holdings Inc.</t>
        </is>
      </c>
      <c r="E30" s="10" t="inlineStr">
        <is>
          <t>金融</t>
        </is>
      </c>
      <c r="F30" s="12" t="n">
        <v>10.53</v>
      </c>
      <c r="G30" s="13" t="n">
        <v>35.42</v>
      </c>
      <c r="H30" s="13" t="n">
        <v>34.67</v>
      </c>
      <c r="I30" s="14">
        <f>G30/H30-1</f>
        <v/>
      </c>
      <c r="J30" s="15" t="n">
        <v>83.3</v>
      </c>
      <c r="K30" s="15">
        <f>84.4000</f>
        <v/>
      </c>
      <c r="L30" s="15">
        <f>0.5*J30+0.5*K30</f>
        <v/>
      </c>
      <c r="M30" s="10" t="n">
        <v>3</v>
      </c>
    </row>
    <row r="31">
      <c r="A31" s="18" t="inlineStr">
        <is>
          <t>小型</t>
        </is>
      </c>
      <c r="B31" s="18" t="n">
        <v>4</v>
      </c>
      <c r="C31" s="19" t="inlineStr">
        <is>
          <t>DMLP</t>
        </is>
      </c>
      <c r="D31" s="18" t="inlineStr">
        <is>
          <t>Dorchester Minerals L.P. Common Units Representing Limited Partnership Interests</t>
        </is>
      </c>
      <c r="E31" s="18" t="inlineStr">
        <is>
          <t>能源</t>
        </is>
      </c>
      <c r="F31" s="20" t="n">
        <v>14.61</v>
      </c>
      <c r="G31" s="21" t="n">
        <v>29.77</v>
      </c>
      <c r="H31" s="21" t="n">
        <v>29.61</v>
      </c>
      <c r="I31" s="22">
        <f>G31/H31-1</f>
        <v/>
      </c>
      <c r="J31" s="23" t="n">
        <v>67.40000000000001</v>
      </c>
      <c r="K31" s="23">
        <f>93.5100</f>
        <v/>
      </c>
      <c r="L31" s="23">
        <f>0.5*J31+0.5*K31</f>
        <v/>
      </c>
      <c r="M31" s="18" t="n">
        <v>9</v>
      </c>
    </row>
    <row r="32">
      <c r="A32" s="18" t="inlineStr">
        <is>
          <t>小型</t>
        </is>
      </c>
      <c r="B32" s="18" t="n">
        <v>5</v>
      </c>
      <c r="C32" s="19" t="inlineStr">
        <is>
          <t>RDVT</t>
        </is>
      </c>
      <c r="D32" s="18" t="inlineStr">
        <is>
          <t>Red Violet Inc.</t>
        </is>
      </c>
      <c r="E32" s="18" t="inlineStr">
        <is>
          <t>科技</t>
        </is>
      </c>
      <c r="F32" s="20" t="n">
        <v>12.38</v>
      </c>
      <c r="G32" s="21" t="n">
        <v>77.12</v>
      </c>
      <c r="H32" s="21" t="n">
        <v>75.69</v>
      </c>
      <c r="I32" s="22">
        <f>G32/H32-1</f>
        <v/>
      </c>
      <c r="J32" s="23" t="n">
        <v>65.2</v>
      </c>
      <c r="K32" s="23">
        <f>85.5700</f>
        <v/>
      </c>
      <c r="L32" s="23">
        <f>0.5*J32+0.5*K32</f>
        <v/>
      </c>
      <c r="M32" s="18" t="n">
        <v>8</v>
      </c>
    </row>
    <row r="33">
      <c r="A33" s="18" t="inlineStr">
        <is>
          <t>小型</t>
        </is>
      </c>
      <c r="B33" s="18" t="n">
        <v>6</v>
      </c>
      <c r="C33" s="19" t="inlineStr">
        <is>
          <t>CRSR</t>
        </is>
      </c>
      <c r="D33" s="18" t="inlineStr">
        <is>
          <t>Corsair Gaming Inc.</t>
        </is>
      </c>
      <c r="E33" s="18" t="inlineStr">
        <is>
          <t>科技</t>
        </is>
      </c>
      <c r="F33" s="20" t="n">
        <v>14.61</v>
      </c>
      <c r="G33" s="21" t="n">
        <v>13.51</v>
      </c>
      <c r="H33" s="21" t="n">
        <v>12.93</v>
      </c>
      <c r="I33" s="22">
        <f>G33/H33-1</f>
        <v/>
      </c>
      <c r="J33" s="23" t="n">
        <v>69.7</v>
      </c>
      <c r="K33" s="23">
        <f>79.8450</f>
        <v/>
      </c>
      <c r="L33" s="23">
        <f>0.5*J33+0.5*K33</f>
        <v/>
      </c>
      <c r="M33" s="18" t="n">
        <v>15</v>
      </c>
    </row>
    <row r="34">
      <c r="A34" s="18" t="inlineStr">
        <is>
          <t>小型</t>
        </is>
      </c>
      <c r="B34" s="18" t="n">
        <v>7</v>
      </c>
      <c r="C34" s="19" t="inlineStr">
        <is>
          <t>BDSX</t>
        </is>
      </c>
      <c r="D34" s="18" t="inlineStr">
        <is>
          <t>Biodesix Inc.</t>
        </is>
      </c>
      <c r="E34" s="18" t="inlineStr">
        <is>
          <t>醫療保健</t>
        </is>
      </c>
      <c r="F34" s="20" t="n">
        <v>3.04</v>
      </c>
      <c r="G34" s="21" t="n">
        <v>28.81</v>
      </c>
      <c r="H34" s="21" t="n">
        <v>27.18</v>
      </c>
      <c r="I34" s="22">
        <f>G34/H34-1</f>
        <v/>
      </c>
      <c r="J34" s="23" t="n">
        <v>67.90000000000001</v>
      </c>
      <c r="K34" s="23">
        <f>76.7400</f>
        <v/>
      </c>
      <c r="L34" s="23">
        <f>0.5*J34+0.5*K34</f>
        <v/>
      </c>
      <c r="M34" s="18" t="n">
        <v>19</v>
      </c>
    </row>
    <row r="35">
      <c r="A35" s="18" t="inlineStr">
        <is>
          <t>小型</t>
        </is>
      </c>
      <c r="B35" s="18" t="n">
        <v>8</v>
      </c>
      <c r="C35" s="19" t="inlineStr">
        <is>
          <t>FBLA</t>
        </is>
      </c>
      <c r="D35" s="18" t="inlineStr">
        <is>
          <t>FB Bancorp Inc.</t>
        </is>
      </c>
      <c r="E35" s="18" t="inlineStr">
        <is>
          <t>金融</t>
        </is>
      </c>
      <c r="F35" s="20" t="n">
        <v>2.57</v>
      </c>
      <c r="G35" s="21" t="n">
        <v>16.09</v>
      </c>
      <c r="H35" s="21" t="n">
        <v>15.98</v>
      </c>
      <c r="I35" s="22">
        <f>G35/H35-1</f>
        <v/>
      </c>
      <c r="J35" s="23" t="n">
        <v>54.1</v>
      </c>
      <c r="K35" s="23">
        <f>80.2750</f>
        <v/>
      </c>
      <c r="L35" s="23">
        <f>0.5*J35+0.5*K35</f>
        <v/>
      </c>
      <c r="M35" s="18" t="n">
        <v>16</v>
      </c>
    </row>
    <row r="36">
      <c r="A36" s="18" t="inlineStr">
        <is>
          <t>小型</t>
        </is>
      </c>
      <c r="B36" s="18" t="n">
        <v>9</v>
      </c>
      <c r="C36" s="19" t="inlineStr">
        <is>
          <t>PD</t>
        </is>
      </c>
      <c r="D36" s="18" t="inlineStr">
        <is>
          <t>PagerDuty Inc.</t>
        </is>
      </c>
      <c r="E36" s="18" t="inlineStr">
        <is>
          <t>科技</t>
        </is>
      </c>
      <c r="F36" s="20" t="n">
        <v>11.36</v>
      </c>
      <c r="G36" s="21" t="n">
        <v>14.44</v>
      </c>
      <c r="H36" s="21" t="n">
        <v>14.07</v>
      </c>
      <c r="I36" s="22">
        <f>G36/H36-1</f>
        <v/>
      </c>
      <c r="J36" s="23" t="n">
        <v>45.8</v>
      </c>
      <c r="K36" s="23">
        <f>88.4800</f>
        <v/>
      </c>
      <c r="L36" s="23">
        <f>0.5*J36+0.5*K36</f>
        <v/>
      </c>
      <c r="M36" s="18" t="n">
        <v>17</v>
      </c>
    </row>
    <row r="37">
      <c r="A37" s="18" t="inlineStr">
        <is>
          <t>小型</t>
        </is>
      </c>
      <c r="B37" s="18" t="n">
        <v>10</v>
      </c>
      <c r="C37" s="19" t="inlineStr">
        <is>
          <t>AMPH</t>
        </is>
      </c>
      <c r="D37" s="18" t="inlineStr">
        <is>
          <t>Amphastar Pharmaceuticals Inc.</t>
        </is>
      </c>
      <c r="E37" s="18" t="inlineStr">
        <is>
          <t>醫療保健</t>
        </is>
      </c>
      <c r="F37" s="20" t="n">
        <v>10.13</v>
      </c>
      <c r="G37" s="21" t="n">
        <v>23.82</v>
      </c>
      <c r="H37" s="21" t="n">
        <v>23.56</v>
      </c>
      <c r="I37" s="22">
        <f>G37/H37-1</f>
        <v/>
      </c>
      <c r="J37" s="23" t="n">
        <v>55.4</v>
      </c>
      <c r="K37" s="23">
        <f>77.2650</f>
        <v/>
      </c>
      <c r="L37" s="23">
        <f>0.5*J37+0.5*K37</f>
        <v/>
      </c>
      <c r="M37" s="18" t="n">
        <v>18</v>
      </c>
    </row>
    <row r="38">
      <c r="A38" s="10" t="inlineStr">
        <is>
          <t>小型</t>
        </is>
      </c>
      <c r="B38" s="10" t="n">
        <v>11</v>
      </c>
      <c r="C38" s="11" t="inlineStr">
        <is>
          <t>FPI</t>
        </is>
      </c>
      <c r="D38" s="10" t="inlineStr">
        <is>
          <t>Farmland Partners Inc.</t>
        </is>
      </c>
      <c r="E38" s="10" t="inlineStr">
        <is>
          <t>房地產</t>
        </is>
      </c>
      <c r="F38" s="12" t="n">
        <v>4.78</v>
      </c>
      <c r="G38" s="13" t="n">
        <v>10.95</v>
      </c>
      <c r="H38" s="13" t="n">
        <v>10.73</v>
      </c>
      <c r="I38" s="14">
        <f>G38/H38-1</f>
        <v/>
      </c>
      <c r="J38" s="15" t="n">
        <v>51.7</v>
      </c>
      <c r="K38" s="15">
        <f>77.6950</f>
        <v/>
      </c>
      <c r="L38" s="15">
        <f>0.5*J38+0.5*K38</f>
        <v/>
      </c>
      <c r="M38" s="10" t="n">
        <v>23</v>
      </c>
    </row>
    <row r="39">
      <c r="A39" s="18" t="inlineStr">
        <is>
          <t>小型</t>
        </is>
      </c>
      <c r="B39" s="18" t="n">
        <v>12</v>
      </c>
      <c r="C39" s="19" t="inlineStr">
        <is>
          <t>NAKA</t>
        </is>
      </c>
      <c r="D39" s="18" t="inlineStr">
        <is>
          <t>Nakamoto Inc.</t>
        </is>
      </c>
      <c r="E39" s="18" t="inlineStr">
        <is>
          <t>醫療保健</t>
        </is>
      </c>
      <c r="F39" s="20" t="n">
        <v>1.52</v>
      </c>
      <c r="G39" s="21" t="n">
        <v>8.5</v>
      </c>
      <c r="H39" s="21" t="n">
        <v>8.1</v>
      </c>
      <c r="I39" s="22">
        <f>G39/H39-1</f>
        <v/>
      </c>
      <c r="J39" s="23" t="n">
        <v>44.2</v>
      </c>
      <c r="K39" s="23">
        <f>79.9850</f>
        <v/>
      </c>
      <c r="L39" s="23">
        <f>0.5*J39+0.5*K39</f>
        <v/>
      </c>
      <c r="M39" s="18" t="n">
        <v>40</v>
      </c>
    </row>
    <row r="40">
      <c r="A40" s="18" t="inlineStr">
        <is>
          <t>小型</t>
        </is>
      </c>
      <c r="B40" s="18" t="n">
        <v>13</v>
      </c>
      <c r="C40" s="19" t="inlineStr">
        <is>
          <t>SGP</t>
        </is>
      </c>
      <c r="D40" s="18" t="inlineStr">
        <is>
          <t>SpyGlass Pharma Inc.</t>
        </is>
      </c>
      <c r="E40" s="18" t="inlineStr">
        <is>
          <t>醫療保健</t>
        </is>
      </c>
      <c r="F40" s="20" t="n">
        <v>9.81</v>
      </c>
      <c r="G40" s="21" t="n">
        <v>29.33</v>
      </c>
      <c r="H40" s="21" t="n">
        <v>28.47</v>
      </c>
      <c r="I40" s="22">
        <f>G40/H40-1</f>
        <v/>
      </c>
      <c r="J40" s="23" t="n">
        <v>38.4</v>
      </c>
      <c r="K40" s="23">
        <f>83.7050</f>
        <v/>
      </c>
      <c r="L40" s="23">
        <f>0.5*J40+0.5*K40</f>
        <v/>
      </c>
      <c r="M40" s="18" t="n">
        <v>42</v>
      </c>
    </row>
    <row r="41">
      <c r="A41" s="18" t="inlineStr">
        <is>
          <t>小型</t>
        </is>
      </c>
      <c r="B41" s="18" t="n">
        <v>14</v>
      </c>
      <c r="C41" s="19" t="inlineStr">
        <is>
          <t>REPX</t>
        </is>
      </c>
      <c r="D41" s="18" t="inlineStr">
        <is>
          <t>Riley Exploration Permian Inc.</t>
        </is>
      </c>
      <c r="E41" s="18" t="inlineStr">
        <is>
          <t>能源</t>
        </is>
      </c>
      <c r="F41" s="20" t="n">
        <v>9.59</v>
      </c>
      <c r="G41" s="21" t="n">
        <v>43.31</v>
      </c>
      <c r="H41" s="21" t="n">
        <v>43.12</v>
      </c>
      <c r="I41" s="22">
        <f>G41/H41-1</f>
        <v/>
      </c>
      <c r="J41" s="23" t="n">
        <v>26.3</v>
      </c>
      <c r="K41" s="23">
        <f>85.6050</f>
        <v/>
      </c>
      <c r="L41" s="23">
        <f>0.5*J41+0.5*K41</f>
        <v/>
      </c>
      <c r="M41" s="18" t="n">
        <v>51</v>
      </c>
    </row>
    <row r="42">
      <c r="A42" s="18" t="inlineStr">
        <is>
          <t>小型</t>
        </is>
      </c>
      <c r="B42" s="18" t="n">
        <v>15</v>
      </c>
      <c r="C42" s="19" t="inlineStr">
        <is>
          <t>OSPN</t>
        </is>
      </c>
      <c r="D42" s="18" t="inlineStr">
        <is>
          <t>OneSpan Inc.</t>
        </is>
      </c>
      <c r="E42" s="18" t="inlineStr">
        <is>
          <t>科技</t>
        </is>
      </c>
      <c r="F42" s="20" t="n">
        <v>6.61</v>
      </c>
      <c r="G42" s="21" t="n">
        <v>17.95</v>
      </c>
      <c r="H42" s="21" t="n">
        <v>17.02</v>
      </c>
      <c r="I42" s="22">
        <f>G42/H42-1</f>
        <v/>
      </c>
      <c r="J42" s="23" t="n">
        <v>26.4</v>
      </c>
      <c r="K42" s="23">
        <f>85.0600</f>
        <v/>
      </c>
      <c r="L42" s="23">
        <f>0.5*J42+0.5*K42</f>
        <v/>
      </c>
      <c r="M42" s="18" t="n">
        <v>52</v>
      </c>
    </row>
    <row r="43">
      <c r="A43" s="10" t="inlineStr">
        <is>
          <t>小型</t>
        </is>
      </c>
      <c r="B43" s="10" t="n">
        <v>16</v>
      </c>
      <c r="C43" s="11" t="inlineStr">
        <is>
          <t>XHLD</t>
        </is>
      </c>
      <c r="D43" s="10" t="inlineStr">
        <is>
          <t>TEN Holdings Inc.</t>
        </is>
      </c>
      <c r="E43" s="10" t="inlineStr">
        <is>
          <t>非必需消費</t>
        </is>
      </c>
      <c r="F43" s="12" t="n">
        <v>1.16</v>
      </c>
      <c r="G43" s="13" t="n">
        <v>9.720000000000001</v>
      </c>
      <c r="H43" s="13" t="n">
        <v>9.949999999999999</v>
      </c>
      <c r="I43" s="14">
        <f>G43/H43-1</f>
        <v/>
      </c>
      <c r="J43" s="15" t="n">
        <v>68.8</v>
      </c>
      <c r="K43" s="15">
        <f>41.4150</f>
        <v/>
      </c>
      <c r="L43" s="15">
        <f>0.5*J43+0.5*K43</f>
        <v/>
      </c>
      <c r="M43" s="10" t="n">
        <v>53</v>
      </c>
    </row>
    <row r="44">
      <c r="A44" s="18" t="inlineStr">
        <is>
          <t>小型</t>
        </is>
      </c>
      <c r="B44" s="18" t="n">
        <v>17</v>
      </c>
      <c r="C44" s="19" t="inlineStr">
        <is>
          <t>ITIC</t>
        </is>
      </c>
      <c r="D44" s="18" t="inlineStr">
        <is>
          <t>Investors Title Company</t>
        </is>
      </c>
      <c r="E44" s="18" t="inlineStr">
        <is>
          <t>金融</t>
        </is>
      </c>
      <c r="F44" s="20" t="n">
        <v>5.59</v>
      </c>
      <c r="G44" s="21" t="n">
        <v>296</v>
      </c>
      <c r="H44" s="21" t="n">
        <v>298.74</v>
      </c>
      <c r="I44" s="22">
        <f>G44/H44-1</f>
        <v/>
      </c>
      <c r="J44" s="23" t="n">
        <v>54.5</v>
      </c>
      <c r="K44" s="23">
        <f>38.5950</f>
        <v/>
      </c>
      <c r="L44" s="23">
        <f>0.5*J44+0.5*K44</f>
        <v/>
      </c>
      <c r="M44" s="18" t="n">
        <v>87</v>
      </c>
    </row>
    <row r="45">
      <c r="A45" s="10" t="inlineStr">
        <is>
          <t>小型</t>
        </is>
      </c>
      <c r="B45" s="10" t="n">
        <v>18</v>
      </c>
      <c r="C45" s="11" t="inlineStr">
        <is>
          <t>ABTC</t>
        </is>
      </c>
      <c r="D45" s="10" t="inlineStr">
        <is>
          <t>American Bitcoin Corp. Class A</t>
        </is>
      </c>
      <c r="E45" s="10" t="inlineStr">
        <is>
          <t>金融</t>
        </is>
      </c>
      <c r="F45" s="12" t="n">
        <v>6.43</v>
      </c>
      <c r="G45" s="13" t="n">
        <v>8.83</v>
      </c>
      <c r="H45" s="13" t="n">
        <v>8.380000000000001</v>
      </c>
      <c r="I45" s="14">
        <f>G45/H45-1</f>
        <v/>
      </c>
      <c r="J45" s="15" t="n">
        <v>19.4</v>
      </c>
      <c r="K45" s="15">
        <f>72.4250</f>
        <v/>
      </c>
      <c r="L45" s="15">
        <f>0.5*J45+0.5*K45</f>
        <v/>
      </c>
      <c r="M45" s="10" t="n">
        <v>82</v>
      </c>
    </row>
    <row r="46">
      <c r="A46" s="10" t="inlineStr">
        <is>
          <t>小型</t>
        </is>
      </c>
      <c r="B46" s="10" t="n">
        <v>19</v>
      </c>
      <c r="C46" s="11" t="inlineStr">
        <is>
          <t>OBIO</t>
        </is>
      </c>
      <c r="D46" s="10" t="inlineStr">
        <is>
          <t>Orchestra BioMed Holdings Inc.</t>
        </is>
      </c>
      <c r="E46" s="10" t="inlineStr">
        <is>
          <t>醫療保健</t>
        </is>
      </c>
      <c r="F46" s="12" t="n">
        <v>3.47</v>
      </c>
      <c r="G46" s="13" t="n">
        <v>5.78</v>
      </c>
      <c r="H46" s="13" t="n">
        <v>5.64</v>
      </c>
      <c r="I46" s="14">
        <f>G46/H46-1</f>
        <v/>
      </c>
      <c r="J46" s="15" t="n">
        <v>12</v>
      </c>
      <c r="K46" s="15">
        <f>79.7800</f>
        <v/>
      </c>
      <c r="L46" s="15">
        <f>0.5*J46+0.5*K46</f>
        <v/>
      </c>
      <c r="M46" s="10" t="n">
        <v>68</v>
      </c>
    </row>
    <row r="47">
      <c r="A47" s="10" t="inlineStr">
        <is>
          <t>小型</t>
        </is>
      </c>
      <c r="B47" s="10" t="n">
        <v>20</v>
      </c>
      <c r="C47" s="11" t="inlineStr">
        <is>
          <t>OESX</t>
        </is>
      </c>
      <c r="D47" s="10" t="inlineStr">
        <is>
          <t>Orion Energy Systems Inc.</t>
        </is>
      </c>
      <c r="E47" s="10" t="inlineStr">
        <is>
          <t>非必需消費</t>
        </is>
      </c>
      <c r="F47" s="12" t="n">
        <v>1.1</v>
      </c>
      <c r="G47" s="13" t="n">
        <v>26.99</v>
      </c>
      <c r="H47" s="13" t="n">
        <v>26.91</v>
      </c>
      <c r="I47" s="14">
        <f>G47/H47-1</f>
        <v/>
      </c>
      <c r="J47" s="15" t="n">
        <v>38.4</v>
      </c>
      <c r="K47" s="15">
        <f>48.9100</f>
        <v/>
      </c>
      <c r="L47" s="15">
        <f>0.5*J47+0.5*K47</f>
        <v/>
      </c>
      <c r="M47" s="10" t="n">
        <v>72</v>
      </c>
    </row>
    <row r="48">
      <c r="A48" s="18" t="inlineStr">
        <is>
          <t>小型</t>
        </is>
      </c>
      <c r="B48" s="18" t="n">
        <v>21</v>
      </c>
      <c r="C48" s="19" t="inlineStr">
        <is>
          <t>CYPH</t>
        </is>
      </c>
      <c r="D48" s="18" t="inlineStr">
        <is>
          <t>Cypherpunk Technologies Inc.</t>
        </is>
      </c>
      <c r="E48" s="18" t="inlineStr">
        <is>
          <t>醫療保健</t>
        </is>
      </c>
      <c r="F48" s="20" t="n">
        <v>3.31</v>
      </c>
      <c r="G48" s="21" t="n">
        <v>3.07</v>
      </c>
      <c r="H48" s="21" t="n">
        <v>2.45</v>
      </c>
      <c r="I48" s="22">
        <f>G48/H48-1</f>
        <v/>
      </c>
      <c r="J48" s="23" t="n">
        <v>2.7</v>
      </c>
      <c r="K48" s="23">
        <f>81.4850</f>
        <v/>
      </c>
      <c r="L48" s="23">
        <f>0.5*J48+0.5*K48</f>
        <v/>
      </c>
      <c r="M48" s="18" t="n">
        <v>76</v>
      </c>
    </row>
    <row r="50">
      <c r="A50" s="31" t="inlineStr">
        <is>
          <t>2個月 · 10MA vs 42日：MA(今日) &gt; MA(5 個交易日前) 嘅比較窗口見標題；另需最後 3 個 MA 值逐個遞升（兩次上升）同期內 ≥70% 日子上升。每個市值組各取 top 50。</t>
        </is>
      </c>
    </row>
  </sheetData>
  <autoFilter ref="A1:M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30" customWidth="1" min="3" max="3"/>
    <col width="11" customWidth="1" min="4" max="4"/>
    <col width="12" customWidth="1" min="5" max="5"/>
    <col width="11" customWidth="1" min="6" max="6"/>
    <col width="11" customWidth="1" min="7" max="7"/>
    <col width="9" customWidth="1" min="8" max="8"/>
    <col width="10" customWidth="1" min="9" max="9"/>
    <col width="10" customWidth="1" min="10" max="10"/>
    <col width="30" customWidth="1" min="11" max="11"/>
    <col width="46" customWidth="1" min="12" max="12"/>
  </cols>
  <sheetData>
    <row r="1" ht="30" customHeight="1">
      <c r="A1" s="1" t="inlineStr">
        <is>
          <t>類別</t>
        </is>
      </c>
      <c r="B1" s="1" t="inlineStr">
        <is>
          <t>代號</t>
        </is>
      </c>
      <c r="C1" s="1" t="inlineStr">
        <is>
          <t>公司</t>
        </is>
      </c>
      <c r="D1" s="1" t="inlineStr">
        <is>
          <t>板塊</t>
        </is>
      </c>
      <c r="E1" s="1" t="inlineStr">
        <is>
          <t>市值(億美元)</t>
        </is>
      </c>
      <c r="F1" s="1" t="inlineStr">
        <is>
          <t>收市價</t>
        </is>
      </c>
      <c r="G1" s="1" t="inlineStr">
        <is>
          <t>前收</t>
        </is>
      </c>
      <c r="H1" s="1" t="inlineStr">
        <is>
          <t>當日%</t>
        </is>
      </c>
      <c r="I1" s="1" t="inlineStr">
        <is>
          <t>R19排名</t>
        </is>
      </c>
      <c r="J1" s="1" t="inlineStr">
        <is>
          <t>R20排名</t>
        </is>
      </c>
      <c r="K1" s="1" t="inlineStr">
        <is>
          <t>離場原因</t>
        </is>
      </c>
      <c r="L1" s="1" t="inlineStr">
        <is>
          <t>催化句</t>
        </is>
      </c>
    </row>
    <row r="2">
      <c r="A2" s="10" t="inlineStr">
        <is>
          <t>新上榜</t>
        </is>
      </c>
      <c r="B2" s="11" t="inlineStr">
        <is>
          <t>HRTG</t>
        </is>
      </c>
      <c r="C2" s="10" t="inlineStr">
        <is>
          <t>Heritage Insurance Holdings Inc.</t>
        </is>
      </c>
      <c r="D2" s="10" t="inlineStr">
        <is>
          <t>金融</t>
        </is>
      </c>
      <c r="E2" s="12" t="n">
        <v>10.53</v>
      </c>
      <c r="F2" s="13" t="n">
        <v>35.42</v>
      </c>
      <c r="G2" s="13" t="n">
        <v>34.96</v>
      </c>
      <c r="H2" s="14">
        <f>IF(G2="","",F2/G2-1)</f>
        <v/>
      </c>
      <c r="I2" s="10" t="n"/>
      <c r="J2" s="10" t="n">
        <v>3</v>
      </c>
      <c r="K2" s="10" t="inlineStr"/>
      <c r="L2" s="10" t="inlineStr">
        <is>
          <t>8/5 Q2純利$6,170萬創新高、EPS $2.05勝預期 → 翌日急升16.5%</t>
        </is>
      </c>
    </row>
    <row r="3">
      <c r="A3" s="10" t="inlineStr">
        <is>
          <t>新上榜</t>
        </is>
      </c>
      <c r="B3" s="11" t="inlineStr">
        <is>
          <t>HGTY</t>
        </is>
      </c>
      <c r="C3" s="10" t="inlineStr">
        <is>
          <t>Hagerty Inc. Class A</t>
        </is>
      </c>
      <c r="D3" s="10" t="inlineStr">
        <is>
          <t>金融</t>
        </is>
      </c>
      <c r="E3" s="12" t="n">
        <v>47.66</v>
      </c>
      <c r="F3" s="13" t="n">
        <v>13.87</v>
      </c>
      <c r="G3" s="13" t="n">
        <v>13.9</v>
      </c>
      <c r="H3" s="14">
        <f>IF(G3="","",F3/G3-1)</f>
        <v/>
      </c>
      <c r="I3" s="10" t="n"/>
      <c r="J3" s="10" t="n">
        <v>12</v>
      </c>
      <c r="K3" s="10" t="inlineStr"/>
      <c r="L3" s="10" t="inlineStr">
        <is>
          <t>8/5 Q2勝預期、全年指引由蝕轉賺 → 單日急升15.4%</t>
        </is>
      </c>
    </row>
    <row r="4">
      <c r="A4" s="10" t="inlineStr">
        <is>
          <t>新上榜</t>
        </is>
      </c>
      <c r="B4" s="11" t="inlineStr">
        <is>
          <t>HALO</t>
        </is>
      </c>
      <c r="C4" s="10" t="inlineStr">
        <is>
          <t>Halozyme Therapeutics Inc.</t>
        </is>
      </c>
      <c r="D4" s="10" t="inlineStr">
        <is>
          <t>醫療保健</t>
        </is>
      </c>
      <c r="E4" s="12" t="n">
        <v>124.48</v>
      </c>
      <c r="F4" s="13" t="n">
        <v>109.68</v>
      </c>
      <c r="G4" s="13" t="n">
        <v>108.44</v>
      </c>
      <c r="H4" s="14">
        <f>IF(G4="","",F4/G4-1)</f>
        <v/>
      </c>
      <c r="I4" s="10" t="n"/>
      <c r="J4" s="10" t="n">
        <v>14</v>
      </c>
      <c r="K4" s="10" t="inlineStr"/>
      <c r="L4" s="10" t="inlineStr">
        <is>
          <t>8/6 Q2收入$4.81億升48%、EPS $2.28大勝 → 翌日飆20.2%</t>
        </is>
      </c>
    </row>
    <row r="5">
      <c r="A5" s="10" t="inlineStr">
        <is>
          <t>新上榜</t>
        </is>
      </c>
      <c r="B5" s="11" t="inlineStr">
        <is>
          <t>FPI</t>
        </is>
      </c>
      <c r="C5" s="10" t="inlineStr">
        <is>
          <t>Farmland Partners Inc.</t>
        </is>
      </c>
      <c r="D5" s="10" t="inlineStr">
        <is>
          <t>房地產</t>
        </is>
      </c>
      <c r="E5" s="12" t="n">
        <v>4.78</v>
      </c>
      <c r="F5" s="13" t="n">
        <v>10.95</v>
      </c>
      <c r="G5" s="13" t="n">
        <v>10.79</v>
      </c>
      <c r="H5" s="14">
        <f>IF(G5="","",F5/G5-1)</f>
        <v/>
      </c>
      <c r="I5" s="10" t="n"/>
      <c r="J5" s="10" t="n">
        <v>23</v>
      </c>
      <c r="K5" s="10" t="inlineStr"/>
      <c r="L5" s="10" t="inlineStr">
        <is>
          <t>無個股催化 · 隨農業／農地板塊回升</t>
        </is>
      </c>
    </row>
    <row r="6">
      <c r="A6" s="10" t="inlineStr">
        <is>
          <t>新上榜</t>
        </is>
      </c>
      <c r="B6" s="11" t="inlineStr">
        <is>
          <t>RNG</t>
        </is>
      </c>
      <c r="C6" s="10" t="inlineStr">
        <is>
          <t>RingCentral Inc. Class A</t>
        </is>
      </c>
      <c r="D6" s="10" t="inlineStr">
        <is>
          <t>科技</t>
        </is>
      </c>
      <c r="E6" s="12" t="n">
        <v>62.45</v>
      </c>
      <c r="F6" s="13" t="n">
        <v>74.78</v>
      </c>
      <c r="G6" s="13" t="n">
        <v>73.54000000000001</v>
      </c>
      <c r="H6" s="14">
        <f>IF(G6="","",F6/G6-1)</f>
        <v/>
      </c>
      <c r="I6" s="10" t="n"/>
      <c r="J6" s="10" t="n">
        <v>26</v>
      </c>
      <c r="K6" s="10" t="inlineStr"/>
      <c r="L6" s="10" t="inlineStr">
        <is>
          <t>7/24 Q2 EPS $1.22勝預期、上調全年指引 → 單日急升25.1%</t>
        </is>
      </c>
    </row>
    <row r="7">
      <c r="A7" s="10" t="inlineStr">
        <is>
          <t>新上榜</t>
        </is>
      </c>
      <c r="B7" s="11" t="inlineStr">
        <is>
          <t>CLH</t>
        </is>
      </c>
      <c r="C7" s="10" t="inlineStr">
        <is>
          <t>Clean Harbors Inc.</t>
        </is>
      </c>
      <c r="D7" s="10" t="inlineStr">
        <is>
          <t>工業</t>
        </is>
      </c>
      <c r="E7" s="12" t="n">
        <v>166.57</v>
      </c>
      <c r="F7" s="13" t="n">
        <v>315.55</v>
      </c>
      <c r="G7" s="13" t="n">
        <v>318.96</v>
      </c>
      <c r="H7" s="14">
        <f>IF(G7="","",F7/G7-1)</f>
        <v/>
      </c>
      <c r="I7" s="10" t="n"/>
      <c r="J7" s="10" t="n">
        <v>29</v>
      </c>
      <c r="K7" s="10" t="inlineStr"/>
      <c r="L7" s="10" t="inlineStr">
        <is>
          <t>7/29 Q2 EPS $3.22、EBITDA利潤率23.6%創新高 → 單日升7.5%</t>
        </is>
      </c>
    </row>
    <row r="8">
      <c r="A8" s="10" t="inlineStr">
        <is>
          <t>新上榜</t>
        </is>
      </c>
      <c r="B8" s="11" t="inlineStr">
        <is>
          <t>INTG</t>
        </is>
      </c>
      <c r="C8" s="10" t="inlineStr">
        <is>
          <t>Intergroup Corporation (The)</t>
        </is>
      </c>
      <c r="D8" s="10" t="inlineStr">
        <is>
          <t>房地產</t>
        </is>
      </c>
      <c r="E8" s="12" t="n">
        <v>0.79</v>
      </c>
      <c r="F8" s="13" t="n">
        <v>36.87</v>
      </c>
      <c r="G8" s="13" t="n">
        <v>37.3</v>
      </c>
      <c r="H8" s="14">
        <f>IF(G8="","",F8/G8-1)</f>
        <v/>
      </c>
      <c r="I8" s="10" t="n"/>
      <c r="J8" s="10" t="n">
        <v>32</v>
      </c>
      <c r="K8" s="10" t="inlineStr"/>
      <c r="L8" s="10" t="inlineStr">
        <is>
          <t>無個股催化 · 微型股低流動性反彈</t>
        </is>
      </c>
    </row>
    <row r="9">
      <c r="A9" s="10" t="inlineStr">
        <is>
          <t>新上榜</t>
        </is>
      </c>
      <c r="B9" s="11" t="inlineStr">
        <is>
          <t>SLDE</t>
        </is>
      </c>
      <c r="C9" s="10" t="inlineStr">
        <is>
          <t>Slide Insurance Holdings Inc.</t>
        </is>
      </c>
      <c r="D9" s="10" t="inlineStr">
        <is>
          <t>金融</t>
        </is>
      </c>
      <c r="E9" s="12" t="n">
        <v>29.2</v>
      </c>
      <c r="F9" s="13" t="n">
        <v>25</v>
      </c>
      <c r="G9" s="13" t="n">
        <v>25.67</v>
      </c>
      <c r="H9" s="14">
        <f>IF(G9="","",F9/G9-1)</f>
        <v/>
      </c>
      <c r="I9" s="10" t="n"/>
      <c r="J9" s="10" t="n">
        <v>39</v>
      </c>
      <c r="K9" s="10" t="inlineStr"/>
      <c r="L9" s="10" t="inlineStr">
        <is>
          <t>7/28 Q2純利升92%、EPS $1.06勝預期兼首次派息 → 大行升目標價至$26-28</t>
        </is>
      </c>
    </row>
    <row r="10">
      <c r="A10" s="10" t="inlineStr">
        <is>
          <t>新上榜</t>
        </is>
      </c>
      <c r="B10" s="11" t="inlineStr">
        <is>
          <t>BRK/A</t>
        </is>
      </c>
      <c r="C10" s="10" t="inlineStr">
        <is>
          <t>Berkshire Hathaway Inc.</t>
        </is>
      </c>
      <c r="D10" s="10" t="inlineStr">
        <is>
          <t>Uncategorized</t>
        </is>
      </c>
      <c r="E10" s="12" t="n">
        <v>11236.54</v>
      </c>
      <c r="F10" s="13" t="n">
        <v>763935.95</v>
      </c>
      <c r="G10" s="13" t="n">
        <v>780297.1899999999</v>
      </c>
      <c r="H10" s="14">
        <f>IF(G10="","",F10/G10-1)</f>
        <v/>
      </c>
      <c r="I10" s="10" t="n"/>
      <c r="J10" s="10" t="n">
        <v>41</v>
      </c>
      <c r="K10" s="10" t="inlineStr"/>
      <c r="L10" s="10" t="inlineStr">
        <is>
          <t>8/8 Q2 EPS $6.02勝預期、季內回購$45億 → 下一交易日8/10升1.76%</t>
        </is>
      </c>
    </row>
    <row r="11">
      <c r="A11" s="10" t="inlineStr">
        <is>
          <t>新上榜</t>
        </is>
      </c>
      <c r="B11" s="11" t="inlineStr">
        <is>
          <t>OHI</t>
        </is>
      </c>
      <c r="C11" s="10" t="inlineStr">
        <is>
          <t>Omega Healthcare Investors Inc.</t>
        </is>
      </c>
      <c r="D11" s="10" t="inlineStr">
        <is>
          <t>房地產</t>
        </is>
      </c>
      <c r="E11" s="12" t="n">
        <v>143.54</v>
      </c>
      <c r="F11" s="13" t="n">
        <v>47.37</v>
      </c>
      <c r="G11" s="13" t="n">
        <v>46.91</v>
      </c>
      <c r="H11" s="14">
        <f>IF(G11="","",F11/G11-1)</f>
        <v/>
      </c>
      <c r="I11" s="10" t="n"/>
      <c r="J11" s="10" t="n">
        <v>44</v>
      </c>
      <c r="K11" s="10" t="inlineStr"/>
      <c r="L11" s="10" t="inlineStr">
        <is>
          <t>9/1 PACS接手32間佛州護理院、向Omega承租 → 單日+2.34%</t>
        </is>
      </c>
    </row>
    <row r="12">
      <c r="A12" s="10" t="inlineStr">
        <is>
          <t>新上榜</t>
        </is>
      </c>
      <c r="B12" s="11" t="inlineStr">
        <is>
          <t>SMCI</t>
        </is>
      </c>
      <c r="C12" s="10" t="inlineStr">
        <is>
          <t>Super Micro Computer Inc.</t>
        </is>
      </c>
      <c r="D12" s="10" t="inlineStr">
        <is>
          <t>科技</t>
        </is>
      </c>
      <c r="E12" s="12" t="n">
        <v>265.09</v>
      </c>
      <c r="F12" s="13" t="n">
        <v>40.35</v>
      </c>
      <c r="G12" s="13" t="n">
        <v>36.85</v>
      </c>
      <c r="H12" s="14">
        <f>IF(G12="","",F12/G12-1)</f>
        <v/>
      </c>
      <c r="I12" s="10" t="n"/>
      <c r="J12" s="10" t="n">
        <v>46</v>
      </c>
      <c r="K12" s="10" t="inlineStr"/>
      <c r="L12" s="10" t="inlineStr">
        <is>
          <t>7/21 毛利指引倍升 → 翌日+19.8%</t>
        </is>
      </c>
    </row>
    <row r="13">
      <c r="A13" s="10" t="inlineStr">
        <is>
          <t>新上榜</t>
        </is>
      </c>
      <c r="B13" s="11" t="inlineStr">
        <is>
          <t>KOPN</t>
        </is>
      </c>
      <c r="C13" s="10" t="inlineStr">
        <is>
          <t>Kopin Corporation</t>
        </is>
      </c>
      <c r="D13" s="10" t="inlineStr">
        <is>
          <t>科技</t>
        </is>
      </c>
      <c r="E13" s="12" t="n">
        <v>8.789999999999999</v>
      </c>
      <c r="F13" s="13" t="n">
        <v>4.73</v>
      </c>
      <c r="G13" s="13" t="n">
        <v>4.34</v>
      </c>
      <c r="H13" s="14">
        <f>IF(G13="","",F13/G13-1)</f>
        <v/>
      </c>
      <c r="I13" s="10" t="n"/>
      <c r="J13" s="10" t="n">
        <v>48</v>
      </c>
      <c r="K13" s="10" t="inlineStr"/>
      <c r="L13" s="10" t="inlineStr">
        <is>
          <t>8/11 Q2收入增51%勝預期、Fabric.AI $1,500萬訂單兼入股19.9% → 單日+23.52%</t>
        </is>
      </c>
    </row>
    <row r="14">
      <c r="A14" s="10" t="inlineStr">
        <is>
          <t>新上榜</t>
        </is>
      </c>
      <c r="B14" s="11" t="inlineStr">
        <is>
          <t>CRCT</t>
        </is>
      </c>
      <c r="C14" s="10" t="inlineStr">
        <is>
          <t>Cricut Inc. Class A</t>
        </is>
      </c>
      <c r="D14" s="10" t="inlineStr">
        <is>
          <t>科技</t>
        </is>
      </c>
      <c r="E14" s="12" t="n">
        <v>11.96</v>
      </c>
      <c r="F14" s="13" t="n">
        <v>5.71</v>
      </c>
      <c r="G14" s="13" t="n">
        <v>5.59</v>
      </c>
      <c r="H14" s="14">
        <f>IF(G14="","",F14/G14-1)</f>
        <v/>
      </c>
      <c r="I14" s="10" t="n"/>
      <c r="J14" s="10" t="n">
        <v>50</v>
      </c>
      <c r="K14" s="10" t="inlineStr"/>
      <c r="L14" s="10" t="inlineStr">
        <is>
          <t>8/4 Q2 EPS $0.19遠勝預期$0.04、毛利率74.5% → 翌日8/5升22.87%</t>
        </is>
      </c>
    </row>
    <row r="15">
      <c r="A15" s="10" t="inlineStr">
        <is>
          <t>新上榜</t>
        </is>
      </c>
      <c r="B15" s="11" t="inlineStr">
        <is>
          <t>XHLD</t>
        </is>
      </c>
      <c r="C15" s="10" t="inlineStr">
        <is>
          <t>TEN Holdings Inc.</t>
        </is>
      </c>
      <c r="D15" s="10" t="inlineStr">
        <is>
          <t>非必需消費</t>
        </is>
      </c>
      <c r="E15" s="12" t="n">
        <v>1.16</v>
      </c>
      <c r="F15" s="13" t="n">
        <v>9.720000000000001</v>
      </c>
      <c r="G15" s="13" t="n">
        <v>9.65</v>
      </c>
      <c r="H15" s="14">
        <f>IF(G15="","",F15/G15-1)</f>
        <v/>
      </c>
      <c r="I15" s="10" t="n"/>
      <c r="J15" s="10" t="n">
        <v>53</v>
      </c>
      <c r="K15" s="10" t="inlineStr"/>
      <c r="L15" s="10" t="inlineStr">
        <is>
          <t>9/16 授權$200萬回購兼同GLSoft建策略技術關係 → 翌日僅升0.73%</t>
        </is>
      </c>
    </row>
    <row r="16">
      <c r="A16" s="10" t="inlineStr">
        <is>
          <t>新上榜</t>
        </is>
      </c>
      <c r="B16" s="11" t="inlineStr">
        <is>
          <t>NATH</t>
        </is>
      </c>
      <c r="C16" s="10" t="inlineStr">
        <is>
          <t>Nathan's Famous Inc.</t>
        </is>
      </c>
      <c r="D16" s="10" t="inlineStr">
        <is>
          <t>非必需消費</t>
        </is>
      </c>
      <c r="E16" s="12" t="n">
        <v>4.01</v>
      </c>
      <c r="F16" s="13" t="n">
        <v>97.94</v>
      </c>
      <c r="G16" s="13" t="n">
        <v>98.67</v>
      </c>
      <c r="H16" s="14">
        <f>IF(G16="","",F16/G16-1)</f>
        <v/>
      </c>
      <c r="I16" s="10" t="n"/>
      <c r="J16" s="10" t="n">
        <v>56</v>
      </c>
      <c r="K16" s="10" t="inlineStr"/>
      <c r="L16" s="10" t="inlineStr">
        <is>
          <t>併購釘價：Smithfield $102 全現金 → 90 日內最大單日 1.5%</t>
        </is>
      </c>
    </row>
    <row r="17">
      <c r="A17" s="10" t="inlineStr">
        <is>
          <t>新上榜</t>
        </is>
      </c>
      <c r="B17" s="11" t="inlineStr">
        <is>
          <t>DFIN</t>
        </is>
      </c>
      <c r="C17" s="10" t="inlineStr">
        <is>
          <t>Donnelley Financial Solutions Inc.</t>
        </is>
      </c>
      <c r="D17" s="10" t="inlineStr">
        <is>
          <t>非必需消費</t>
        </is>
      </c>
      <c r="E17" s="12" t="n">
        <v>11.81</v>
      </c>
      <c r="F17" s="13" t="n">
        <v>48.02</v>
      </c>
      <c r="G17" s="13" t="n">
        <v>48.91</v>
      </c>
      <c r="H17" s="14">
        <f>IF(G17="","",F17/G17-1)</f>
        <v/>
      </c>
      <c r="I17" s="10" t="n"/>
      <c r="J17" s="10" t="n">
        <v>58</v>
      </c>
      <c r="K17" s="10" t="inlineStr"/>
      <c r="L17" s="10" t="inlineStr">
        <is>
          <t>7/30 Q2勝預期但當日反挫8.5% → 翌日僅回+0.6%，之後靠回購慢慢爬</t>
        </is>
      </c>
    </row>
    <row r="18">
      <c r="A18" s="10" t="inlineStr">
        <is>
          <t>新上榜</t>
        </is>
      </c>
      <c r="B18" s="11" t="inlineStr">
        <is>
          <t>TSLA</t>
        </is>
      </c>
      <c r="C18" s="10" t="inlineStr">
        <is>
          <t>Tesla Inc.</t>
        </is>
      </c>
      <c r="D18" s="10" t="inlineStr">
        <is>
          <t>非必需消費</t>
        </is>
      </c>
      <c r="E18" s="12" t="n">
        <v>14463.24</v>
      </c>
      <c r="F18" s="13" t="n">
        <v>366.2</v>
      </c>
      <c r="G18" s="13" t="n">
        <v>358.08</v>
      </c>
      <c r="H18" s="14">
        <f>IF(G18="","",F18/G18-1)</f>
        <v/>
      </c>
      <c r="I18" s="10" t="n"/>
      <c r="J18" s="10" t="n">
        <v>59</v>
      </c>
      <c r="K18" s="10" t="inlineStr"/>
      <c r="L18" s="10" t="inlineStr">
        <is>
          <t>8/21 內華達放行Robotaxi→單日升5.1%</t>
        </is>
      </c>
    </row>
    <row r="19">
      <c r="A19" s="10" t="inlineStr">
        <is>
          <t>新上榜</t>
        </is>
      </c>
      <c r="B19" s="11" t="inlineStr">
        <is>
          <t>IBM</t>
        </is>
      </c>
      <c r="C19" s="10" t="inlineStr">
        <is>
          <t>International Business Machines Corporation</t>
        </is>
      </c>
      <c r="D19" s="10" t="inlineStr">
        <is>
          <t>科技</t>
        </is>
      </c>
      <c r="E19" s="12" t="n">
        <v>2239.92</v>
      </c>
      <c r="F19" s="13" t="n">
        <v>237.75</v>
      </c>
      <c r="G19" s="13" t="n">
        <v>237.49</v>
      </c>
      <c r="H19" s="14">
        <f>IF(G19="","",F19/G19-1)</f>
        <v/>
      </c>
      <c r="I19" s="10" t="n"/>
      <c r="J19" s="10" t="n">
        <v>60</v>
      </c>
      <c r="K19" s="10" t="inlineStr"/>
      <c r="L19" s="10" t="inlineStr">
        <is>
          <t>9/10 瑞士CSCS裝Quantum System Two兼登月AI合作 → 翌日9/11升3.96%</t>
        </is>
      </c>
    </row>
    <row r="20">
      <c r="A20" s="10" t="inlineStr">
        <is>
          <t>新上榜</t>
        </is>
      </c>
      <c r="B20" s="11" t="inlineStr">
        <is>
          <t>CURI</t>
        </is>
      </c>
      <c r="C20" s="10" t="inlineStr">
        <is>
          <t>CuriosityStream Inc. Class A</t>
        </is>
      </c>
      <c r="D20" s="10" t="inlineStr">
        <is>
          <t>非必需消費</t>
        </is>
      </c>
      <c r="E20" s="12" t="n">
        <v>1.66</v>
      </c>
      <c r="F20" s="13" t="n">
        <v>2.795</v>
      </c>
      <c r="G20" s="13" t="n">
        <v>2.79</v>
      </c>
      <c r="H20" s="14">
        <f>IF(G20="","",F20/G20-1)</f>
        <v/>
      </c>
      <c r="I20" s="10" t="n"/>
      <c r="J20" s="10" t="n">
        <v>63</v>
      </c>
      <c r="K20" s="10" t="inlineStr"/>
      <c r="L20" s="10" t="inlineStr">
        <is>
          <t>8/13 Q2授權收入增48%、調整EBITDA增276%創新高 → 單日+42.5%</t>
        </is>
      </c>
    </row>
    <row r="21">
      <c r="A21" s="10" t="inlineStr">
        <is>
          <t>新上榜</t>
        </is>
      </c>
      <c r="B21" s="11" t="inlineStr">
        <is>
          <t>HYPD</t>
        </is>
      </c>
      <c r="C21" s="10" t="inlineStr">
        <is>
          <t>Hyperion DeFi Inc.</t>
        </is>
      </c>
      <c r="D21" s="10" t="inlineStr">
        <is>
          <t>醫療保健</t>
        </is>
      </c>
      <c r="E21" s="12" t="n">
        <v>0.54</v>
      </c>
      <c r="F21" s="13" t="n">
        <v>3.47</v>
      </c>
      <c r="G21" s="13" t="n">
        <v>3.27</v>
      </c>
      <c r="H21" s="14">
        <f>IF(G21="","",F21/G21-1)</f>
        <v/>
      </c>
      <c r="I21" s="10" t="n"/>
      <c r="J21" s="10" t="n">
        <v>66</v>
      </c>
      <c r="K21" s="10" t="inlineStr"/>
      <c r="L21" s="10" t="inlineStr">
        <is>
          <t>9/8 上調指引兼回購 → 單日+8.5%</t>
        </is>
      </c>
    </row>
    <row r="22">
      <c r="A22" s="10" t="inlineStr">
        <is>
          <t>新上榜</t>
        </is>
      </c>
      <c r="B22" s="11" t="inlineStr">
        <is>
          <t>OBIO</t>
        </is>
      </c>
      <c r="C22" s="10" t="inlineStr">
        <is>
          <t>Orchestra BioMed Holdings Inc.</t>
        </is>
      </c>
      <c r="D22" s="10" t="inlineStr">
        <is>
          <t>醫療保健</t>
        </is>
      </c>
      <c r="E22" s="12" t="n">
        <v>3.47</v>
      </c>
      <c r="F22" s="13" t="n">
        <v>5.78</v>
      </c>
      <c r="G22" s="13" t="n">
        <v>6.01</v>
      </c>
      <c r="H22" s="14">
        <f>IF(G22="","",F22/G22-1)</f>
        <v/>
      </c>
      <c r="I22" s="10" t="n"/>
      <c r="J22" s="10" t="n">
        <v>68</v>
      </c>
      <c r="K22" s="10" t="inlineStr"/>
      <c r="L22" s="10" t="inlineStr">
        <is>
          <t>8/10 Q2更新：BACKBEAT Q3內完成招募、現金$1.1億 → 8/11 Piper Sandler升目標價至$10</t>
        </is>
      </c>
    </row>
    <row r="23">
      <c r="A23" s="10" t="inlineStr">
        <is>
          <t>新上榜</t>
        </is>
      </c>
      <c r="B23" s="11" t="inlineStr">
        <is>
          <t>OESX</t>
        </is>
      </c>
      <c r="C23" s="10" t="inlineStr">
        <is>
          <t>Orion Energy Systems Inc.</t>
        </is>
      </c>
      <c r="D23" s="10" t="inlineStr">
        <is>
          <t>非必需消費</t>
        </is>
      </c>
      <c r="E23" s="12" t="n">
        <v>1.1</v>
      </c>
      <c r="F23" s="13" t="n">
        <v>26.99</v>
      </c>
      <c r="G23" s="13" t="n">
        <v>27.96</v>
      </c>
      <c r="H23" s="14">
        <f>IF(G23="","",F23/G23-1)</f>
        <v/>
      </c>
      <c r="I23" s="10" t="n"/>
      <c r="J23" s="10" t="n">
        <v>72</v>
      </c>
      <c r="K23" s="10" t="inlineStr"/>
      <c r="L23" s="10" t="inlineStr">
        <is>
          <t>8/5 FY27 Q1 EPS $0.47勝預期$0.14、收入增32% → 單日急升54%</t>
        </is>
      </c>
    </row>
    <row r="24">
      <c r="A24" s="10" t="inlineStr">
        <is>
          <t>新上榜</t>
        </is>
      </c>
      <c r="B24" s="11" t="inlineStr">
        <is>
          <t>NOW</t>
        </is>
      </c>
      <c r="C24" s="10" t="inlineStr">
        <is>
          <t>ServiceNow Inc.</t>
        </is>
      </c>
      <c r="D24" s="10" t="inlineStr">
        <is>
          <t>科技</t>
        </is>
      </c>
      <c r="E24" s="12" t="n">
        <v>1431.78</v>
      </c>
      <c r="F24" s="13" t="n">
        <v>138.47</v>
      </c>
      <c r="G24" s="13" t="n">
        <v>139.82</v>
      </c>
      <c r="H24" s="14">
        <f>IF(G24="","",F24/G24-1)</f>
        <v/>
      </c>
      <c r="I24" s="10" t="n"/>
      <c r="J24" s="10" t="n">
        <v>73</v>
      </c>
      <c r="K24" s="10" t="inlineStr"/>
      <c r="L24" s="10" t="inlineStr">
        <is>
          <t>7/22 Q2 EPS超預期18%、AI年合約值破$10億 → 兩日後抽7.4%</t>
        </is>
      </c>
    </row>
    <row r="25">
      <c r="A25" s="10" t="inlineStr">
        <is>
          <t>新上榜</t>
        </is>
      </c>
      <c r="B25" s="11" t="inlineStr">
        <is>
          <t>SPT</t>
        </is>
      </c>
      <c r="C25" s="10" t="inlineStr">
        <is>
          <t>Sprout Social Inc Class A</t>
        </is>
      </c>
      <c r="D25" s="10" t="inlineStr">
        <is>
          <t>科技</t>
        </is>
      </c>
      <c r="E25" s="12" t="n">
        <v>6.56</v>
      </c>
      <c r="F25" s="13" t="n">
        <v>10.82</v>
      </c>
      <c r="G25" s="13" t="n">
        <v>11.27</v>
      </c>
      <c r="H25" s="14">
        <f>IF(G25="","",F25/G25-1)</f>
        <v/>
      </c>
      <c r="I25" s="10" t="n"/>
      <c r="J25" s="10" t="n">
        <v>74</v>
      </c>
      <c r="K25" s="10" t="inlineStr"/>
      <c r="L25" s="10" t="inlineStr">
        <is>
          <t>8/6 Q2績後上調全年營運利潤指引20%、裁員20%慳$5,000萬 → 翌日單日+26.3%</t>
        </is>
      </c>
    </row>
    <row r="26">
      <c r="A26" s="10" t="inlineStr">
        <is>
          <t>新上榜</t>
        </is>
      </c>
      <c r="B26" s="11" t="inlineStr">
        <is>
          <t>CTKB</t>
        </is>
      </c>
      <c r="C26" s="10" t="inlineStr">
        <is>
          <t>Cytek Biosciences Inc.</t>
        </is>
      </c>
      <c r="D26" s="10" t="inlineStr">
        <is>
          <t>工業</t>
        </is>
      </c>
      <c r="E26" s="12" t="n">
        <v>6.77</v>
      </c>
      <c r="F26" s="13" t="n">
        <v>5.21</v>
      </c>
      <c r="G26" s="13" t="n">
        <v>4.93</v>
      </c>
      <c r="H26" s="14">
        <f>IF(G26="","",F26/G26-1)</f>
        <v/>
      </c>
      <c r="I26" s="10" t="n"/>
      <c r="J26" s="10" t="n">
        <v>79</v>
      </c>
      <c r="K26" s="10" t="inlineStr"/>
      <c r="L26" s="10" t="inlineStr">
        <is>
          <t>無個股催化 · 隨生命科學工具板塊回升</t>
        </is>
      </c>
    </row>
    <row r="27">
      <c r="A27" s="10" t="inlineStr">
        <is>
          <t>新上榜</t>
        </is>
      </c>
      <c r="B27" s="11" t="inlineStr">
        <is>
          <t>ABTC</t>
        </is>
      </c>
      <c r="C27" s="10" t="inlineStr">
        <is>
          <t>American Bitcoin Corp. Class A</t>
        </is>
      </c>
      <c r="D27" s="10" t="inlineStr">
        <is>
          <t>金融</t>
        </is>
      </c>
      <c r="E27" s="12" t="n">
        <v>6.43</v>
      </c>
      <c r="F27" s="13" t="n">
        <v>8.83</v>
      </c>
      <c r="G27" s="13" t="n">
        <v>8.140000000000001</v>
      </c>
      <c r="H27" s="14">
        <f>IF(G27="","",F27/G27-1)</f>
        <v/>
      </c>
      <c r="I27" s="10" t="n"/>
      <c r="J27" s="10" t="n">
        <v>82</v>
      </c>
      <c r="K27" s="10" t="inlineStr"/>
      <c r="L27" s="10" t="inlineStr">
        <is>
          <t>9/16 BTIG首予買入、目標價$15 → 翌日單日+8.5%</t>
        </is>
      </c>
    </row>
    <row r="28">
      <c r="A28" s="10" t="inlineStr">
        <is>
          <t>新上榜</t>
        </is>
      </c>
      <c r="B28" s="11" t="inlineStr">
        <is>
          <t>NWSA</t>
        </is>
      </c>
      <c r="C28" s="10" t="inlineStr">
        <is>
          <t>News Corporation Class A</t>
        </is>
      </c>
      <c r="D28" s="10" t="inlineStr">
        <is>
          <t>通訊服務</t>
        </is>
      </c>
      <c r="E28" s="12" t="n">
        <v>163.29</v>
      </c>
      <c r="F28" s="13" t="n">
        <v>30.18</v>
      </c>
      <c r="G28" s="13" t="n">
        <v>30.19</v>
      </c>
      <c r="H28" s="14">
        <f>IF(G28="","",F28/G28-1)</f>
        <v/>
      </c>
      <c r="I28" s="10" t="n"/>
      <c r="J28" s="10" t="n">
        <v>84</v>
      </c>
      <c r="K28" s="10" t="inlineStr"/>
      <c r="L28" s="10" t="inlineStr">
        <is>
          <t>8/5 Q4分部EBITDA創紀錄飆31%、回購加碼至$6.43億 → 股價回升</t>
        </is>
      </c>
    </row>
    <row r="29">
      <c r="A29" s="10" t="inlineStr">
        <is>
          <t>新上榜</t>
        </is>
      </c>
      <c r="B29" s="11" t="inlineStr">
        <is>
          <t>APPF</t>
        </is>
      </c>
      <c r="C29" s="10" t="inlineStr">
        <is>
          <t>AppFolio Inc. Class A</t>
        </is>
      </c>
      <c r="D29" s="10" t="inlineStr">
        <is>
          <t>科技</t>
        </is>
      </c>
      <c r="E29" s="12" t="n">
        <v>77.81999999999999</v>
      </c>
      <c r="F29" s="13" t="n">
        <v>219.735</v>
      </c>
      <c r="G29" s="13" t="n">
        <v>221.17</v>
      </c>
      <c r="H29" s="14">
        <f>IF(G29="","",F29/G29-1)</f>
        <v/>
      </c>
      <c r="I29" s="10" t="n"/>
      <c r="J29" s="10" t="n">
        <v>85</v>
      </c>
      <c r="K29" s="10" t="inlineStr"/>
      <c r="L29" s="10" t="inlineStr">
        <is>
          <t>7/23 Q2收入增19%、TTM首破10億美元兼上調全年指引 → 扭轉七月跌勢</t>
        </is>
      </c>
    </row>
    <row r="30">
      <c r="A30" s="10" t="inlineStr">
        <is>
          <t>新上榜</t>
        </is>
      </c>
      <c r="B30" s="11" t="inlineStr">
        <is>
          <t>CTSH</t>
        </is>
      </c>
      <c r="C30" s="10" t="inlineStr">
        <is>
          <t>Cognizant Technology Solutions Corporation Class A</t>
        </is>
      </c>
      <c r="D30" s="10" t="inlineStr">
        <is>
          <t>科技</t>
        </is>
      </c>
      <c r="E30" s="12" t="n">
        <v>278.73</v>
      </c>
      <c r="F30" s="13" t="n">
        <v>61.88</v>
      </c>
      <c r="G30" s="13" t="n">
        <v>61.85</v>
      </c>
      <c r="H30" s="14">
        <f>IF(G30="","",F30/G30-1)</f>
        <v/>
      </c>
      <c r="I30" s="10" t="n"/>
      <c r="J30" s="10" t="n">
        <v>86</v>
      </c>
      <c r="K30" s="10" t="inlineStr"/>
      <c r="L30" s="10" t="inlineStr">
        <is>
          <t>7/29 Q2收入$55億升4.1%、上調EPS指引 → 大行齊升目標價</t>
        </is>
      </c>
    </row>
    <row r="31">
      <c r="A31" s="10" t="inlineStr">
        <is>
          <t>新上榜</t>
        </is>
      </c>
      <c r="B31" s="11" t="inlineStr">
        <is>
          <t>IESC</t>
        </is>
      </c>
      <c r="C31" s="10" t="inlineStr">
        <is>
          <t>IES Holdings Inc.</t>
        </is>
      </c>
      <c r="D31" s="10" t="inlineStr">
        <is>
          <t>工業</t>
        </is>
      </c>
      <c r="E31" s="12" t="n">
        <v>126.38</v>
      </c>
      <c r="F31" s="13" t="n">
        <v>317.16</v>
      </c>
      <c r="G31" s="13" t="n">
        <v>325.02</v>
      </c>
      <c r="H31" s="14">
        <f>IF(G31="","",F31/G31-1)</f>
        <v/>
      </c>
      <c r="I31" s="10" t="n"/>
      <c r="J31" s="10" t="n">
        <v>88</v>
      </c>
      <c r="K31" s="10" t="inlineStr"/>
      <c r="L31" s="10" t="inlineStr">
        <is>
          <t>7/31 Q3收入增40%、調整EPS $6.70勝預期39%兼1拆2 → 單日+30.3%</t>
        </is>
      </c>
    </row>
    <row r="32">
      <c r="A32" s="2" t="inlineStr">
        <is>
          <t>跌出</t>
        </is>
      </c>
      <c r="B32" s="3" t="inlineStr">
        <is>
          <t>LILAK</t>
        </is>
      </c>
      <c r="C32" s="2" t="inlineStr">
        <is>
          <t>Liberty Latin America Ltd. Class C</t>
        </is>
      </c>
      <c r="D32" s="2" t="inlineStr">
        <is>
          <t>電訊</t>
        </is>
      </c>
      <c r="E32" s="4" t="n">
        <v>17.08</v>
      </c>
      <c r="F32" s="5" t="n">
        <v>8.57</v>
      </c>
      <c r="G32" s="5" t="n">
        <v>8.720000000000001</v>
      </c>
      <c r="H32" s="6">
        <f>IF(G32="","",F32/G32-1)</f>
        <v/>
      </c>
      <c r="I32" s="2" t="n">
        <v>7</v>
      </c>
      <c r="J32" s="2" t="n"/>
      <c r="K32" s="2" t="inlineStr">
        <is>
          <t>四個時間框嘅 MA 條件全部唔再成立</t>
        </is>
      </c>
      <c r="L32" s="2" t="inlineStr">
        <is>
          <t>8/5 Q2 OIBDA 4.36億 → 簽Amdocs 10年約</t>
        </is>
      </c>
    </row>
    <row r="33">
      <c r="A33" s="2" t="inlineStr">
        <is>
          <t>跌出</t>
        </is>
      </c>
      <c r="B33" s="3" t="inlineStr">
        <is>
          <t>LILA</t>
        </is>
      </c>
      <c r="C33" s="2" t="inlineStr">
        <is>
          <t>Liberty Latin America Ltd. Class A</t>
        </is>
      </c>
      <c r="D33" s="2" t="inlineStr">
        <is>
          <t>電訊</t>
        </is>
      </c>
      <c r="E33" s="4" t="n">
        <v>17.12</v>
      </c>
      <c r="F33" s="5" t="n">
        <v>8.529999999999999</v>
      </c>
      <c r="G33" s="5" t="n">
        <v>8.74</v>
      </c>
      <c r="H33" s="6">
        <f>IF(G33="","",F33/G33-1)</f>
        <v/>
      </c>
      <c r="I33" s="2" t="n">
        <v>9</v>
      </c>
      <c r="J33" s="2" t="n"/>
      <c r="K33" s="2" t="inlineStr">
        <is>
          <t>四個時間框嘅 MA 條件全部唔再成立</t>
        </is>
      </c>
      <c r="L33" s="2" t="inlineStr">
        <is>
          <t>7/21 售秘魯WOW權益；8/5 Q2 OIBDA升5%</t>
        </is>
      </c>
    </row>
    <row r="34">
      <c r="A34" s="2" t="inlineStr">
        <is>
          <t>跌出</t>
        </is>
      </c>
      <c r="B34" s="3" t="inlineStr">
        <is>
          <t>OPHC</t>
        </is>
      </c>
      <c r="C34" s="2" t="inlineStr">
        <is>
          <t>OptimumBank Holdings Inc.</t>
        </is>
      </c>
      <c r="D34" s="2" t="inlineStr">
        <is>
          <t>金融</t>
        </is>
      </c>
      <c r="E34" s="4" t="n">
        <v>1.15</v>
      </c>
      <c r="F34" s="5" t="n">
        <v>9.220000000000001</v>
      </c>
      <c r="G34" s="5" t="n">
        <v>9.09</v>
      </c>
      <c r="H34" s="6">
        <f>IF(G34="","",F34/G34-1)</f>
        <v/>
      </c>
      <c r="I34" s="2" t="n">
        <v>24</v>
      </c>
      <c r="J34" s="2" t="n"/>
      <c r="K34" s="2" t="inlineStr">
        <is>
          <t>MA 仍達標，底部序列斷咗或過咗 25 日窗口</t>
        </is>
      </c>
      <c r="L34" s="2" t="inlineStr">
        <is>
          <t>7/23 Q2純利創新高＋上調EPS指引</t>
        </is>
      </c>
    </row>
    <row r="35">
      <c r="A35" s="2" t="inlineStr">
        <is>
          <t>跌出</t>
        </is>
      </c>
      <c r="B35" s="3" t="inlineStr">
        <is>
          <t>TALO</t>
        </is>
      </c>
      <c r="C35" s="2" t="inlineStr">
        <is>
          <t>Talos Energy Inc.</t>
        </is>
      </c>
      <c r="D35" s="2" t="inlineStr">
        <is>
          <t>能源</t>
        </is>
      </c>
      <c r="E35" s="4" t="n">
        <v>29.09</v>
      </c>
      <c r="F35" s="5" t="n">
        <v>17.15</v>
      </c>
      <c r="G35" s="5" t="n">
        <v>17.42</v>
      </c>
      <c r="H35" s="6">
        <f>IF(G35="","",F35/G35-1)</f>
        <v/>
      </c>
      <c r="I35" s="2" t="n">
        <v>36</v>
      </c>
      <c r="J35" s="2" t="n"/>
      <c r="K35" s="2" t="inlineStr">
        <is>
          <t>四個時間框嘅 MA 條件全部唔再成立</t>
        </is>
      </c>
      <c r="L35" s="2" t="inlineStr">
        <is>
          <t>8/6 Q2 EPS $0.57大勝$0.32 → 事件日−0.7%</t>
        </is>
      </c>
    </row>
    <row r="36">
      <c r="A36" s="2" t="inlineStr">
        <is>
          <t>跌出</t>
        </is>
      </c>
      <c r="B36" s="3" t="inlineStr">
        <is>
          <t>OOMA</t>
        </is>
      </c>
      <c r="C36" s="2" t="inlineStr">
        <is>
          <t>Ooma Inc.</t>
        </is>
      </c>
      <c r="D36" s="2" t="inlineStr">
        <is>
          <t>科技</t>
        </is>
      </c>
      <c r="E36" s="4" t="n">
        <v>6.23</v>
      </c>
      <c r="F36" s="5" t="n">
        <v>22.35</v>
      </c>
      <c r="G36" s="5" t="n">
        <v>22.58</v>
      </c>
      <c r="H36" s="6">
        <f>IF(G36="","",F36/G36-1)</f>
        <v/>
      </c>
      <c r="I36" s="2" t="n">
        <v>39</v>
      </c>
      <c r="J36" s="2" t="n"/>
      <c r="K36" s="2" t="inlineStr">
        <is>
          <t>四個時間框嘅 MA 條件全部唔再成立</t>
        </is>
      </c>
      <c r="L36" s="2" t="inlineStr">
        <is>
          <t>8/26 Q2收入升25%、上調指引 → 8/27單日+12.2%</t>
        </is>
      </c>
    </row>
    <row r="37">
      <c r="A37" s="2" t="inlineStr">
        <is>
          <t>跌出</t>
        </is>
      </c>
      <c r="B37" s="3" t="inlineStr">
        <is>
          <t>CRGY</t>
        </is>
      </c>
      <c r="C37" s="2" t="inlineStr">
        <is>
          <t>Crescent Energy Company Class A</t>
        </is>
      </c>
      <c r="D37" s="2" t="inlineStr">
        <is>
          <t>能源</t>
        </is>
      </c>
      <c r="E37" s="4" t="n">
        <v>47.58</v>
      </c>
      <c r="F37" s="5" t="n">
        <v>14.11</v>
      </c>
      <c r="G37" s="5" t="n">
        <v>14.4</v>
      </c>
      <c r="H37" s="6">
        <f>IF(G37="","",F37/G37-1)</f>
        <v/>
      </c>
      <c r="I37" s="2" t="n">
        <v>40</v>
      </c>
      <c r="J37" s="2" t="n"/>
      <c r="K37" s="2" t="inlineStr">
        <is>
          <t>四個時間框嘅 MA 條件全部唔再成立</t>
        </is>
      </c>
      <c r="L37" s="2" t="inlineStr">
        <is>
          <t>8/3 Q2收入升55%、勝預期16.5% → 協同目標升至2.5-3億</t>
        </is>
      </c>
    </row>
    <row r="38">
      <c r="A38" s="2" t="inlineStr">
        <is>
          <t>跌出</t>
        </is>
      </c>
      <c r="B38" s="3" t="inlineStr">
        <is>
          <t>AD</t>
        </is>
      </c>
      <c r="C38" s="2" t="inlineStr">
        <is>
          <t>Array Digital Infrastructure Inc. Common Shares</t>
        </is>
      </c>
      <c r="D38" s="2" t="inlineStr">
        <is>
          <t>電訊</t>
        </is>
      </c>
      <c r="E38" s="4" t="n">
        <v>32.78</v>
      </c>
      <c r="F38" s="5" t="n">
        <v>36.85</v>
      </c>
      <c r="G38" s="5" t="n">
        <v>37.9</v>
      </c>
      <c r="H38" s="6">
        <f>IF(G38="","",F38/G38-1)</f>
        <v/>
      </c>
      <c r="I38" s="2" t="n">
        <v>42</v>
      </c>
      <c r="J38" s="2" t="n"/>
      <c r="K38" s="2" t="inlineStr">
        <is>
          <t>四個時間框嘅 MA 條件全部唔再成立</t>
        </is>
      </c>
      <c r="L38" s="2" t="inlineStr">
        <is>
          <t>無個股催化，9/1 TDS撤回換股建議當日+0.7%</t>
        </is>
      </c>
    </row>
    <row r="39">
      <c r="A39" s="2" t="inlineStr">
        <is>
          <t>跌出</t>
        </is>
      </c>
      <c r="B39" s="3" t="inlineStr">
        <is>
          <t>PESI</t>
        </is>
      </c>
      <c r="C39" s="2" t="inlineStr">
        <is>
          <t>Perma-Fix Environmental Services Inc.</t>
        </is>
      </c>
      <c r="D39" s="2" t="inlineStr">
        <is>
          <t>工業</t>
        </is>
      </c>
      <c r="E39" s="4" t="n">
        <v>3.86</v>
      </c>
      <c r="F39" s="5" t="n">
        <v>17.89</v>
      </c>
      <c r="G39" s="5" t="n">
        <v>18.2</v>
      </c>
      <c r="H39" s="6">
        <f>IF(G39="","",F39/G39-1)</f>
        <v/>
      </c>
      <c r="I39" s="2" t="n">
        <v>47</v>
      </c>
      <c r="J39" s="2" t="n"/>
      <c r="K39" s="2" t="inlineStr">
        <is>
          <t>四個時間框嘅 MA 條件全部唔再成立（兼收市 $17.89 跌穿最後一個底 $18.25）</t>
        </is>
      </c>
      <c r="L39" s="2" t="inlineStr">
        <is>
          <t>未有可考日期：獲Hanford主IDIQ分包合約、DFLAW開始接收</t>
        </is>
      </c>
    </row>
    <row r="40">
      <c r="A40" s="2" t="inlineStr">
        <is>
          <t>跌出</t>
        </is>
      </c>
      <c r="B40" s="3" t="inlineStr">
        <is>
          <t>PBF</t>
        </is>
      </c>
      <c r="C40" s="2" t="inlineStr">
        <is>
          <t>PBF Energy Inc. Class A</t>
        </is>
      </c>
      <c r="D40" s="2" t="inlineStr">
        <is>
          <t>能源</t>
        </is>
      </c>
      <c r="E40" s="4" t="n">
        <v>90.01000000000001</v>
      </c>
      <c r="F40" s="5" t="n">
        <v>77.16</v>
      </c>
      <c r="G40" s="5" t="n">
        <v>75.93000000000001</v>
      </c>
      <c r="H40" s="6">
        <f>IF(G40="","",F40/G40-1)</f>
        <v/>
      </c>
      <c r="I40" s="2" t="n">
        <v>48</v>
      </c>
      <c r="J40" s="2" t="n"/>
      <c r="K40" s="2" t="inlineStr">
        <is>
          <t>MA 仍達標，底部序列斷咗或過咗 25 日窗口</t>
        </is>
      </c>
      <c r="L40" s="2" t="inlineStr">
        <is>
          <t>7/30 Q2大勝、裂解價差飆 → 單日+15.4%</t>
        </is>
      </c>
    </row>
    <row r="41">
      <c r="A41" s="2" t="inlineStr">
        <is>
          <t>跌出</t>
        </is>
      </c>
      <c r="B41" s="3" t="inlineStr">
        <is>
          <t>TARS</t>
        </is>
      </c>
      <c r="C41" s="2" t="inlineStr">
        <is>
          <t>Tarsus Pharmaceuticals Inc.</t>
        </is>
      </c>
      <c r="D41" s="2" t="inlineStr">
        <is>
          <t>醫療保健</t>
        </is>
      </c>
      <c r="E41" s="4" t="n">
        <v>36.33</v>
      </c>
      <c r="F41" s="5" t="n">
        <v>79.03</v>
      </c>
      <c r="G41" s="5" t="n">
        <v>77.64</v>
      </c>
      <c r="H41" s="6">
        <f>IF(G41="","",F41/G41-1)</f>
        <v/>
      </c>
      <c r="I41" s="2" t="n">
        <v>53</v>
      </c>
      <c r="J41" s="2" t="n"/>
      <c r="K41" s="2" t="inlineStr">
        <is>
          <t>四個時間框嘅 MA 條件全部唔再成立</t>
        </is>
      </c>
      <c r="L41" s="2" t="inlineStr">
        <is>
          <t>8/6 銷售升69%、收購Alkeus → 單日+6.6%</t>
        </is>
      </c>
    </row>
    <row r="42">
      <c r="A42" s="2" t="inlineStr">
        <is>
          <t>跌出</t>
        </is>
      </c>
      <c r="B42" s="3" t="inlineStr">
        <is>
          <t>VZ</t>
        </is>
      </c>
      <c r="C42" s="2" t="inlineStr">
        <is>
          <t>Verizon Communications Inc.</t>
        </is>
      </c>
      <c r="D42" s="2" t="inlineStr">
        <is>
          <t>通訊服務</t>
        </is>
      </c>
      <c r="E42" s="4" t="n">
        <v>2067.42</v>
      </c>
      <c r="F42" s="5" t="n">
        <v>48.33</v>
      </c>
      <c r="G42" s="5" t="n">
        <v>49.76</v>
      </c>
      <c r="H42" s="6">
        <f>IF(G42="","",F42/G42-1)</f>
        <v/>
      </c>
      <c r="I42" s="2" t="n">
        <v>57</v>
      </c>
      <c r="J42" s="2" t="n"/>
      <c r="K42" s="2" t="inlineStr">
        <is>
          <t>四個時間框嘅 MA 條件全部唔再成立（兼收市 $48.33 跌穿最後一個底 $49.74）</t>
        </is>
      </c>
      <c r="L42" s="2" t="inlineStr">
        <is>
          <t>7/24 Q2後付費淨增18.4萬遠超預期、擴大回購 → 業績後回升</t>
        </is>
      </c>
    </row>
    <row r="43">
      <c r="A43" s="2" t="inlineStr">
        <is>
          <t>跌出</t>
        </is>
      </c>
      <c r="B43" s="3" t="inlineStr">
        <is>
          <t>GBTG</t>
        </is>
      </c>
      <c r="C43" s="2" t="inlineStr">
        <is>
          <t>Global Business Travel Group Inc. Class A</t>
        </is>
      </c>
      <c r="D43" s="2" t="inlineStr">
        <is>
          <t>非必需消費</t>
        </is>
      </c>
      <c r="E43" s="4" t="n">
        <v>49.47</v>
      </c>
      <c r="F43" s="5" t="n">
        <v>9.460000000000001</v>
      </c>
      <c r="G43" s="5" t="n">
        <v>9.470000000000001</v>
      </c>
      <c r="H43" s="6">
        <f>IF(G43="","",F43/G43-1)</f>
        <v/>
      </c>
      <c r="I43" s="2" t="n">
        <v>59</v>
      </c>
      <c r="J43" s="2" t="n"/>
      <c r="K43" s="2" t="inlineStr">
        <is>
          <t>四個時間框嘅 MA 條件全部唔再成立</t>
        </is>
      </c>
      <c r="L43" s="2" t="inlineStr">
        <is>
          <t>8/3 股東通過Long Lake $9.50全現金私有化 → 股價貼近作價</t>
        </is>
      </c>
    </row>
    <row r="44">
      <c r="A44" s="2" t="inlineStr">
        <is>
          <t>跌出</t>
        </is>
      </c>
      <c r="B44" s="3" t="inlineStr">
        <is>
          <t>FUBO</t>
        </is>
      </c>
      <c r="C44" s="2" t="inlineStr">
        <is>
          <t>FuboTV Inc. Class A</t>
        </is>
      </c>
      <c r="D44" s="2" t="inlineStr">
        <is>
          <t>非必需消費</t>
        </is>
      </c>
      <c r="E44" s="4" t="n">
        <v>11.57</v>
      </c>
      <c r="F44" s="5" t="n">
        <v>9.9</v>
      </c>
      <c r="G44" s="5" t="n">
        <v>10.6</v>
      </c>
      <c r="H44" s="6">
        <f>IF(G44="","",F44/G44-1)</f>
        <v/>
      </c>
      <c r="I44" s="2" t="n">
        <v>60</v>
      </c>
      <c r="J44" s="2" t="n"/>
      <c r="K44" s="2" t="inlineStr">
        <is>
          <t>四個時間框嘅 MA 條件全部唔再成立（兼收市 $9.9 跌穿最後一個底 $10.71）</t>
        </is>
      </c>
      <c r="L44" s="2" t="inlineStr">
        <is>
          <t>9/2 迪士尼Hulu協同獲重估→+6.9%</t>
        </is>
      </c>
    </row>
    <row r="45">
      <c r="A45" s="2" t="inlineStr">
        <is>
          <t>跌出</t>
        </is>
      </c>
      <c r="B45" s="3" t="inlineStr">
        <is>
          <t>FCFS</t>
        </is>
      </c>
      <c r="C45" s="2" t="inlineStr">
        <is>
          <t>FirstCash Holdings Inc.</t>
        </is>
      </c>
      <c r="D45" s="2" t="inlineStr">
        <is>
          <t>非必需消費</t>
        </is>
      </c>
      <c r="E45" s="4" t="n">
        <v>95.29000000000001</v>
      </c>
      <c r="F45" s="5" t="n">
        <v>218.97</v>
      </c>
      <c r="G45" s="5" t="n">
        <v>219.7</v>
      </c>
      <c r="H45" s="6">
        <f>IF(G45="","",F45/G45-1)</f>
        <v/>
      </c>
      <c r="I45" s="2" t="n">
        <v>61</v>
      </c>
      <c r="J45" s="2" t="n"/>
      <c r="K45" s="2" t="inlineStr">
        <is>
          <t>四個時間框嘅 MA 條件全部唔再成立</t>
        </is>
      </c>
      <c r="L45" s="2" t="inlineStr">
        <is>
          <t>7/23 Q2破頂上調指引 → 事件日反跌5.4%</t>
        </is>
      </c>
    </row>
    <row r="46">
      <c r="A46" s="2" t="inlineStr">
        <is>
          <t>跌出</t>
        </is>
      </c>
      <c r="B46" s="3" t="inlineStr">
        <is>
          <t>NMAX</t>
        </is>
      </c>
      <c r="C46" s="2" t="inlineStr">
        <is>
          <t>Newsmax Inc. Class B</t>
        </is>
      </c>
      <c r="D46" s="2" t="inlineStr">
        <is>
          <t>工業</t>
        </is>
      </c>
      <c r="E46" s="4" t="n">
        <v>13.48</v>
      </c>
      <c r="F46" s="5" t="n">
        <v>10.26</v>
      </c>
      <c r="G46" s="5" t="n">
        <v>10.44</v>
      </c>
      <c r="H46" s="6">
        <f>IF(G46="","",F46/G46-1)</f>
        <v/>
      </c>
      <c r="I46" s="2" t="n">
        <v>62</v>
      </c>
      <c r="J46" s="2" t="n"/>
      <c r="K46" s="2" t="inlineStr">
        <is>
          <t>四個時間框嘅 MA 條件全部唔再成立（兼收市 $10.26 跌穿最後一個底 $10.62）</t>
        </is>
      </c>
      <c r="L46" s="2" t="inlineStr">
        <is>
          <t>8/13 Q2首錄盈利兼收入創新高→+7.1%</t>
        </is>
      </c>
    </row>
    <row r="47">
      <c r="A47" s="2" t="inlineStr">
        <is>
          <t>跌出</t>
        </is>
      </c>
      <c r="B47" s="3" t="inlineStr">
        <is>
          <t>RGA</t>
        </is>
      </c>
      <c r="C47" s="2" t="inlineStr">
        <is>
          <t>Reinsurance Group of America Incorporated</t>
        </is>
      </c>
      <c r="D47" s="2" t="inlineStr">
        <is>
          <t>金融</t>
        </is>
      </c>
      <c r="E47" s="4" t="n">
        <v>162.01</v>
      </c>
      <c r="F47" s="5" t="n">
        <v>245.77</v>
      </c>
      <c r="G47" s="5" t="n">
        <v>248.09</v>
      </c>
      <c r="H47" s="6">
        <f>IF(G47="","",F47/G47-1)</f>
        <v/>
      </c>
      <c r="I47" s="2" t="n">
        <v>63</v>
      </c>
      <c r="J47" s="2" t="n"/>
      <c r="K47" s="2" t="inlineStr">
        <is>
          <t>四個時間框嘅 MA 條件全部唔再成立</t>
        </is>
      </c>
      <c r="L47" s="2" t="inlineStr">
        <is>
          <t>8/6 Q2 EPS $8.89創紀錄 → 翌日升4.2%</t>
        </is>
      </c>
    </row>
    <row r="48">
      <c r="A48" s="2" t="inlineStr">
        <is>
          <t>跌出</t>
        </is>
      </c>
      <c r="B48" s="3" t="inlineStr">
        <is>
          <t>DAN</t>
        </is>
      </c>
      <c r="C48" s="2" t="inlineStr">
        <is>
          <t>Dana Incorporated</t>
        </is>
      </c>
      <c r="D48" s="2" t="inlineStr">
        <is>
          <t>非必需消費</t>
        </is>
      </c>
      <c r="E48" s="4" t="n">
        <v>32.23</v>
      </c>
      <c r="F48" s="5" t="n">
        <v>30.5</v>
      </c>
      <c r="G48" s="5" t="n">
        <v>29.96</v>
      </c>
      <c r="H48" s="6">
        <f>IF(G48="","",F48/G48-1)</f>
        <v/>
      </c>
      <c r="I48" s="2" t="n">
        <v>68</v>
      </c>
      <c r="J48" s="2" t="n"/>
      <c r="K48" s="2" t="inlineStr">
        <is>
          <t>四個時間框嘅 MA 條件全部唔再成立</t>
        </is>
      </c>
      <c r="L48" s="2" t="inlineStr">
        <is>
          <t>8/6 上調指引、重啟回購 → 翌日升4%</t>
        </is>
      </c>
    </row>
    <row r="49">
      <c r="A49" s="2" t="inlineStr">
        <is>
          <t>跌出</t>
        </is>
      </c>
      <c r="B49" s="3" t="inlineStr">
        <is>
          <t>LIFE</t>
        </is>
      </c>
      <c r="C49" s="2" t="inlineStr">
        <is>
          <t>Ethos Technologies Inc. Class A</t>
        </is>
      </c>
      <c r="D49" s="2" t="inlineStr">
        <is>
          <t>金融</t>
        </is>
      </c>
      <c r="E49" s="4" t="n">
        <v>24.58</v>
      </c>
      <c r="F49" s="5" t="n">
        <v>36.4</v>
      </c>
      <c r="G49" s="5" t="n">
        <v>38.55</v>
      </c>
      <c r="H49" s="6">
        <f>IF(G49="","",F49/G49-1)</f>
        <v/>
      </c>
      <c r="I49" s="2" t="n">
        <v>71</v>
      </c>
      <c r="J49" s="2" t="n"/>
      <c r="K49" s="2" t="inlineStr">
        <is>
          <t>四個時間框嘅 MA 條件全部唔再成立（兼收市 $36.4 跌穿最後一個底 $38.85）</t>
        </is>
      </c>
      <c r="L49" s="2" t="inlineStr">
        <is>
          <t>8/3 Q2收入+113%兼升指引 → 翌日+21.1%</t>
        </is>
      </c>
    </row>
    <row r="50">
      <c r="A50" s="2" t="inlineStr">
        <is>
          <t>跌出</t>
        </is>
      </c>
      <c r="B50" s="3" t="inlineStr">
        <is>
          <t>HRZN</t>
        </is>
      </c>
      <c r="C50" s="2" t="inlineStr">
        <is>
          <t>Horizon Technology Finance Corporation</t>
        </is>
      </c>
      <c r="D50" s="2" t="inlineStr">
        <is>
          <t>金融</t>
        </is>
      </c>
      <c r="E50" s="4" t="n">
        <v>3.04</v>
      </c>
      <c r="F50" s="5" t="n">
        <v>4.72</v>
      </c>
      <c r="G50" s="5" t="n">
        <v>4.53</v>
      </c>
      <c r="H50" s="6">
        <f>IF(G50="","",F50/G50-1)</f>
        <v/>
      </c>
      <c r="I50" s="2" t="n">
        <v>77</v>
      </c>
      <c r="J50" s="2" t="n"/>
      <c r="K50" s="2" t="inlineStr">
        <is>
          <t>四個時間框嘅 MA 條件全部唔再成立（兼收市 $4.72 跌穿最後一個底 $4.79）</t>
        </is>
      </c>
      <c r="L50" s="2" t="inlineStr">
        <is>
          <t>無個股催化，折讓＋高息承接</t>
        </is>
      </c>
    </row>
    <row r="51">
      <c r="A51" s="2" t="inlineStr">
        <is>
          <t>跌出</t>
        </is>
      </c>
      <c r="B51" s="3" t="inlineStr">
        <is>
          <t>INBK</t>
        </is>
      </c>
      <c r="C51" s="2" t="inlineStr">
        <is>
          <t>First Internet Bancorp</t>
        </is>
      </c>
      <c r="D51" s="2" t="inlineStr">
        <is>
          <t>金融</t>
        </is>
      </c>
      <c r="E51" s="4" t="n">
        <v>2.41</v>
      </c>
      <c r="F51" s="5" t="n">
        <v>27.64</v>
      </c>
      <c r="G51" s="5" t="n">
        <v>27.54</v>
      </c>
      <c r="H51" s="6">
        <f>IF(G51="","",F51/G51-1)</f>
        <v/>
      </c>
      <c r="I51" s="2" t="n">
        <v>79</v>
      </c>
      <c r="J51" s="2" t="n"/>
      <c r="K51" s="2" t="inlineStr">
        <is>
          <t>四個時間框嘅 MA 條件全部唔再成立</t>
        </is>
      </c>
      <c r="L51" s="2" t="inlineStr">
        <is>
          <t>7/30 Q2勝預期 → 事件日−1.6%、翌日+12.1%</t>
        </is>
      </c>
    </row>
    <row r="53">
      <c r="A53" s="27" t="inlineStr">
        <is>
          <t>新上榜當日中位%</t>
        </is>
      </c>
      <c r="B53" s="32">
        <f>MEDIAN(H2:H31)</f>
        <v/>
      </c>
    </row>
    <row r="54">
      <c r="A54" s="27" t="inlineStr">
        <is>
          <t>跌出當日中位%</t>
        </is>
      </c>
      <c r="B54" s="32">
        <f>MEDIAN(H32:H51)</f>
        <v/>
      </c>
    </row>
    <row r="55">
      <c r="A55" s="27" t="inlineStr">
        <is>
          <t>總表當日中位%</t>
        </is>
      </c>
      <c r="B55" s="32">
        <f>總表!C93</f>
        <v/>
      </c>
    </row>
    <row r="56">
      <c r="A56" s="31" t="inlineStr">
        <is>
          <t>離場原因由本檔按 2026-09-17 收盤重新判定：一行落榜嘅機制係四個時間框嘅 MA 條件全部唔再成立；收市跌穿最後一個底本身唔會令一行落榜（一個新底要三個之後嘅交易日先認得出），所以「跌穿底」只係附註，唔係獨立一類。</t>
        </is>
      </c>
    </row>
  </sheetData>
  <autoFilter ref="A1:L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10" customWidth="1" min="4" max="4"/>
    <col width="130" customWidth="1" min="5" max="5"/>
  </cols>
  <sheetData>
    <row r="1" ht="30" customHeight="1">
      <c r="A1" s="1" t="inlineStr">
        <is>
          <t>代號</t>
        </is>
      </c>
      <c r="B1" s="1" t="inlineStr">
        <is>
          <t>總表排名</t>
        </is>
      </c>
      <c r="C1" s="1" t="inlineStr">
        <is>
          <t>標記</t>
        </is>
      </c>
      <c r="D1" s="1" t="inlineStr">
        <is>
          <t>併購釘價</t>
        </is>
      </c>
      <c r="E1" s="1" t="inlineStr">
        <is>
          <t>說明</t>
        </is>
      </c>
    </row>
    <row r="2" ht="46" customHeight="1">
      <c r="A2" s="33" t="inlineStr">
        <is>
          <t>ITGR</t>
        </is>
      </c>
      <c r="B2" s="34" t="n">
        <v>1</v>
      </c>
      <c r="C2" s="34" t="inlineStr">
        <is>
          <t>套利釘價 · 距作價+0.5%</t>
        </is>
      </c>
      <c r="D2" s="34" t="inlineStr">
        <is>
          <t>是</t>
        </is>
      </c>
      <c r="E2" s="35" t="inlineStr">
        <is>
          <t>現金作價 $127，現價 $126.33（剩餘升幅只有 +0.5%）；VCP 98.7，呢個「收縮」係交易釘價所致，唔係蓄勢突破，VCP／確定性高分屬機械假象。</t>
        </is>
      </c>
    </row>
    <row r="3" ht="46" customHeight="1">
      <c r="A3" s="33" t="inlineStr">
        <is>
          <t>DV</t>
        </is>
      </c>
      <c r="B3" s="34" t="n">
        <v>2</v>
      </c>
      <c r="C3" s="34" t="inlineStr">
        <is>
          <t>套利釘價 · 距作價+1.0%</t>
        </is>
      </c>
      <c r="D3" s="34" t="inlineStr">
        <is>
          <t>是</t>
        </is>
      </c>
      <c r="E3" s="35" t="inlineStr">
        <is>
          <t>現金作價 $13.6，現價 $13.47（剩餘升幅只有 +1.0%）；VCP 83.9，呢個「收縮」係交易釘價所致，唔係蓄勢突破，VCP／確定性高分屬機械假象。</t>
        </is>
      </c>
    </row>
    <row r="4" ht="46" customHeight="1">
      <c r="A4" s="33" t="inlineStr">
        <is>
          <t>SMTI</t>
        </is>
      </c>
      <c r="B4" s="34" t="n">
        <v>5</v>
      </c>
      <c r="C4" s="34" t="inlineStr">
        <is>
          <t>換股釘價 · 距作價+0.7%</t>
        </is>
      </c>
      <c r="D4" s="34" t="inlineStr">
        <is>
          <t>是</t>
        </is>
      </c>
      <c r="E4" s="35" t="inlineStr">
        <is>
          <t>作價係每股 $33 現金 ＋ 0.4735 股 MDXG，唔係固定現金價：以 MDXG 收 $4.69 計，作價值 $35.22，現價 $34.98（低過作價 0.69%）。股價跟 MDXG 走，VCP 97.5，呢個「收縮」係交易釘價所致，VCP／確定性量度緊套利價差而唔係蓄勢突破。</t>
        </is>
      </c>
    </row>
    <row r="5" ht="46" customHeight="1">
      <c r="A5" s="33" t="inlineStr">
        <is>
          <t>MKTX</t>
        </is>
      </c>
      <c r="B5" s="34" t="n">
        <v>13</v>
      </c>
      <c r="C5" s="34" t="inlineStr">
        <is>
          <t>套利釘價 · 距作價+2.3%</t>
        </is>
      </c>
      <c r="D5" s="34" t="inlineStr">
        <is>
          <t>是</t>
        </is>
      </c>
      <c r="E5" s="35" t="inlineStr">
        <is>
          <t>現金作價 $167，現價 $163.32（剩餘升幅只有 +2.3%）；VCP 98.8，呢個「收縮」係交易釘價所致，唔係蓄勢突破，VCP／確定性高分屬機械假象。</t>
        </is>
      </c>
    </row>
    <row r="6" ht="46" customHeight="1">
      <c r="A6" s="33" t="inlineStr">
        <is>
          <t>CLH</t>
        </is>
      </c>
      <c r="B6" s="34" t="n">
        <v>29</v>
      </c>
      <c r="C6" s="34" t="inlineStr">
        <is>
          <t>已跌穿底</t>
        </is>
      </c>
      <c r="D6" s="34" t="inlineStr"/>
      <c r="E6" s="35" t="inlineStr">
        <is>
          <t>收市 $315.55 已低過最後一個底 $315.7（09-09），連續 1 日收喺底下；規則要三個之後嘅交易日先認得出一個新底，所以未落榜，但「守底」已經名存實亡；收市亦低過 MA10；「突破」項仍然滿分。</t>
        </is>
      </c>
    </row>
    <row r="7" ht="46" customHeight="1">
      <c r="A7" s="33" t="inlineStr">
        <is>
          <t>NATH</t>
        </is>
      </c>
      <c r="B7" s="34" t="n">
        <v>56</v>
      </c>
      <c r="C7" s="34" t="inlineStr">
        <is>
          <t>套利釘價 · 距作價+4.1%</t>
        </is>
      </c>
      <c r="D7" s="34" t="inlineStr">
        <is>
          <t>是</t>
        </is>
      </c>
      <c r="E7" s="35" t="inlineStr">
        <is>
          <t>現金作價 $102，現價 $97.94（剩餘升幅只有 +4.1%）；VCP 64.0，呢個「收縮」係交易釘價所致，唔係蓄勢突破，VCP／確定性高分屬機械假象。</t>
        </is>
      </c>
    </row>
    <row r="8" ht="46" customHeight="1">
      <c r="A8" s="33" t="inlineStr">
        <is>
          <t>QRVO</t>
        </is>
      </c>
      <c r="B8" s="34" t="n">
        <v>57</v>
      </c>
      <c r="C8" s="34" t="inlineStr">
        <is>
          <t>換股釘價 · 距作價+0.5%</t>
        </is>
      </c>
      <c r="D8" s="34" t="inlineStr">
        <is>
          <t>是</t>
        </is>
      </c>
      <c r="E8" s="35" t="inlineStr">
        <is>
          <t>作價係每股 $32.5 現金 ＋ 0.96 股 SWKS，唔係固定現金價：以 SWKS 收 $91.32 計，作價值 $120.17，現價 $119.51（低過作價 0.55%）。股價跟 SWKS 走，VCP 只有 7.8，即係連收縮都冇：佢嘅波幅係 SWKS 帶嚟嘅，確定性同 VCP 量度緊套利價差而唔係蓄勢突破。</t>
        </is>
      </c>
    </row>
    <row r="9" ht="46" customHeight="1">
      <c r="A9" s="33" t="inlineStr">
        <is>
          <t>NSIT</t>
        </is>
      </c>
      <c r="B9" s="34" t="n">
        <v>65</v>
      </c>
      <c r="C9" s="34" t="inlineStr">
        <is>
          <t>已跌穿底</t>
        </is>
      </c>
      <c r="D9" s="34" t="inlineStr"/>
      <c r="E9" s="35" t="inlineStr">
        <is>
          <t>收市 $154.65 已低過最後一個底 $155.87（09-10），連續 1 日收喺底下；規則要三個之後嘅交易日先認得出一個新底，所以未落榜，但「守底」已經名存實亡；收市亦低過 MA10；「突破」項仍然滿分。</t>
        </is>
      </c>
    </row>
    <row r="10" ht="46" customHeight="1">
      <c r="A10" s="33" t="inlineStr">
        <is>
          <t>SWKS</t>
        </is>
      </c>
      <c r="B10" s="34" t="n">
        <v>67</v>
      </c>
      <c r="C10" s="34" t="inlineStr">
        <is>
          <t>QRVO收購方</t>
        </is>
      </c>
      <c r="D10" s="34" t="inlineStr">
        <is>
          <t>是</t>
        </is>
      </c>
      <c r="E10" s="35" t="inlineStr">
        <is>
          <t>SWKS 係 QRVO 嘅收購方（QRVO 作價 = $32.5 現金 ＋ 0.96 股 SWKS），兩隻同時上榜（SWKS #67、QRVO #57），等於用兩個名額買同一單交易。最近三個交易日（收購方／目標）：09-15 +13.55%／+9.34%、09-16 -4.90%／-3.46%、09-17 +6.69%／+4.86% —— 走勢由同一單交易帶動。SWKS 自己嘅 VCP 只有 5.1，波幅根本冇收縮。</t>
        </is>
      </c>
    </row>
    <row r="11" ht="46" customHeight="1">
      <c r="A11" s="33" t="inlineStr">
        <is>
          <t>EFSI</t>
        </is>
      </c>
      <c r="B11" s="34" t="n">
        <v>80</v>
      </c>
      <c r="C11" s="34" t="inlineStr">
        <is>
          <t>換股釘價 · 距作價+0.8%</t>
        </is>
      </c>
      <c r="D11" s="34" t="inlineStr">
        <is>
          <t>是</t>
        </is>
      </c>
      <c r="E11" s="35" t="inlineStr">
        <is>
          <t>作價係每股 2.0 股 JMSB 全股票，冇現金部分，所以作價唔係固定數：以 JMSB 收 $23.12 計，作價值 $46.24，現價 $45.89（低過作價 0.76%）。股價跟 JMSB 走，VCP 只有 18.0，即係連收縮都冇：佢嘅波幅係 JMSB 帶嚟嘅，確定性同 VCP 量度緊套利價差而唔係蓄勢突破。</t>
        </is>
      </c>
    </row>
    <row r="12" ht="46" customHeight="1">
      <c r="A12" s="33" t="inlineStr">
        <is>
          <t>AGM</t>
        </is>
      </c>
      <c r="B12" s="34" t="n">
        <v>81</v>
      </c>
      <c r="C12" s="34" t="inlineStr">
        <is>
          <t>已跌穿底</t>
        </is>
      </c>
      <c r="D12" s="34" t="inlineStr"/>
      <c r="E12" s="35" t="inlineStr">
        <is>
          <t>收市 $223.29 已低過最後一個底 $224.45（09-09），連續 2 日收喺底下；規則要三個之後嘅交易日先認得出一個新底，所以未落榜，但「守底」已經名存實亡；收市亦低過 MA10；「突破」項已經唔滿分。</t>
        </is>
      </c>
    </row>
  </sheetData>
  <autoFilter ref="A1:E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35" topLeftCell="A36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2" customWidth="1" min="9" max="9"/>
    <col width="22" customWidth="1" min="10" max="10"/>
  </cols>
  <sheetData>
    <row r="1">
      <c r="A1" s="36" t="inlineStr">
        <is>
          <t>凍結測試 · 2026-09-17 收盤</t>
        </is>
      </c>
    </row>
    <row r="2">
      <c r="A2" s="31" t="inlineStr">
        <is>
          <t>假設每個收市價由今日起企定唔郁，再向前推 1／2／5 個交易日，數吓有幾多行嘅四個時間框全部唔再通過。凍結價 c 之下，L 日 MA 每日嘅變動精確等於 (c − 當日跌出窗口嗰個收市) ÷ L，所以 MA 升定跌取決於邊一日離開窗口 —— 路徑係上落而唔係單調，三個凍結長度嘅結果因此唔係包含關係。</t>
        </is>
      </c>
    </row>
    <row r="4" ht="30" customHeight="1">
      <c r="A4" s="1" t="inlineStr">
        <is>
          <t>凍結日數</t>
        </is>
      </c>
      <c r="B4" s="1" t="inlineStr">
        <is>
          <t>唔再通過行數</t>
        </is>
      </c>
      <c r="C4" s="1" t="inlineStr">
        <is>
          <t>佔總表</t>
        </is>
      </c>
    </row>
    <row r="5">
      <c r="A5" s="18" t="inlineStr">
        <is>
          <t>1 日</t>
        </is>
      </c>
      <c r="B5" s="18" t="n">
        <v>11</v>
      </c>
      <c r="C5" s="37">
        <f>B5/89</f>
        <v/>
      </c>
    </row>
    <row r="6">
      <c r="A6" s="18" t="inlineStr">
        <is>
          <t>2 日</t>
        </is>
      </c>
      <c r="B6" s="18" t="n">
        <v>20</v>
      </c>
      <c r="C6" s="37">
        <f>B6/89</f>
        <v/>
      </c>
    </row>
    <row r="7">
      <c r="A7" s="18" t="inlineStr">
        <is>
          <t>5 日</t>
        </is>
      </c>
      <c r="B7" s="18" t="n">
        <v>20</v>
      </c>
      <c r="C7" s="37">
        <f>B7/89</f>
        <v/>
      </c>
    </row>
    <row r="8">
      <c r="A8" s="38" t="inlineStr">
        <is>
          <t>三個長度加埋（union）</t>
        </is>
      </c>
      <c r="B8" s="28" t="n">
        <v>31</v>
      </c>
    </row>
    <row r="9">
      <c r="A9" s="38" t="inlineStr">
        <is>
          <t>三個長度都唔通過（intersection）</t>
        </is>
      </c>
      <c r="B9" s="28" t="n">
        <v>7</v>
      </c>
    </row>
    <row r="11">
      <c r="A11" s="26" t="inlineStr">
        <is>
          <t>逐隻名單（點擊開 TradingView chart）</t>
        </is>
      </c>
    </row>
    <row r="12" ht="30" customHeight="1">
      <c r="A12" s="1" t="inlineStr">
        <is>
          <t>凍結 1 日</t>
        </is>
      </c>
      <c r="B12" s="1" t="inlineStr">
        <is>
          <t>凍結 2 日</t>
        </is>
      </c>
      <c r="C12" s="1" t="inlineStr">
        <is>
          <t>凍結 5 日</t>
        </is>
      </c>
      <c r="D12" s="1" t="inlineStr">
        <is>
          <t>三個都唔通過</t>
        </is>
      </c>
    </row>
    <row r="13">
      <c r="A13" s="19" t="inlineStr">
        <is>
          <t>AGM</t>
        </is>
      </c>
      <c r="B13" s="19" t="inlineStr">
        <is>
          <t>AESI</t>
        </is>
      </c>
      <c r="C13" s="19" t="inlineStr">
        <is>
          <t>AESI</t>
        </is>
      </c>
      <c r="D13" s="19" t="inlineStr">
        <is>
          <t>AGM</t>
        </is>
      </c>
    </row>
    <row r="14">
      <c r="A14" s="19" t="inlineStr">
        <is>
          <t>CLH</t>
        </is>
      </c>
      <c r="B14" s="19" t="inlineStr">
        <is>
          <t>AGM</t>
        </is>
      </c>
      <c r="C14" s="19" t="inlineStr">
        <is>
          <t>AGM</t>
        </is>
      </c>
      <c r="D14" s="19" t="inlineStr">
        <is>
          <t>CLH</t>
        </is>
      </c>
    </row>
    <row r="15">
      <c r="A15" s="19" t="inlineStr">
        <is>
          <t>DFIN</t>
        </is>
      </c>
      <c r="B15" s="19" t="inlineStr">
        <is>
          <t>AMPH</t>
        </is>
      </c>
      <c r="C15" s="19" t="inlineStr">
        <is>
          <t>CLH</t>
        </is>
      </c>
      <c r="D15" s="19" t="inlineStr">
        <is>
          <t>DFIN</t>
        </is>
      </c>
    </row>
    <row r="16">
      <c r="A16" s="19" t="inlineStr">
        <is>
          <t>EPAM</t>
        </is>
      </c>
      <c r="B16" s="19" t="inlineStr">
        <is>
          <t>APPF</t>
        </is>
      </c>
      <c r="C16" s="19" t="inlineStr">
        <is>
          <t>CRCT</t>
        </is>
      </c>
      <c r="D16" s="19" t="inlineStr">
        <is>
          <t>ITIC</t>
        </is>
      </c>
    </row>
    <row r="17">
      <c r="A17" s="19" t="inlineStr">
        <is>
          <t>HALO</t>
        </is>
      </c>
      <c r="B17" s="19" t="inlineStr">
        <is>
          <t>CLH</t>
        </is>
      </c>
      <c r="C17" s="19" t="inlineStr">
        <is>
          <t>DFIN</t>
        </is>
      </c>
      <c r="D17" s="19" t="inlineStr">
        <is>
          <t>NATH</t>
        </is>
      </c>
    </row>
    <row r="18">
      <c r="A18" s="19" t="inlineStr">
        <is>
          <t>ITIC</t>
        </is>
      </c>
      <c r="B18" s="19" t="inlineStr">
        <is>
          <t>CRVL</t>
        </is>
      </c>
      <c r="C18" s="19" t="inlineStr">
        <is>
          <t>EXPD</t>
        </is>
      </c>
      <c r="D18" s="19" t="inlineStr">
        <is>
          <t>NSIT</t>
        </is>
      </c>
    </row>
    <row r="19">
      <c r="A19" s="19" t="inlineStr">
        <is>
          <t>NATH</t>
        </is>
      </c>
      <c r="B19" s="19" t="inlineStr">
        <is>
          <t>CTSH</t>
        </is>
      </c>
      <c r="C19" s="19" t="inlineStr">
        <is>
          <t>HYPD</t>
        </is>
      </c>
      <c r="D19" s="19" t="inlineStr">
        <is>
          <t>TSLA</t>
        </is>
      </c>
    </row>
    <row r="20">
      <c r="A20" s="19" t="inlineStr">
        <is>
          <t>NPK</t>
        </is>
      </c>
      <c r="B20" s="19" t="inlineStr">
        <is>
          <t>DFIN</t>
        </is>
      </c>
      <c r="C20" s="19" t="inlineStr">
        <is>
          <t>IBM</t>
        </is>
      </c>
    </row>
    <row r="21">
      <c r="A21" s="19" t="inlineStr">
        <is>
          <t>NSIT</t>
        </is>
      </c>
      <c r="B21" s="19" t="inlineStr">
        <is>
          <t>EPAM</t>
        </is>
      </c>
      <c r="C21" s="19" t="inlineStr">
        <is>
          <t>IESC</t>
        </is>
      </c>
    </row>
    <row r="22">
      <c r="A22" s="19" t="inlineStr">
        <is>
          <t>PEGA</t>
        </is>
      </c>
      <c r="B22" s="19" t="inlineStr">
        <is>
          <t>IESC</t>
        </is>
      </c>
      <c r="C22" s="19" t="inlineStr">
        <is>
          <t>INTG</t>
        </is>
      </c>
    </row>
    <row r="23">
      <c r="A23" s="19" t="inlineStr">
        <is>
          <t>TSLA</t>
        </is>
      </c>
      <c r="B23" s="19" t="inlineStr">
        <is>
          <t>ITIC</t>
        </is>
      </c>
      <c r="C23" s="19" t="inlineStr">
        <is>
          <t>ITIC</t>
        </is>
      </c>
    </row>
    <row r="24">
      <c r="B24" s="19" t="inlineStr">
        <is>
          <t>MDT</t>
        </is>
      </c>
      <c r="C24" s="19" t="inlineStr">
        <is>
          <t>NATH</t>
        </is>
      </c>
    </row>
    <row r="25">
      <c r="B25" s="19" t="inlineStr">
        <is>
          <t>NATH</t>
        </is>
      </c>
      <c r="C25" s="19" t="inlineStr">
        <is>
          <t>NKTX</t>
        </is>
      </c>
    </row>
    <row r="26">
      <c r="B26" s="19" t="inlineStr">
        <is>
          <t>NKTX</t>
        </is>
      </c>
      <c r="C26" s="19" t="inlineStr">
        <is>
          <t>NSIT</t>
        </is>
      </c>
    </row>
    <row r="27">
      <c r="B27" s="19" t="inlineStr">
        <is>
          <t>NOW</t>
        </is>
      </c>
      <c r="C27" s="19" t="inlineStr">
        <is>
          <t>NWSA</t>
        </is>
      </c>
    </row>
    <row r="28">
      <c r="B28" s="19" t="inlineStr">
        <is>
          <t>NSIT</t>
        </is>
      </c>
      <c r="C28" s="19" t="inlineStr">
        <is>
          <t>OBIO</t>
        </is>
      </c>
    </row>
    <row r="29">
      <c r="B29" s="19" t="inlineStr">
        <is>
          <t>NWSA</t>
        </is>
      </c>
      <c r="C29" s="19" t="inlineStr">
        <is>
          <t>OESX</t>
        </is>
      </c>
    </row>
    <row r="30">
      <c r="B30" s="19" t="inlineStr">
        <is>
          <t>PEGA</t>
        </is>
      </c>
      <c r="C30" s="19" t="inlineStr">
        <is>
          <t>SMTI</t>
        </is>
      </c>
    </row>
    <row r="31">
      <c r="B31" s="19" t="inlineStr">
        <is>
          <t>SPT</t>
        </is>
      </c>
      <c r="C31" s="19" t="inlineStr">
        <is>
          <t>TSLA</t>
        </is>
      </c>
    </row>
    <row r="32">
      <c r="B32" s="19" t="inlineStr">
        <is>
          <t>TSLA</t>
        </is>
      </c>
      <c r="C32" s="19" t="inlineStr">
        <is>
          <t>XHLD</t>
        </is>
      </c>
    </row>
    <row r="34">
      <c r="A34" s="26" t="inlineStr">
        <is>
          <t>五版回測（上一版嘅預測 vs 實際跌出）</t>
        </is>
      </c>
    </row>
    <row r="35" ht="30" customHeight="1">
      <c r="A35" s="1" t="inlineStr">
        <is>
          <t>版本</t>
        </is>
      </c>
      <c r="B35" s="1" t="inlineStr">
        <is>
          <t>預測</t>
        </is>
      </c>
      <c r="C35" s="1" t="inlineStr">
        <is>
          <t>實際跌出</t>
        </is>
      </c>
      <c r="D35" s="1" t="inlineStr">
        <is>
          <t>命中</t>
        </is>
      </c>
      <c r="E35" s="1" t="inlineStr">
        <is>
          <t>準確率</t>
        </is>
      </c>
      <c r="F35" s="1" t="inlineStr">
        <is>
          <t>召回</t>
        </is>
      </c>
      <c r="G35" s="1" t="inlineStr">
        <is>
          <t>低估</t>
        </is>
      </c>
      <c r="H35" s="1" t="inlineStr">
        <is>
          <t>命中中位%</t>
        </is>
      </c>
      <c r="I35" s="1" t="inlineStr">
        <is>
          <t>估唔到中位%</t>
        </is>
      </c>
      <c r="J35" s="1" t="inlineStr">
        <is>
          <t>當日市況</t>
        </is>
      </c>
    </row>
    <row r="36">
      <c r="A36" s="18" t="inlineStr">
        <is>
          <t>R15→R16</t>
        </is>
      </c>
      <c r="B36" s="18" t="n">
        <v>30</v>
      </c>
      <c r="C36" s="18" t="n">
        <v>29</v>
      </c>
      <c r="D36" s="18" t="n">
        <v>22</v>
      </c>
      <c r="E36" s="39">
        <f>D36/B36</f>
        <v/>
      </c>
      <c r="F36" s="39">
        <f>D36/C36</f>
        <v/>
      </c>
      <c r="G36" s="18">
        <f>MAX(0,C36-B36)</f>
        <v/>
      </c>
      <c r="H36" s="22" t="n">
        <v>0.0049</v>
      </c>
      <c r="I36" s="22" t="n">
        <v>-0.0174</v>
      </c>
      <c r="J36" s="18" t="inlineStr">
        <is>
          <t>09-11 升市</t>
        </is>
      </c>
    </row>
    <row r="37">
      <c r="A37" s="18" t="inlineStr">
        <is>
          <t>R16→R17</t>
        </is>
      </c>
      <c r="B37" s="18" t="n">
        <v>9</v>
      </c>
      <c r="C37" s="18" t="n">
        <v>19</v>
      </c>
      <c r="D37" s="18" t="n">
        <v>8</v>
      </c>
      <c r="E37" s="39">
        <f>D37/B37</f>
        <v/>
      </c>
      <c r="F37" s="39">
        <f>D37/C37</f>
        <v/>
      </c>
      <c r="G37" s="18">
        <f>MAX(0,C37-B37)</f>
        <v/>
      </c>
      <c r="H37" s="22" t="n">
        <v>-0.0175</v>
      </c>
      <c r="I37" s="22" t="n">
        <v>-0.04</v>
      </c>
      <c r="J37" s="18" t="inlineStr">
        <is>
          <t>09-14 跌市</t>
        </is>
      </c>
    </row>
    <row r="38">
      <c r="A38" s="18" t="inlineStr">
        <is>
          <t>R17→R18</t>
        </is>
      </c>
      <c r="B38" s="18" t="n">
        <v>9</v>
      </c>
      <c r="C38" s="18" t="n">
        <v>16</v>
      </c>
      <c r="D38" s="18" t="n">
        <v>6</v>
      </c>
      <c r="E38" s="39">
        <f>D38/B38</f>
        <v/>
      </c>
      <c r="F38" s="39">
        <f>D38/C38</f>
        <v/>
      </c>
      <c r="G38" s="18">
        <f>MAX(0,C38-B38)</f>
        <v/>
      </c>
      <c r="H38" s="22" t="n">
        <v>0.0044</v>
      </c>
      <c r="I38" s="22" t="n">
        <v>-0.0203</v>
      </c>
      <c r="J38" s="18" t="inlineStr">
        <is>
          <t>09-15 跌市</t>
        </is>
      </c>
    </row>
    <row r="39">
      <c r="A39" s="18" t="inlineStr">
        <is>
          <t>R18→R19</t>
        </is>
      </c>
      <c r="B39" s="18" t="n">
        <v>7</v>
      </c>
      <c r="C39" s="18" t="n">
        <v>22</v>
      </c>
      <c r="D39" s="18" t="n">
        <v>7</v>
      </c>
      <c r="E39" s="39">
        <f>D39/B39</f>
        <v/>
      </c>
      <c r="F39" s="39">
        <f>D39/C39</f>
        <v/>
      </c>
      <c r="G39" s="18">
        <f>MAX(0,C39-B39)</f>
        <v/>
      </c>
      <c r="H39" s="22" t="n">
        <v>-0.005500000000000001</v>
      </c>
      <c r="I39" s="22" t="n">
        <v>-0.038</v>
      </c>
      <c r="J39" s="18" t="inlineStr">
        <is>
          <t>09-16 議息日跌市</t>
        </is>
      </c>
    </row>
    <row r="40">
      <c r="A40" s="18" t="inlineStr">
        <is>
          <t>R19→R20</t>
        </is>
      </c>
      <c r="B40" s="18" t="n">
        <v>14</v>
      </c>
      <c r="C40" s="18" t="n">
        <v>20</v>
      </c>
      <c r="D40" s="18" t="n">
        <v>11</v>
      </c>
      <c r="E40" s="39">
        <f>D40/B40</f>
        <v/>
      </c>
      <c r="F40" s="39">
        <f>D40/C40</f>
        <v/>
      </c>
      <c r="G40" s="18">
        <f>MAX(0,C40-B40)</f>
        <v/>
      </c>
      <c r="H40" s="22" t="n">
        <v>-0.0033</v>
      </c>
      <c r="I40" s="22" t="n">
        <v>-0.017</v>
      </c>
      <c r="J40" s="18" t="inlineStr">
        <is>
          <t>09-17 升市</t>
        </is>
      </c>
    </row>
    <row r="42">
      <c r="A42" s="31" t="inlineStr">
        <is>
          <t>結論（本版更正）：低估嘅多少跟嘅唔係大市方向。R19 寫「跌市愈急、低估愈多」，但 09-17 係升市，一樣低估咗 6 行。09-11 嗰次冇低估唔係因為升市，而係當時預測嗰批本身已經有 30 行、夠大。</t>
        </is>
      </c>
    </row>
  </sheetData>
  <autoFilter ref="A35:J35"/>
  <hyperlinks>
    <hyperlink xmlns:r="http://schemas.openxmlformats.org/officeDocument/2006/relationships" ref="A13" r:id="rId1"/>
    <hyperlink xmlns:r="http://schemas.openxmlformats.org/officeDocument/2006/relationships" ref="B13" r:id="rId2"/>
    <hyperlink xmlns:r="http://schemas.openxmlformats.org/officeDocument/2006/relationships" ref="C13" r:id="rId3"/>
    <hyperlink xmlns:r="http://schemas.openxmlformats.org/officeDocument/2006/relationships" ref="D13" r:id="rId4"/>
    <hyperlink xmlns:r="http://schemas.openxmlformats.org/officeDocument/2006/relationships" ref="A14" r:id="rId5"/>
    <hyperlink xmlns:r="http://schemas.openxmlformats.org/officeDocument/2006/relationships" ref="B14" r:id="rId6"/>
    <hyperlink xmlns:r="http://schemas.openxmlformats.org/officeDocument/2006/relationships" ref="C14" r:id="rId7"/>
    <hyperlink xmlns:r="http://schemas.openxmlformats.org/officeDocument/2006/relationships" ref="D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A16" r:id="rId13"/>
    <hyperlink xmlns:r="http://schemas.openxmlformats.org/officeDocument/2006/relationships" ref="B16" r:id="rId14"/>
    <hyperlink xmlns:r="http://schemas.openxmlformats.org/officeDocument/2006/relationships" ref="C16" r:id="rId15"/>
    <hyperlink xmlns:r="http://schemas.openxmlformats.org/officeDocument/2006/relationships" ref="D16" r:id="rId16"/>
    <hyperlink xmlns:r="http://schemas.openxmlformats.org/officeDocument/2006/relationships" ref="A17" r:id="rId17"/>
    <hyperlink xmlns:r="http://schemas.openxmlformats.org/officeDocument/2006/relationships" ref="B17" r:id="rId18"/>
    <hyperlink xmlns:r="http://schemas.openxmlformats.org/officeDocument/2006/relationships" ref="C17" r:id="rId19"/>
    <hyperlink xmlns:r="http://schemas.openxmlformats.org/officeDocument/2006/relationships" ref="D17" r:id="rId20"/>
    <hyperlink xmlns:r="http://schemas.openxmlformats.org/officeDocument/2006/relationships" ref="A18" r:id="rId21"/>
    <hyperlink xmlns:r="http://schemas.openxmlformats.org/officeDocument/2006/relationships" ref="B18" r:id="rId22"/>
    <hyperlink xmlns:r="http://schemas.openxmlformats.org/officeDocument/2006/relationships" ref="C18" r:id="rId23"/>
    <hyperlink xmlns:r="http://schemas.openxmlformats.org/officeDocument/2006/relationships" ref="D18" r:id="rId24"/>
    <hyperlink xmlns:r="http://schemas.openxmlformats.org/officeDocument/2006/relationships" ref="A19" r:id="rId25"/>
    <hyperlink xmlns:r="http://schemas.openxmlformats.org/officeDocument/2006/relationships" ref="B19" r:id="rId26"/>
    <hyperlink xmlns:r="http://schemas.openxmlformats.org/officeDocument/2006/relationships" ref="C19" r:id="rId27"/>
    <hyperlink xmlns:r="http://schemas.openxmlformats.org/officeDocument/2006/relationships" ref="D19" r:id="rId28"/>
    <hyperlink xmlns:r="http://schemas.openxmlformats.org/officeDocument/2006/relationships" ref="A20" r:id="rId29"/>
    <hyperlink xmlns:r="http://schemas.openxmlformats.org/officeDocument/2006/relationships" ref="B20" r:id="rId30"/>
    <hyperlink xmlns:r="http://schemas.openxmlformats.org/officeDocument/2006/relationships" ref="C20" r:id="rId31"/>
    <hyperlink xmlns:r="http://schemas.openxmlformats.org/officeDocument/2006/relationships" ref="A21" r:id="rId32"/>
    <hyperlink xmlns:r="http://schemas.openxmlformats.org/officeDocument/2006/relationships" ref="B21" r:id="rId33"/>
    <hyperlink xmlns:r="http://schemas.openxmlformats.org/officeDocument/2006/relationships" ref="C21" r:id="rId34"/>
    <hyperlink xmlns:r="http://schemas.openxmlformats.org/officeDocument/2006/relationships" ref="A22" r:id="rId35"/>
    <hyperlink xmlns:r="http://schemas.openxmlformats.org/officeDocument/2006/relationships" ref="B22" r:id="rId36"/>
    <hyperlink xmlns:r="http://schemas.openxmlformats.org/officeDocument/2006/relationships" ref="C22" r:id="rId37"/>
    <hyperlink xmlns:r="http://schemas.openxmlformats.org/officeDocument/2006/relationships" ref="A23" r:id="rId38"/>
    <hyperlink xmlns:r="http://schemas.openxmlformats.org/officeDocument/2006/relationships" ref="B23" r:id="rId39"/>
    <hyperlink xmlns:r="http://schemas.openxmlformats.org/officeDocument/2006/relationships" ref="C23" r:id="rId40"/>
    <hyperlink xmlns:r="http://schemas.openxmlformats.org/officeDocument/2006/relationships" ref="B24" r:id="rId41"/>
    <hyperlink xmlns:r="http://schemas.openxmlformats.org/officeDocument/2006/relationships" ref="C24" r:id="rId42"/>
    <hyperlink xmlns:r="http://schemas.openxmlformats.org/officeDocument/2006/relationships" ref="B25" r:id="rId43"/>
    <hyperlink xmlns:r="http://schemas.openxmlformats.org/officeDocument/2006/relationships" ref="C25" r:id="rId44"/>
    <hyperlink xmlns:r="http://schemas.openxmlformats.org/officeDocument/2006/relationships" ref="B26" r:id="rId45"/>
    <hyperlink xmlns:r="http://schemas.openxmlformats.org/officeDocument/2006/relationships" ref="C26" r:id="rId46"/>
    <hyperlink xmlns:r="http://schemas.openxmlformats.org/officeDocument/2006/relationships" ref="B27" r:id="rId47"/>
    <hyperlink xmlns:r="http://schemas.openxmlformats.org/officeDocument/2006/relationships" ref="C27" r:id="rId48"/>
    <hyperlink xmlns:r="http://schemas.openxmlformats.org/officeDocument/2006/relationships" ref="B28" r:id="rId49"/>
    <hyperlink xmlns:r="http://schemas.openxmlformats.org/officeDocument/2006/relationships" ref="C28" r:id="rId50"/>
    <hyperlink xmlns:r="http://schemas.openxmlformats.org/officeDocument/2006/relationships" ref="B29" r:id="rId51"/>
    <hyperlink xmlns:r="http://schemas.openxmlformats.org/officeDocument/2006/relationships" ref="C29" r:id="rId52"/>
    <hyperlink xmlns:r="http://schemas.openxmlformats.org/officeDocument/2006/relationships" ref="B30" r:id="rId53"/>
    <hyperlink xmlns:r="http://schemas.openxmlformats.org/officeDocument/2006/relationships" ref="C30" r:id="rId54"/>
    <hyperlink xmlns:r="http://schemas.openxmlformats.org/officeDocument/2006/relationships" ref="B31" r:id="rId55"/>
    <hyperlink xmlns:r="http://schemas.openxmlformats.org/officeDocument/2006/relationships" ref="C31" r:id="rId56"/>
    <hyperlink xmlns:r="http://schemas.openxmlformats.org/officeDocument/2006/relationships" ref="B32" r:id="rId57"/>
    <hyperlink xmlns:r="http://schemas.openxmlformats.org/officeDocument/2006/relationships" ref="C32" r:id="rId5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96" customWidth="1" min="3" max="3"/>
  </cols>
  <sheetData>
    <row r="1">
      <c r="A1" s="36" t="inlineStr">
        <is>
          <t>數據核對 · R20.00 · 2026-09-17 收盤</t>
        </is>
      </c>
    </row>
    <row r="3" ht="30" customHeight="1">
      <c r="A3" s="1" t="inlineStr">
        <is>
          <t>項目</t>
        </is>
      </c>
      <c r="B3" s="1" t="inlineStr">
        <is>
          <t>數值</t>
        </is>
      </c>
      <c r="C3" s="1" t="inlineStr">
        <is>
          <t>說明</t>
        </is>
      </c>
    </row>
    <row r="4" ht="30" customHeight="1">
      <c r="A4" s="40" t="inlineStr">
        <is>
          <t>交易日數</t>
        </is>
      </c>
      <c r="B4" s="34" t="n">
        <v>182</v>
      </c>
      <c r="C4" s="35" t="inlineStr">
        <is>
          <t>2025-12-26 → 2026-09-17</t>
        </is>
      </c>
    </row>
    <row r="5" ht="30" customHeight="1">
      <c r="A5" s="40" t="inlineStr">
        <is>
          <t>序列股票數</t>
        </is>
      </c>
      <c r="B5" s="34" t="n">
        <v>5647</v>
      </c>
      <c r="C5" s="35" t="inlineStr">
        <is>
          <t>包括已停止報價嘅歷史股票</t>
        </is>
      </c>
    </row>
    <row r="6" ht="30" customHeight="1">
      <c r="A6" s="40" t="inlineStr">
        <is>
          <t>最新一日有報價</t>
        </is>
      </c>
      <c r="B6" s="34" t="n">
        <v>5065</v>
      </c>
      <c r="C6" s="35" t="inlineStr">
        <is>
          <t>序列尾日對得上今日快照</t>
        </is>
      </c>
    </row>
    <row r="7" ht="30" customHeight="1">
      <c r="A7" s="40" t="inlineStr">
        <is>
          <t>反推對賬隻數</t>
        </is>
      </c>
      <c r="B7" s="34" t="n">
        <v>5065</v>
      </c>
      <c r="C7" s="35" t="inlineStr">
        <is>
          <t>當日收市 − 官方 net-change 反推前收，同序列前一日對賬</t>
        </is>
      </c>
    </row>
    <row r="8" ht="30" customHeight="1">
      <c r="A8" s="40" t="inlineStr">
        <is>
          <t>反推對賬中位偏差</t>
        </is>
      </c>
      <c r="B8" s="34" t="n">
        <v>0</v>
      </c>
      <c r="C8" s="35" t="inlineStr">
        <is>
          <t>0.000%</t>
        </is>
      </c>
    </row>
    <row r="9" ht="30" customHeight="1">
      <c r="A9" s="40" t="inlineStr">
        <is>
          <t>反推對賬 p99 偏差</t>
        </is>
      </c>
      <c r="B9" s="34" t="n">
        <v>0</v>
      </c>
      <c r="C9" s="35" t="inlineStr">
        <is>
          <t>0.000%</t>
        </is>
      </c>
    </row>
    <row r="10" ht="30" customHeight="1">
      <c r="A10" s="40" t="inlineStr">
        <is>
          <t>合資格股票</t>
        </is>
      </c>
      <c r="B10" s="34" t="n">
        <v>2746</v>
      </c>
      <c r="C10" s="35" t="inlineStr">
        <is>
          <t>≥90 交易日、價格 ≥$2、20 日中位成交額 ≥$1M、普通股</t>
        </is>
      </c>
    </row>
    <row r="11" ht="30" customHeight="1">
      <c r="A11" s="40" t="inlineStr">
        <is>
          <t>有底部結構</t>
        </is>
      </c>
      <c r="B11" s="34" t="n">
        <v>343</v>
      </c>
      <c r="C11" s="35" t="inlineStr">
        <is>
          <t>45 日內 ≥2 個遞升底、最後一個底喺 25 日內</t>
        </is>
      </c>
    </row>
    <row r="12" ht="30" customHeight="1">
      <c r="A12" s="40" t="inlineStr">
        <is>
          <t>總表行數</t>
        </is>
      </c>
      <c r="B12" s="34" t="n">
        <v>89</v>
      </c>
      <c r="C12" s="35" t="inlineStr">
        <is>
          <t>12 個子頁嘅 union</t>
        </is>
      </c>
    </row>
    <row r="13" ht="30" customHeight="1">
      <c r="A13" s="40" t="inlineStr">
        <is>
          <t>Yahoo 對照股票數</t>
        </is>
      </c>
      <c r="B13" s="34" t="n">
        <v>2758</v>
      </c>
      <c r="C13" s="35" t="inlineStr">
        <is>
          <t>合資格股＋所有上榜股</t>
        </is>
      </c>
    </row>
    <row r="14" ht="30" customHeight="1">
      <c r="A14" s="40" t="inlineStr">
        <is>
          <t>2026-09-17 Yahoo 對到</t>
        </is>
      </c>
      <c r="B14" s="34" t="n">
        <v>32</v>
      </c>
      <c r="C14" s="35" t="inlineStr">
        <is>
          <t>中位差 0.000%、100.0% 喺 0.5% 之內（Yahoo 未出齊同日日線，其餘要下一版補）</t>
        </is>
      </c>
    </row>
    <row r="15" ht="30" customHeight="1">
      <c r="A15" s="40" t="inlineStr">
        <is>
          <t>2026-09-16 Yahoo 對到</t>
        </is>
      </c>
      <c r="B15" s="34" t="n">
        <v>2758</v>
      </c>
      <c r="C15" s="35" t="inlineStr">
        <is>
          <t>中位差 0.000%、100.0% 喺 0.5% 之內、成交量中位比 1.0</t>
        </is>
      </c>
    </row>
    <row r="16" ht="30" customHeight="1">
      <c r="A16" s="40" t="inlineStr">
        <is>
          <t>真實交易日整體</t>
        </is>
      </c>
      <c r="B16" s="34" t="inlineStr">
        <is>
          <t>中位 0.000%</t>
        </is>
      </c>
      <c r="C16" s="35" t="inlineStr">
        <is>
          <t>99.6% 喺 0.5% 之內；偏差 &gt;0.5% 嘅 23 隻</t>
        </is>
      </c>
    </row>
    <row r="17" ht="30" customHeight="1">
      <c r="A17" s="40" t="inlineStr">
        <is>
          <t>上榜行入面有偏差嘅</t>
        </is>
      </c>
      <c r="B17" s="33" t="inlineStr">
        <is>
          <t>NAKA</t>
        </is>
      </c>
      <c r="C17" s="35" t="inlineStr">
        <is>
          <t>最大 4.32%（03-18），5 個有偏差嘅日子入面只有 08-11 落喺 45 日結構窗、偏差 0.8%，而 08-11 唔係佢四個底（07-29／08-14／09-01／09-10）之一</t>
        </is>
      </c>
    </row>
    <row r="18" ht="30" customHeight="1">
      <c r="A18" s="40" t="inlineStr">
        <is>
          <t>公司行動</t>
        </is>
      </c>
      <c r="B18" s="34" t="inlineStr">
        <is>
          <t>JAGX 1 合 15</t>
        </is>
      </c>
      <c r="C18" s="35" t="inlineStr">
        <is>
          <t>按比例重算歷史股數基準，佢唔喺榜；冇股票因為對唔上而剔除</t>
        </is>
      </c>
    </row>
    <row r="19" ht="30" customHeight="1">
      <c r="A19" s="40" t="inlineStr">
        <is>
          <t>補值日／有價無量日</t>
        </is>
      </c>
      <c r="B19" s="34" t="inlineStr">
        <is>
          <t>冇</t>
        </is>
      </c>
      <c r="C19" s="35" t="inlineStr">
        <is>
          <t>R12 由 Yahoo 補回嘅日子繼續生效</t>
        </is>
      </c>
    </row>
    <row r="20" ht="30" customHeight="1">
      <c r="A20" s="40" t="inlineStr">
        <is>
          <t>收市價小數位</t>
        </is>
      </c>
      <c r="B20" s="34" t="inlineStr">
        <is>
          <t>本檔用官方原值</t>
        </is>
      </c>
      <c r="C20" s="35" t="inlineStr">
        <is>
          <t>篩選器輸出將收市價四捨五入到兩個小數位顯示，但有 3 隻股票（CURI $2.795、CRVL $70.505、APPF $219.735）官方收市價係半仙。本檔兩個收市價欄同所有由佢哋計出嚟嘅百分比一律用官方原值，所以呢 3 行嘅「當日%」同「距MA10%」會同 HTML 報告細微唔同（例如 CURI 當日 +0.179% vs 報告 0.00%）。連帶全表「距MA10 中位」本檔係 +1.96%、HTML 報告係 +1.89% —— 差別就係 CURI 由中位線以下移到以上</t>
        </is>
      </c>
    </row>
    <row r="21" ht="30" customHeight="1">
      <c r="A21" s="40" t="inlineStr">
        <is>
          <t>獨立重算</t>
        </is>
      </c>
      <c r="B21" s="34" t="inlineStr">
        <is>
          <t>零差異</t>
        </is>
      </c>
      <c r="C21" s="35" t="inlineStr">
        <is>
          <t>由規則另行實作嘅篩選程序：合資格 2,746、有結構 343、89 行 × 24 欄共 2,136 格、12 個子頁、全市場 21 日中位數 −4.58% 全部一致</t>
        </is>
      </c>
    </row>
  </sheetData>
  <autoFilter ref="A3:C3"/>
  <hyperlinks>
    <hyperlink xmlns:r="http://schemas.openxmlformats.org/officeDocument/2006/relationships" ref="B17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50" customWidth="1" min="2" max="2"/>
  </cols>
  <sheetData>
    <row r="1">
      <c r="A1" s="36" t="inlineStr">
        <is>
          <t>R20.00 批判性審視結論</t>
        </is>
      </c>
    </row>
    <row r="3" ht="260" customHeight="1">
      <c r="A3" s="26" t="inlineStr">
        <is>
          <t>結論</t>
        </is>
      </c>
      <c r="B3" s="41" t="inlineStr">
        <is>
          <t>R20 建基於 2026-09-17（周四）收盤。當日係議息翌日，市場方向同前一日完全反轉。推動力唔係新嘅寬鬆預期，而係三樣嘢一齊放鬆：10 年期息由約 5.008 厘回落逾 7 點子至約 4.93 厘、重新跌穿 5 厘，並打斷咗連續八個交易日抽升；WTI 再跌 52 美仙結算 101.91 美元（沙特阿美開始修復 East-West 輸油管）；而 AI 電力鏈爆出實質訂單。數據方面，截至 9 月 12 日當周初領失業金跌至 19.6 萬份（預期約 20.7 萬）、四周平均 20.325 萬、續領 173.0 萬；9 月費城聯儲製造業指數由 47.4 回落至 37.8，但遠勝 30.5 嘅預期，就業分項由 27.9 跌至 11.8、付出價格分項由 40.9 升至 48.6；8 月新屋動工按月跌 2.6% 至年率 127.5 萬（預期 130.9 萬），營建許可跌 2.7% 至 139.4 萬。指數收市：標普 500 升 1.17% 收 7,640.82（升 88.57 點）、納指升 1.61%、道指升 316.14 點或 0.61% 收 51,778.04。貴金屬同步造好，黃金現貨升 1.12% 至 4,310.80 美元、白銀升 2.94% 至 65.52 美元。本掃描 $10 億以上股份中位數 +0.22%、56.8% 上升；總表 89 隻本身中位數 +0.34%，17 隻跌超過 1%、3 隻收市已低過最後一個底（新底要三日先認得出）、另有 7 行只高過最後一個底 1% 以內（最貼嘅：NKTX #89 +0.00%、SMTI #5 +0.17%、MKTX #13 +0.20%），top 60 有 13 行收市貼住或低過 MA10。要留意對照組：總表 29/89 行（33%）市值細過 $10 億，而 09-17 $10 億以下嘅中位數係 +0.62%、62.0% 上升（呢個口徑係全市場所有有市值嘅股票 2,010 隻，包括基金同優先股，唔係篩選後嘅合資格股，所以同 $10 億以上嗰組嘅差距會偏大）。但最該睇嘅係緩衝：全表 19/89 行（21%）收市已經低過自己嘅 MA10，中位行只高出 MA10 +1.89%，再有 17 行喺 +1% 以內 —— 即係 36/89 行基本上冇緩衝。再做個「凍結測試」（假設價格由今日起企定唔郁，淨計四個時間框嘅 MA 條件、唔計結構）：多一個交易日有 11/89 行全部唔再通過、兩日 20 行、五日 20 行。但本版要先更正一個一直講錯咗嘅嘢：呢三個數唔係層層包含嘅。原因唔係「MA 向凍結價收斂」（我第一稿係咁寫，錯咗）。凍結價 c 之下，MA_L 每日嘅變動精確等於 (c − 當日跌出窗口嗰個收市) ÷ L —— 即係 MA 升定跌，完全取決於邊一日離開窗口，而舊收市本身高高低低，所以凍結 MA 嘅路徑係上上落落，唔係單調。HALO 就係活例：凍結價 $109.68，頭兩個凍結日離場嘅係 09-03 $110.76 同 09-04 $110.19（高過凍結價 → MA 跌，「最後 3 個 MA 值遞升」即刻失守），但第三日開始離場嘅係 09-08 $108.31、09-09 $107.39、09-10 $107.00（低過凍結價 → MA 重新上升），所以佢凍結一日唔通過、凍結五日又通過返。本版有 2 行（HALO、NPK）凍結一日唔通過但凍結兩日又通過返，更有 9 行（AMPH、APPF、CRVL、CTSH、EPAM、MDT、NOW、PEGA、SPT）凍結兩日唔通過但凍結五日又通過 —— 所以「兩日 20 行、五日 20 行」唔係同一批 20 行。既然唔係包含關係，講「凍結幾多日有幾多行」就要換個講法：三個凍結長度加埋，有 31/89 行至少喺其中一個唔通過（union），但三個都唔通過嘅只有 7 行 —— AGM、CLH、DFIN、ITIC、NATH、NSIT、TSLA。呢 7 行先係真正冇緩衝嗰批，其餘 24 行係「睇你凍結幾多日」先決定通唔通過，本身唔算脆弱訊號。翻查前五版，每一版都係咁（R19 有 6 行、R18 有 3 行、R17 有 3 行、R16 有 3 行、R15 有 16 行），即係之前幾版寫「14／21／27」嘅遞增寫法一直都有誤導成分，本版起改為講明唔係包含關係。至於上一版嘅預測：R19 預測凍結一日 14 行跌出，實際跌出 20 行、命中 11 行（準確率 79%、召回 55%），另有 9 行（CRGY、LIFE、LILA、LILAK、OOMA、OPHC、PBF、PESI、TALO）係測試估唔到，嗰 9 行當日中位跌 1.70%，而命中嗰 11 行只係跌 0.33%。而呢個結果推翻咗上一版嘅結論。R19 寫「跌市愈急、低估愈多」，暗示升市唔會低估；今日係升市（本掃描口徑 $10 億以上中位 +0.22%、56.8% 上升），一樣低估咗 6 行。五版加埋：R16（升市）預測 30／實際 29，冇低估；R17（跌市）9／19，低估 10；R18（跌市）9／16，低估 7；R19（加息日跌市）7／22，低估 15；R20（升市）14／20，低估 6。準確率 73%、89%、67%、100%、79%。修正後嘅講法應該係：低估嘅多少跟嘅唔係大市方向，而係「有幾多行自己跌得夠深、一日之內就跌穿 MA」—— 09-11 嗰次冇低估，唔係因為升市，而係因為當時預測嗰批已經有 30 行、本身就夠大。相對 R19：30 隻新上榜、20 隻跌出 —— 18 隻係四個時間框嘅 MA 條件全部唔再成立（當中 6 隻同時收市跌穿最後一個底，但跌穿幅度中位只有 -3.1%、0 隻唔夠 1%），另 2 隻 MA 仍達標但造出更低嘅底。要留意：收市跌穿底本身唔會令一行落榜（一個新底要三個之後嘅交易日先認得出），所以 CLH、NSIT、AGM 跌穿咗都仲喺榜 —— 真正落榜機制係 MA。新上榜以 科技 9、非必需消費 6、金融 4 為主（細價 15、大型 11、中型 4），只有 13/30 隻入 top 50。能源集中度正式收檔：R16（09-11）點名嘅 16 行能源股，到今日只剩 DMLP 一隻在榜，而佢亦係唯一一隻一路留低嘅；由 09-11 收市計，16 行有 15 行係負數、中位 −3.01%。本版能源淨返 2 行、佔 2%。但集中度只係換咗位 —— 科技 26/89、佔 29%，headcount 比能源最高峰 19% 更高；分別在於質地：能源嗰 16 行 21 日日收益率兩兩相關中位 +0.35，本版科技 26 行只有 +0.27（全表頭 40 行對照組 +0.05），而且主體係企業軟件而唔係 AI 硬件（半導體只得 3 行，其中 QRVO／SWKS 係同一單合併）—— 09-14 AI 資本開支恐慌嗰日，全市場半導體中位跌 6.57%，呢 26 行反而升 3.18%（要打折扣睇：呢批係用今日收盤揀出嚟，當日只有 13/26 行真係喺榜；但跌得最傷嗰 4 行的確就係嗰 3 隻半導體加 SMCI）。累計嚟睇：R12（09-04 收盤） 嗰 158 行，到今日只剩 37 行（23%）。由 09-04 到 09-17，跌出嗰 121 行中位數 -4.8%，留低嗰 37 行只係 +2.5% —— 所以總表今日「中位 +0.34%」睇落穩陣，其實係篩走咗傷兵之後嘅倖存者偏差，唔可以當成名單抗跌。當日收市價由 Nasdaq 快照反推對賬確認（中位偏差 0.000%）；Yahoo 日線要遲一日先出齊，所以 09-17 暫時只對到 32 隻（全部零偏差），而 09-16 重新核對仍然係 2758 隻全量、100% 喺 0.5% 之內。序列本身冇補值日、冇有價無量日。審視層全部按本版重新量度：釘價股 8 隻有標記、催化欄 9 句事件日係跌市已加標記。版面同 R10。</t>
        </is>
      </c>
    </row>
    <row r="5" ht="30" customHeight="1">
      <c r="A5" s="1" t="inlineStr">
        <is>
          <t>項目</t>
        </is>
      </c>
      <c r="B5" s="1" t="inlineStr">
        <is>
          <t>內容</t>
        </is>
      </c>
    </row>
    <row r="6" ht="72" customHeight="1">
      <c r="A6" s="35" t="inlineStr">
        <is>
          <t>[本版數據] 更新至 2026-09-17 收盤（新增一個交易日，兩個來源核對過）</t>
        </is>
      </c>
      <c r="B6" s="35" t="inlineStr">
        <is>
          <t>新增 09-17（周四），合共 182 個交易日。當日收市價嘅主要驗證係 Nasdaq screener 快照（本 repo 嘅 GitHub Actions 抓）反推前收，同對上一個交易日（09-16）嘅序列逐隻對賬：5,065 隻中位偏差 0.000%、p99 0.000%。Yahoo 交叉核對：Yahoo 嘅日線通常要收市後一日先出齊，所以 09-17 今次只對到 32/2758 隻（中位差 0.000%、100.0% 喺 0.5% 之內、成交量中位比 1.0），其餘要下一版先補齊 —— 連續四版做到同日全量核對嘅紀錄到今版為止斷咗，唔係數據有問題，係抓數嘅時候 Yahoo 未出齊。09-16 今次重新全量核對（2758 隻、中位差 0.000%、100.0% 喺 0.5% 之內、成交量中位比 1.0）結果同 R19 當日嗰次一樣 —— 嗰版已經係 2758 隻全量，唔係樣本。R12 補回嘅日子（鏡像補值 4 日、09-02 成交量、02-25／08-27 兩個未收齊嘅快照）繼續生效，所以本版序列已經冇補值日。09-02 仍有 2,343/5,101 隻冇成交量數據（其中 0 隻喺 Yahoo 名單之內）——Yahoo 名單（合資格股＋所有上榜股）以外嘅股票從來冇拉過 Yahoo，所以佢哋嘅窿冇得補；名單之內已經冇窿。上榜行嘅底部同底部後最高位冇一個落喺零成交量日，所以「·無量」符號本版冇對象。公司行動：本次接駁自動重算咗 JAGX 一隻嘅歷史（1 合 15），佢唔喺榜；冇股票因為對唔上而剔除。反推對賬嘅中位同 p99 都係 0.000%。重新掃描：總表 89 隻，相對 R19 有 30 隻新上榜、20 隻跌出（18 隻係四個時間框嘅 MA 條件全部唔再成立 —— 當中 6 隻同時收市跌穿最後一個底；另 2 隻 MA 仍達標但底部序列斷咗或過咗 25 日窗口；呢 2 類加埋等於 20 —— 跌穿底嗰 6 隻唔係獨立一類、係 MA 落榜嗰批嘅子集，唔可以同上面兩個數相加），冇一隻因為數據問題。跌出：LILAK、LILA、OPHC、TALO、OOMA、CRGY、AD、PESI、PBF、TARS、VZ、GBTG、FUBO、FCFS、NMAX、RGA、DAN、LIFE、HRZN、INBK。新上榜：HRTG、HGTY、HALO、FPI、RNG、CLH、INTG、SLDE、BRK/A、OHI、SMCI、KOPN、CRCT、XHLD、NATH、DFIN、TSLA、IBM、CURI、HYPD、OBIO、OESX、NOW、SPT、CTKB、ABTC、NWSA、APPF、CTSH、IESC。</t>
        </is>
      </c>
    </row>
    <row r="7" ht="72" customHeight="1">
      <c r="A7" s="35" t="inlineStr">
        <is>
          <t>[本版觀察] 09-17 議息翌日全面反彈，能源集中度清零、科技變成新嘅最大一注</t>
        </is>
      </c>
      <c r="B7" s="35" t="inlineStr">
        <is>
          <t>09-17 全體 $10 億市值以上股份中位數 +0.22%、56.8% 上升；總表 89 隻中位數 +0.34%，17 隻跌超過 1%（最弱：NSIT -6.4%、SPT -4.0%、OBIO -3.8%、OESX -3.5%、SLDE -2.6%），最強：CYPH +25.8%、SMCI +9.5%、KOPN +9.0%、ABTC +8.5%、MYGN +7.3%。收市喺 MA10 之下嘅有 19 隻，top 60 入面有 13 行收市貼住或低過 MA10：SMTI #5（=MA）、MKTX #13（=MA）、CLH #29（-1.0%）、INTG #32（-0.8%）、EXPD #35（-0.4%）、BRK/B #38（-0.3%）、SLDE #39（-0.5%）、BRK/A #41（-0.2%）、EPAM #47（-0.8%）、XHLD #53（-2.3%）、NATH #56（-0.2%）、DFIN #58（-1.6%）、IBM #60（-0.6%）。「守底」嘅安全邊際基本上冇晒：除咗 3 隻收市已跌穿最後一個底（CLH、NSIT、AGM，一個新底要三個之後嘅交易日先認得出，所以仍然在榜，已加標記），另有 7 行只高過最後一個底 1% 以內 —— SMTI #5 +0.17%、MKTX #13 +0.20%、BRK/A #41 +0.81%（同時低過 MA10）、NATH #56 +0.25%（同時低過 MA10）、DFIN #58 +0.31%（同時低過 MA10）、EFSI #80 +0.81%、NKTX #89 +0.00%（同時低過 MA10）。上一版點名嘅油價一注（AESI）仍然在榜；能源呢個集中度故事今次正式收檔，而且收得乾淨。由 R16（09-11 收盤）第一次點名 —— 16 行能源股佔總表 19%、同一個宏觀變數 —— 到今日，16 行入面淨返 1 行（DMLP），而佢亦係唯一一隻五版以來一路留喺榜上嘅。中間四個交易日：09-14 走 7 行（共同因子係油田服務，全市場 Oilfield Services/Equipment 中位 −5.16%）、09-15 中位 +3.29% 係當日最強板塊但冇一隻返榜、09-16 WTI 跌 3.2% 再走 6 行（Oil &amp; Gas Production −5.51%，全市場最傷）、09-17 再走 2 行（CRGY、TALO）。由 09-11 收市計到今日，嗰 16 行有 15 行係負數，中位 −3.01%（RES −8.06%、SLB −7.10%、HP −5.86%），得 PNRG +0.53% 同 DMLP +0.74% 係正數 —— 而 PNRG 一樣跌咗出榜。本版能源淨返 2 行（DMLP、REPX）、佔 2%。但新嘅集中度已經換咗位：科技 26/89、佔 29%，headcount 比能源最高峰嗰 19% 仲要高。唔同嘅係質地：能源嗰 16 行 21 日日收益率嘅兩兩相關中位數係 +0.35，而本版科技嗰 26 行只係 +0.27（醫療保健 18 行 +0.23，全表頭 40 行對照組只有 +0.05）。科技嗰 26 行入面，預製軟件 10 行、EDP 服務 6 行、電腦製造 3 行、半導體只得 3 行（KOPN、QRVO、SWKS，而 QRVO／SWKS 本身係同一單合併）—— 主體係企業軟件，唔係 AI 硬件。最能講明分別嘅係 09-14 嗰日：AI 資本開支恐慌令全市場半導體中位跌 6.57%，而本版呢 26 行科技股當日中位反而升 3.18%（全表 +0.93%），26 行入面 19 行當日係升。但呢個數要打個折扣睇：呢 26 行係用 09-17 收盤揀出嚟嘅，當日（09-14）其實只有 13 行喺榜，即係一半係事後先入選，所以 +3.18% 帶住後見之明嘅選樣偏差，唔可以當成「當時揸住呢批就升咗 3.18%」。不過方向係穩陣嘅：當日跌得最傷嗰 4 行正正就係得嗰 3 隻半導體加 SMCI（SWKS −10.29%、SMCI −8.38%、QRVO −7.43%、KOPN −4.61%），升得最勁嗰 4 行係軟件同網安（NTSK +15.65%、CRWD +13.85%、SPT +7.69%、NOW +7.41%）—— 硬件同軟件分邊企，同板塊標籤講嘅唔同。所以本版嘅講法係：按 headcount 科技已經超越能源最高峰，但按共同波動佢係一個鬆好多嘅群 —— 集中度要分「同一個標籤」同「同一注」，能源嗰次係後者，今次唔係。另外 89 行入面有 32 行（36%）嘅底部後最高位就係 09-17 當日 —— 即係話呢批行嘅「突破」同「回補」分數全部靠最後一日撐住，多跌一日就唔同講法。</t>
        </is>
      </c>
    </row>
    <row r="8" ht="72" customHeight="1">
      <c r="A8" s="35" t="inlineStr">
        <is>
          <t>[已修正] 催化欄逐行對照序列（本版重新計算）</t>
        </is>
      </c>
      <c r="B8" s="35" t="inlineStr">
        <is>
          <t>76 句有日期、2 句冇日期（原文本身冇提日期，唔憑空補）、11 句係「無個股催化」。其中 9 句所指嗰日收市係跌市，全部自動加「事件日 −X%」標記；另有 9 句所指嗰日收市喺 −0.5% 至 +1% 之間。本版獨立覆核逐句對照序列，改正咗 3 句效果數字：DDD「翌日升23.9%」實為 +25.8%、RES「單日升3.2%」實為 +5.9%、SRPT「單日彈14.1%」實為 +11.0%（08-27，亦係佢 8 月最大單日升幅）。同時修好兩個檢查漏洞：(1) 日期 regex 本來要求「8/3 」後面有空格，令 DDD、NVAX 呢類冇空格嘅句子完全避開檢查（改為 ^(\d+)/(\d+)(?=\D) 之後，有日期嘅由 83 句變 76 句）；(2) 效果數字本來容許「事件日之後三日任何一日」對得上就放行，RES 就係靠 07-31 嘅 +3.5% 蒙混過關。</t>
        </is>
      </c>
    </row>
    <row r="9" ht="72" customHeight="1">
      <c r="A9" s="35" t="inlineStr">
        <is>
          <t>[備註] 本版冇任何「無量」高位或底部</t>
        </is>
      </c>
      <c r="B9" s="35" t="inlineStr">
        <is>
          <t>09-02 嘅成交量喺 R12 由 Yahoo 補回，但只補咗 Yahoo 名單（2,758 隻合資格股＋上榜股）之內嗰批；全序列今日仍然有 09-02 2,343/5,101 隻冇成交量數據，不過全部喺名單以外（即係唔會入任何頁面）。上榜行入面冇任何一行嘅底部或底部後最高位落喺零成交量嘅格，「·無量」符號冇對象；仍然有 0 行嘅底部後最高位落喺 09-02 —— 嗰日嘅收市價係官方 net-change 反推、成交量係 Yahoo 補回，兩樣都有數據，同「無量」係兩回事。</t>
        </is>
      </c>
    </row>
    <row r="10" ht="72" customHeight="1">
      <c r="A10" s="35" t="inlineStr">
        <is>
          <t>[待你決定] 底部確認只需三日，窗口邊界令名單對單日數據敏感</t>
        </is>
      </c>
      <c r="B10" s="35" t="inlineStr">
        <is>
          <t>最後一個底最集中嘅三日：09-09 17 行（已守 6 日）、09-10 17 行（已守 5 日）、09-08 14 行（已守 7 日）。確認期最短嘅係 09-14 嗰 4 行，只守咗 3 日（規則最少值係 3 日）。敏感度測試（本版重算）：剝走 09-02 呢一日，6/89 行連佢哋現時上榜嘅四個時間框都全部唔通過；要留意呢個測試同凍結測試嘅計法唔同：呢度只計每行現時上榜嗰幾個時間框，凍結測試則要四個時間框全部唔通過。。即係話呢個敏感度唔係邊一日特有，而係 45／25 日窗口邊界效應；要唔要收緊（例如底部確認由 3 日加到 5 日、或者窗口用固定日曆長度），由你決定。</t>
        </is>
      </c>
    </row>
    <row r="11" ht="72" customHeight="1">
      <c r="A11" s="35" t="inlineStr">
        <is>
          <t>[已加標記] 市值近界</t>
        </is>
      </c>
      <c r="B11" s="35" t="inlineStr">
        <is>
          <t>1 隻上榜股市值距 $100 億／$20 億分界線 5% 以內（DV），一日波動就可能換組；市值用 09-17 快照。</t>
        </is>
      </c>
    </row>
    <row r="12" ht="72" customHeight="1">
      <c r="A12" s="35" t="inlineStr">
        <is>
          <t>[已核實] 獨立重算：輸出逐格對得上</t>
        </is>
      </c>
      <c r="B12" s="35" t="inlineStr">
        <is>
          <t>由規則獨立重新實作嘅篩選程序（唔睇我哋嘅程式碼）喺 09-17 序列上再跑一次：合資格 2,746 隻、有結構 343 隻、12 個子頁嘅 top 50 同總表 89 隻（連排序）完全一致，89 行 × 24 個欄位（VCP、確定性、綜合分數、爆發潛力分數、收市價、市值、市值組、通過時間框數、四個時間框排名、底部序列、中間高位、上一個底、突破後最高位、突破、跌穿、守底日數、收縮、七項確定性子分、量比、均線三項）合共 2,136 格逐格比較，零差異；全市場 21 日中位回報兩邊都係 −4.58%。日類別判定亦一致：本版序列冇補值日、冇有價無量日、冇成交量不完整日。另外今次研究層面有一個過程上嘅錯處值得記低：交畀研究員嘅指示入面我寫錯咗 ABTC 係「American Battery Technology」，實際係 American Bitcoin Corp.（比特幣礦企）。研究員冇跟我個錯誤提示，而係跟住 context 檔入面嘅真實公司名去查，寫出嚟嘅係礦企嘅嘢（Q1 收入跟幣價跌 20.7%、8 月比特幣升 24.9%、9/16 BTIG 首予買入），所以錯誤冇入到報告 —— 呢個亦係「每個價格同名稱都由序列餵落去、唔靠記憶」呢個做法第二次擋咗我自己嘅錯。</t>
        </is>
      </c>
    </row>
    <row r="13" ht="72" customHeight="1">
      <c r="A13" s="35" t="inlineStr">
        <is>
          <t>[覆核 · 已修正] 跌出名單原因分錯：「30 隻 MA 條件唔再成立」有 7 隻其實仍通過 MA，真正原因係結構斷裂</t>
        </is>
      </c>
      <c r="B13" s="35" t="inlineStr">
        <is>
          <t>用 series6.pkl 重跑四個時間框嘅 MA 規則，35 隻跌出股入面 PRGO（仍通過 3/4/5）、EOLS（2/3/4）、CZNC、MTW、ATLO、WTBA、NKSH（4/5）全部仍有時間框達標。PRGO、EOLS 跌出係因為最後一個底（07-31，index 148）已超出 25 個交易日窗口（N−25=149）；CZNC、MTW、ATLO、WTBA、NKSH 係 09-01 形成咗低過上一個底嘅新底（CZNC 25.32&lt;25.58、MTW 18.96&lt;19.09、ATLO 31.23&lt;31.28、WTBA 28.08&lt;28.12、NKSH 40.20&lt;40.33），「一底高於一底」斷裂。apply_review11.py 只用「現價 &lt; 舊底」分類，其餘一律當 MA 失效。 → 處理：頭條同 [本版數據] 改為：35 隻跌出 —— 4 隻收市跌穿最後一個底（BWMN、VSNT、GEL、ROKU）、5 隻 09-01 造出低過上一個底嘅新底（CZNC、MTW、ATLO、WTBA、NKSH）、2 隻最後一個底已過 25 日（PRGO、EOLS）、23 隻四個時間框 MA 條件全部唔成立、1 隻冇報價（APGE）。程式應該重跑 higher_lows 判斷而唔係只比較現價同舊底。</t>
        </is>
      </c>
    </row>
    <row r="14" ht="72" customHeight="1">
      <c r="A14" s="35" t="inlineStr">
        <is>
          <t>[覆核 · 已修正] 16+14 隻新研究催化句有 8 句嘅「效果」數字同序列唔符（超出 ±1.5 點）</t>
        </is>
      </c>
      <c r="B14" s="35" t="inlineStr">
        <is>
          <t>收市對收市重算：WTTR 寫「翌日升約10%」，08-05 實際 +20.3%（18.50→22.26）；IOVA 寫「翌日升43%」，+43.1% 係 08-06 當日（4.34→6.21），翌日 08-07 只 +2.1%；SGHT 寫「8/4 FDA…翌日升27.8%」，翌日 08-05 係 −1.6%，+27.7% 係 08-06（8/5 Q2 兼上調指引之後）；AMT 寫「單日升近6%」，07-28 +2.9%、07-29 +4.5%，無一日近 6%（兩日累計 +7.5%）；RXRX 寫 7.23%，08-25 實際 +9.5%（3.25→3.56）；TPG 寫 7.7%，08-04 實際 +5.7%（46.32→48.98）；APO 寫「業績後累升6%」，08-03 129.42 → 08-07 127.44 係 −1.5%（$127.44 低過業績前收市）；IRWD 寫「累升 → 處理：採用 cat_line_fixes 入面 8 句；news_checks.py 嘅 (f) 應該按「單日／翌日」對應確實嗰一日、要求方向一致、容差收窄至 ±1.5 點。</t>
        </is>
      </c>
    </row>
    <row r="15" ht="72" customHeight="1">
      <c r="A15" s="35" t="inlineStr">
        <is>
          <t>[覆核 · 已修正] 「25 句事件日波幅 ±1% 之內（多數係併購釘價股）」— 其實只有 5 隻係釘價股</t>
        </is>
      </c>
      <c r="B15" s="35" t="inlineStr">
        <is>
          <t>25 隻 flat_days（DMLP、OGN、ET、RGA、HSIC、CART、FMAO、TECH、SBAC、WK、BIO、SLDB、CRGY、VOYA、FBLA、GBTG、RDVT、TXNM、LILAK、OII、WTTR、EQH、FET、NUE、CNXN）入面有 deal=true 標記嘅只有 OGN、TECH、VOYA、GBTG、TXNM 5 隻（20%）；其餘 20 隻多數係盤後出業績、反應落喺翌日嘅業績股（WTTR 翌日 +20.3%、SBAC 翌日 +4.7%）。 → 處理：改為「另有 25 句所指嗰日波幅喺 ±1% 之內，5 隻係併購釘價股，其餘多數係盤後公布、反應落喺翌日」。</t>
        </is>
      </c>
    </row>
    <row r="16" ht="72" customHeight="1">
      <c r="A16" s="35" t="inlineStr">
        <is>
          <t>[覆核 · 已修正] 沿用嘅 6 個標記文字仍然係 09-03 數字，同「審視層全部重新量度」唔符</t>
        </is>
      </c>
      <c r="B16" s="35" t="inlineStr">
        <is>
          <t>apply_review11.py 只重算 OFFERS 名單嘅價差，其他標記原文照搬 review9：IRD 標記「自 08-31 底 +27.1%」→ 09-04 實際 +29.0%（3.62→4.67）；DMLP「自 08-04 起 +14.8%」→ +14.6%；DFIN「而家只係高 11.2%、低過催化前 4.5%」→ 現 +15.4%、只低 0.9%（50.92 vs 07-29 51.39）；NOW「+58.4%」→ +53.6%；CHRD「+32.6%…69% 喺 8/5 前升完」→ +31.2%、73%；PAG「現價 $219.62」係 09-03 收市，09-04 係 $219.77，而且已高過 $210 私有化建議價 4.65%，標記冇講明。 → 處理：標記文字入面嘅數字由程式按本版序列重算（或者標明「R9 量度」）；PAG 標記改為「三井／Penske $210 私有化建議（非正式要約），現價 $219.77 高於建議價 4.7%，市場在賭加價」。</t>
        </is>
      </c>
    </row>
    <row r="17" ht="72" customHeight="1">
      <c r="A17" s="35" t="inlineStr">
        <is>
          <t>[覆核 · 已修正] 「同公司雙類股」note 講「NWS／NWSA 已跌出」— NWSA 仍然在榜第 34 位</t>
        </is>
      </c>
      <c r="B17" s="35" t="inlineStr">
        <is>
          <t>screen_results11 總表有 NWSA（#34，收市 30.39 低過 MA10 30.81），只有 NWS 跌出；note 文字係程式喺 pairs 為空時自動生成，判斷「已冇雙類股」正確但例子講錯。 → 處理：改為「R9 同時上榜嘅 NWS／NWSA，NWS 已跌出，NWSA 仍在（#34）；本版冇同一公司兩類股同時上榜」。</t>
        </is>
      </c>
    </row>
    <row r="18" ht="72" customHeight="1">
      <c r="A18" s="35" t="inlineStr">
        <is>
          <t>[覆核 · 已修正] ULTA 催化句揀反彈日做事件日，掩蓋咗業績當日嘅負面反應</t>
        </is>
      </c>
      <c r="B18" s="35" t="inlineStr">
        <is>
          <t>cat_line「8/31 Q2上調指引獲重估 → 單日反彈4%」數字冇錯（08-31 +3.8%），但事件本身係 8/27 盤後業績：08-27 +0.5%、翌日 08-28 −4.2%，08-31 只係回補跌幅；entry 自己嘅 recovery_short 已寫明「翌日跌4.2%後8/31反彈4%」。自動「事件日下跌」檢查只睇句首日期，所以捉唔到。 → 處理：改為「8/27 Q2勝預期上調指引 → 翌日跌4.2%、8/31彈3.8%」（34 字元），令讀者知道業績反應先跌後回。</t>
        </is>
      </c>
    </row>
    <row r="19" ht="72" customHeight="1">
      <c r="A19" s="35" t="inlineStr">
        <is>
          <t>[覆核 · 已修正] SNOW 嘅「事件日跌 4.4%」警告文字誤導：−4.4% 係盤後出業績之前嘅一日</t>
        </is>
      </c>
      <c r="B19" s="35" t="inlineStr">
        <is>
          <t>SNOW 09-02 盤後公布 Q2，09-02 收市 −4.4%（319.80→305.84，而且 09-02 係反推嘅有價無量 bar）、09-03 +16.6%（→356.47）、09-04 −5.4%。自動警告話「事件當日被市場沽售，回升係其後嘅事」，但當日跌幅發生喺業績之前，同催化無關。另外 cat_line 寫 17.4%，序列係 +16.6%（差 0.8，在容差內）。 → 處理：警告改寫為「9/2 係盤後公布，−4.4% 係公布前嘅跌幅；反應係翌日 +16.6%，09-04 已回吐 5.4%」；程式可以對「盤後」字眼嘅 entry 用翌日回報做事件日回報。</t>
        </is>
      </c>
    </row>
    <row r="20" ht="72" customHeight="1">
      <c r="A20" s="35" t="inlineStr">
        <is>
          <t>[覆核 · 已修正] 研究文字日回報同序列唔符：SNDX「翌日跌2.4%」實際 +4.4%，TSLA「跌12.7%」實際 −14.5%</t>
        </is>
      </c>
      <c r="B20" s="35" t="inlineStr">
        <is>
          <t>SNDX 8/4 盤後業績，08-05 收 19.92 對 19.08 係 +4.4%，唔係跌 2.4%；TSLA 7/22 業績，07-23 收市 −14.5%（decline_short 寫 12.7%，差 1.8 點）。兩者都唔係 cat_line（SNDX 係「無個股催化」），news_checks 容差 40% 放行。 → 處理：SNDX recovery_short 改「翌日升4.4%」（並考慮 Q2 收入升 92% 係咪真係「無個股催化」）；TSLA decline_short 改「翌日跌14.5%」。</t>
        </is>
      </c>
    </row>
    <row r="21" ht="72" customHeight="1">
      <c r="A21" s="35" t="inlineStr">
        <is>
          <t>[覆核 · 已修正] 43 行最後一個底係 09-01（守底僅 3 日）；SSNC 等 4 行結構全靠 09-02 無量 bar</t>
        </is>
      </c>
      <c r="B21" s="35" t="inlineStr">
        <is>
          <t>180 行入面 43 行嘅最後一個底落喺 09-01（d_held=3，係規則容許嘅最小值），top 50 佔 16 行（RCEL #10、AVTR #12、SSNC #13、CNNE #16、GLIBK #25、LBRX #29、HSIC #32…）；呢 43 個底嘅第一個確認日就係有價無量嘅 09-02。將 09-02 從真實日剔除後重跑 find_bottoms／higher_lows，SSNC（#13）、NKTX（#67）、MNTN（#79）、PSKY（#97）4 行嘅「一底高於一底」完全唔成立；現有 note 只講 MA 條件（20 隻），冇講結構。第 1 位 DMLP 亦只有兩個底、最後一個底（08-28 28.65）靠 09-02 確認、底部後最高位落喺 09-02，現價 29.21 只高過底 2.0%。 → 處理：喺「[已加標記] 靠 09-02 先成立嘅結構」加一句：「43 行最後一個底係 09-01（top 50 有 16 行）；剝走 09-02 後結構唔成立嘅有 SSNC、NKTX、MNTN、PSKY 4 行」，並喺 DMLP 一行加「兩底結構、高位無量」提示。</t>
        </is>
      </c>
    </row>
    <row r="22" ht="72" customHeight="1">
      <c r="A22" s="35" t="inlineStr">
        <is>
          <t>[備註] R8–R10 嘅修正同做法繼續生效</t>
        </is>
      </c>
      <c r="B22" s="35" t="inlineStr">
        <is>
          <t>補值日唔製造底部、成交量不完整日同 09-02（有價無量）唔入量比／VCP／流動性、universe 剔除基金／信託／優先股、S&amp;P 500 用 GICS 類別、總表斜率統一 MA10、評級另立類別、催化劑事件日下跌者自動加標記、APH 拆股歷史已重算、更新內容只用灰色小字（冇紅色）、催化欄同淺色／深色掣、R10 嘅單屏版面（說明喺表下面、欄寬固定）—— 全部照舊。R9 審視發現嘅五項錯處（催化欄自我核對錯一個數量級、news_checks 唔睇 cat_line、DBRG 冇標記、舊 notes 數字停留喺 R7、頭條嘅板塊故事同數據相反）已喺 R9 修正，本版所有數字由程式即時計算。</t>
        </is>
      </c>
    </row>
    <row r="23" ht="72" customHeight="1">
      <c r="A23" s="35" t="inlineStr">
        <is>
          <t>[待你決定] 確定性飽和同釘價股仍然主導榜首（本版重新量度）</t>
        </is>
      </c>
      <c r="B23" s="35" t="inlineStr">
        <is>
          <t>喺 2026-09-17 嘅數據上一樣成立：總表 top 50 入面「突破」項有 46/50 係滿分、「回補」41/50、「均線」45/50，即係確定性一半權重根本冇分辨力，實際排序由守底日數同量比決定；另外全表 9 隻（top 50 佔 7 隻）嘅中間高位只高過上一個底 &lt;1%（ITGR、DV、SMTI、MKTX、CLH、BRK/B、BRK/A、NATH、DFIN），三項自動接近滿分。併購釘價股佔 top 50 嘅 4 隻（ITGR、DV、SMTI、MKTX），包括第 1 位。top 50 距離中間高位嘅中位數 +1.99%。建議（會改規則）：突破需 ≥ 中間高位 ×1.01、去掉均線項重新加權、釘價股另置區塊 —— 三項都要你拍板。</t>
        </is>
      </c>
    </row>
    <row r="24" ht="72" customHeight="1">
      <c r="A24" s="35" t="inlineStr">
        <is>
          <t>[待你決定] 部分行嘅「一底高於一底」只高過上一個底不足 1%</t>
        </is>
      </c>
      <c r="B24" s="35" t="inlineStr">
        <is>
          <t>總表 16/89 行（top 50 有 13 行）嘅最後一個底只高過上一個底 &lt;1%：EXPD +0.01%、NATH +0.02%、ITGR +0.02%、SAIC +0.19%、DV +0.23%。規則④⑤ 冇設最低幅度，所以呢啲行嘅「遞升」其實喺捨入誤差範圍。建議：底部遞升需 ≥1% 先算數 —— 會改規則，由你決定。</t>
        </is>
      </c>
    </row>
    <row r="25" ht="72" customHeight="1">
      <c r="A25" s="35" t="inlineStr">
        <is>
          <t>[已標記 · 待你決定] 併購釘價股佔據榜首</t>
        </is>
      </c>
      <c r="B25" s="35" t="inlineStr">
        <is>
          <t>8 隻被收購目標／併購傳聞股（ITGR、SMTI、DV、QRVO、EFSI、MKTX、SWKS、NATH）全部有標記，頂欄「隱藏併購釘價股」掣可以一鍵篩走；總表前 20 名入面有 4 隻（ITGR、DV、SMTI、MKTX）。佢哋嘅低波幅係交易釘價，唔係蓄勢，係咪索性剔除或者另置區塊，要你決定。</t>
        </is>
      </c>
    </row>
    <row r="26" ht="72" customHeight="1">
      <c r="A26" s="35" t="inlineStr">
        <is>
          <t>[待你決定] PAGE 2 嘅 5MA 規則等同 5 日價格動量</t>
        </is>
      </c>
      <c r="B26" s="35" t="inlineStr">
        <is>
          <t>（下列數字係 R7／R8 時期嘅量度，例子股票部分已經跌出名單；建議本身仍然成立）5MA 較 5 日前高 ⇔ 收市高於 5 日前收市（2,500 次核對零例外）；≥70% 即 4/5 日。結果 64 隻合資格中 31 隻收市低於自己嘅 5MA（頁內一半標「低於MA」），名單每兩日換約 40%。建議：加「收市 &gt; 5MA」或「5MA &gt; 10MA」狀態條件，或 PAGE 2 改用 10MA 比較 5 日。</t>
        </is>
      </c>
    </row>
    <row r="27" ht="72" customHeight="1">
      <c r="A27" s="35" t="inlineStr">
        <is>
          <t>[待你決定] 覆蓋度同確定性重複計分；3/4/5 時間框近乎重疊</t>
        </is>
      </c>
      <c r="B27" s="35" t="inlineStr">
        <is>
          <t>（下列數字係 R7／R8 時期嘅量度，例子股票部分已經跌出名單；建議本身仍然成立）時間框係嵌套嘅（通過 5 → 91% 亦通過 3），4a 同 3a 共用 47/50 隻；覆蓋度同確定性相關 0.63（均線／RS／回補項已計過趨勢）。建議：總表改用 0.5/0.5 綜合分數，或以「通過嘅最長時間框」取代覆蓋度；3/4/5 可合併為一表加「通過時間框」欄。 審視量化：總表分數 = 0.8×綜合 + 5×時間框數，每多一個時間框值 6.25 個綜合分；top 20 入面 10 隻 3 個時間框嘅股票欠嘅都係 PAGE 2，而且全部只係差「5MA 最後 3 日逐日升」一項。BIIB（綜合 79.8）因此排喺 MANH（71.7）之後。</t>
        </is>
      </c>
    </row>
    <row r="28" ht="72" customHeight="1">
      <c r="A28" s="35" t="inlineStr">
        <is>
          <t>[待你決定] 「突破」項喺任何幅度嘅超越都俾滿分</t>
        </is>
      </c>
      <c r="B28" s="35" t="inlineStr">
        <is>
          <t>（下列數字係 R7／R8 時期嘅量度，例子股票部分已經跌出名單；建議本身仍然成立）總表前 20 名 20/20 突破＝1.0，其中 16 個「突破」幅度 &lt;0.5%（ALRM 0.03%、ITGR 0.07%）；35 隻現價已跌返中間高位以下但仍計滿分。5–8 月樣本內 10 日前瞻回報顯示確定性分數冇正向優勢，只有 VCP 項方向正確。建議：突破需 ≥ 中間高位 ×1.01，現價跌返高位以下時回落用進度公式。</t>
        </is>
      </c>
    </row>
    <row r="29" ht="72" customHeight="1">
      <c r="A29" s="35" t="inlineStr">
        <is>
          <t>[待你決定] VCP 獎勵「跳空後橫行」</t>
        </is>
      </c>
      <c r="B29" s="35" t="inlineStr">
        <is>
          <t>（下列數字係 R7／R8 時期嘅量度，例子股票部分已經跌出名單；建議本身仍然成立）總表 171 隻中 52 隻喺 VCP 分母窗口（前 30 日）內有單日 ≥10% 跳空（VREX +48.8%、BWMN +55.8%、QMCO +109.5%），跳空後嘅橫行被讀成極致收縮。建議：計算前剔除窗口內最大單日絕對回報，或要求距最近 ≥10% 跳空 ≥20 日。 審視量化：總表 top 50 有 16 隻嘅 VCP 靠分母窗口內一個 &gt;15% 跳空日撐起，剔除該日後 VCP 中位數少 12.9 分（AGEN 76→52、HALO 73→50、XGN 50→24、NIQ 57→29）。</t>
        </is>
      </c>
    </row>
    <row r="30" ht="72" customHeight="1">
      <c r="A30" s="35" t="inlineStr">
        <is>
          <t>[待你決定] 同公司雙類股佔兩個名額</t>
        </is>
      </c>
      <c r="B30" s="35" t="inlineStr">
        <is>
          <t>本版有 1 對同一公司嘅雙類股同時上榜：BRK/A #41 同 BRK/B #38 —— 兩隻嘅走勢由同一盤生意驅動，等於用兩個名額買同一個風險，而總表嘅分散度睇落會好過實際。（BRK/A／BRK/B 收 $763936／$509.2，當日 -2.1%／-2.0%）流動性差天共地：BRK/A 當日只成交 278 股、BRK/B 成交 5,993,268 股（21,559 倍），所以要保留嘅係 BRK/B。建議：同一公司只計一個名額（保留流動性較高嗰類）—— 會改規則，由你決定。</t>
        </is>
      </c>
    </row>
    <row r="31" ht="72" customHeight="1">
      <c r="A31" s="35" t="inlineStr">
        <is>
          <t>[待你決定] 確定性三項（45% 權重）會被「一日小回」全數攞滿</t>
        </is>
      </c>
      <c r="B31" s="35" t="inlineStr">
        <is>
          <t>當最後兩個底之間嘅中間高位只高過上一個底 &lt;1%（本版全表 9 隻：ITGR、DV、SMTI、MKTX、CLH、BRK/B、BRK/A、NATH、DFIN），突破、回補、守底三項會被一日小回全數攞滿。建議：中間高位需高過上一個底 ≥2% 先計 —— 會改規則，由你決定。</t>
        </is>
      </c>
    </row>
    <row r="32" ht="72" customHeight="1">
      <c r="A32" s="35" t="inlineStr">
        <is>
          <t>[待你決定] 回撤遞減嘅「首段」只睇底部前 10 日</t>
        </is>
      </c>
      <c r="B32" s="35" t="inlineStr">
        <is>
          <t>（下列數字係 R7／R8 時期嘅量度，例子股票部分已經跌出名單；建議本身仍然成立）首段跌幅只用第一個底之前 10 個交易日嘅高位（README 規則⑥無此限制），總表 57/171 行喺 25 日內有高出 &gt;3% 嘅高位：NDAQ 首段 2.4% 應為 9.1%（少計約 4.5 分）、DMLP／ARLP／GEL 嘅比率由 &gt;1 變 &lt;1。呢個上限承自 20MA R3，改動會令各版本唔可比，所以留俾你決定。</t>
        </is>
      </c>
    </row>
    <row r="33" ht="72" customHeight="1">
      <c r="A33" s="35" t="inlineStr">
        <is>
          <t>[待你決定] MA 遞升門檻無最低幅度</t>
        </is>
      </c>
      <c r="B33" s="35" t="inlineStr">
        <is>
          <t>本版重新量度：總表 12/89 行（top 50 佔 8 行）至少有一個時間框係靠細過 5 個基點嘅兩步 MA 升幅通過 —— ITGR #1 3.97bp、MKTX #13 3.00bp、HALO #14 0.18bp、AMPH #18 3.40bp、NUE #21 4.52bp、CLH #29 1.04bp。當中第 1 位 ITGR 都只係 3.97 個基點。每個時間框喺總表值 5 分覆蓋度，所以呢啲行嘅時間框數目近乎隨機。建議：日升幅需 ≥0.01%（1 個基點），或直接剔除釘價股 —— 會改規則，由你決定。</t>
        </is>
      </c>
    </row>
  </sheetData>
  <autoFilter ref="A5:B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8" customWidth="1" min="3" max="3"/>
    <col width="11" customWidth="1" min="4" max="4"/>
    <col width="44" customWidth="1" min="5" max="5"/>
    <col width="7" customWidth="1" min="6" max="6"/>
    <col width="60" customWidth="1" min="7" max="7"/>
    <col width="60" customWidth="1" min="8" max="8"/>
    <col width="8" customWidth="1" min="9" max="9"/>
  </cols>
  <sheetData>
    <row r="1" ht="30" customHeight="1">
      <c r="A1" s="1" t="inlineStr">
        <is>
          <t>總表排名</t>
        </is>
      </c>
      <c r="B1" s="1" t="inlineStr">
        <is>
          <t>代號</t>
        </is>
      </c>
      <c r="C1" s="1" t="inlineStr">
        <is>
          <t>公司</t>
        </is>
      </c>
      <c r="D1" s="1" t="inlineStr">
        <is>
          <t>催化劑類型</t>
        </is>
      </c>
      <c r="E1" s="1" t="inlineStr">
        <is>
          <t>催化句</t>
        </is>
      </c>
      <c r="F1" s="1" t="inlineStr">
        <is>
          <t>信心</t>
        </is>
      </c>
      <c r="G1" s="1" t="inlineStr">
        <is>
          <t>下跌原因</t>
        </is>
      </c>
      <c r="H1" s="1" t="inlineStr">
        <is>
          <t>回升原因</t>
        </is>
      </c>
      <c r="I1" s="1" t="inlineStr">
        <is>
          <t>來源數</t>
        </is>
      </c>
    </row>
    <row r="2" ht="46" customHeight="1">
      <c r="A2" s="34" t="n">
        <v>1</v>
      </c>
      <c r="B2" s="33" t="inlineStr">
        <is>
          <t>ITGR</t>
        </is>
      </c>
      <c r="C2" s="34" t="inlineStr">
        <is>
          <t>Integer Holdings Corporation</t>
        </is>
      </c>
      <c r="D2" s="34" t="inlineStr">
        <is>
          <t>併購</t>
        </is>
      </c>
      <c r="E2" s="35" t="inlineStr">
        <is>
          <t>7/31 KKR $127現金全購、溢價51.8% → 單日+20.2%</t>
        </is>
      </c>
      <c r="F2" s="34" t="inlineStr">
        <is>
          <t>高</t>
        </is>
      </c>
      <c r="G2" s="35" t="inlineStr">
        <is>
          <t>4月30日下調全年指引、電生理需求轉弱，目標價由$120削至$77-88，7月17日再挫4.2%</t>
        </is>
      </c>
      <c r="H2" s="35" t="inlineStr">
        <is>
          <t>8月3日KKR宣佈每股$127現金全購、企業值$57億，較4月29日收市溢價51.8%，股價急抽至$125水平</t>
        </is>
      </c>
      <c r="I2" s="34" t="n">
        <v>4</v>
      </c>
    </row>
    <row r="3" ht="46" customHeight="1">
      <c r="A3" s="34" t="n">
        <v>2</v>
      </c>
      <c r="B3" s="33" t="inlineStr">
        <is>
          <t>DV</t>
        </is>
      </c>
      <c r="C3" s="34" t="inlineStr">
        <is>
          <t>DoubleVerify Holdings Inc.</t>
        </is>
      </c>
      <c r="D3" s="34" t="inlineStr">
        <is>
          <t>併購</t>
        </is>
      </c>
      <c r="E3" s="42" t="inlineStr">
        <is>
          <t>8/6 尼爾森13.6美元收購 → 翌日+12.8%</t>
        </is>
      </c>
      <c r="F3" s="34" t="inlineStr">
        <is>
          <t>高</t>
        </is>
      </c>
      <c r="G3" s="35" t="inlineStr">
        <is>
          <t>廣告科技板塊回吐，市場憂慮activation收入失速；股價由7/13高位11.91連跌至7/23的10.38，累跌12.8%。</t>
        </is>
      </c>
      <c r="H3" s="35" t="inlineStr">
        <is>
          <t>8/6收市後Nielsen宣布以每股13.60美元全現金收購（企業值21.5億美元），翌日(8/7)單日+12.8%，其後股價貼近收購價13.3附近橫行。</t>
        </is>
      </c>
      <c r="I3" s="34" t="n">
        <v>3</v>
      </c>
    </row>
    <row r="4" ht="46" customHeight="1">
      <c r="A4" s="34" t="n">
        <v>3</v>
      </c>
      <c r="B4" s="33" t="inlineStr">
        <is>
          <t>HRTG</t>
        </is>
      </c>
      <c r="C4" s="34" t="inlineStr">
        <is>
          <t>Heritage Insurance Holdings Inc.</t>
        </is>
      </c>
      <c r="D4" s="34" t="inlineStr">
        <is>
          <t>業績</t>
        </is>
      </c>
      <c r="E4" s="35" t="inlineStr">
        <is>
          <t>8/5 Q2純利$6,170萬創新高、EPS $2.05勝預期 → 翌日急升16.5%</t>
        </is>
      </c>
      <c r="F4" s="34" t="inlineStr">
        <is>
          <t>高</t>
        </is>
      </c>
      <c r="G4" s="35" t="inlineStr">
        <is>
          <t>佛州商業住宅定價競爭白熱化、獲批減費近10%，毛保費按年跌5.5%，7/15挫5.5%，7/22低見$26.23</t>
        </is>
      </c>
      <c r="H4" s="35" t="inlineStr">
        <is>
          <t>8/5收市後Q2純利創新高$6,170萬升28.5%、EPS $2.05勝預期，淨虧損率改善8.1個百分點，翌日急升16.5%</t>
        </is>
      </c>
      <c r="I4" s="34" t="n">
        <v>5</v>
      </c>
    </row>
    <row r="5" ht="46" customHeight="1">
      <c r="A5" s="34" t="n">
        <v>4</v>
      </c>
      <c r="B5" s="33" t="inlineStr">
        <is>
          <t>FMAO</t>
        </is>
      </c>
      <c r="C5" s="34" t="inlineStr">
        <is>
          <t>Farmers &amp; Merchants Bancorp Inc.</t>
        </is>
      </c>
      <c r="D5" s="34" t="inlineStr">
        <is>
          <t>業績</t>
        </is>
      </c>
      <c r="E5" s="35" t="inlineStr">
        <is>
          <t>7/27 Q2純利升53%破紀錄 → 翌日+10.4%</t>
        </is>
      </c>
      <c r="F5" s="34" t="inlineStr">
        <is>
          <t>高</t>
        </is>
      </c>
      <c r="G5" s="35" t="inlineStr">
        <is>
          <t>查不到個股利淡消息；4.8億美元巿值細價區域銀行，成交疏落、隨小型銀行股回落，7/8跌至29.485美元。</t>
        </is>
      </c>
      <c r="H5" s="35" t="inlineStr">
        <is>
          <t>7/27公布Q2：純利升53.0%至1180萬美元、每股0.86美元，為129年來最賺錢一季；淨息差擴闊26基點至3.48%，存款升5.9%。</t>
        </is>
      </c>
      <c r="I5" s="34" t="n">
        <v>3</v>
      </c>
    </row>
    <row r="6" ht="46" customHeight="1">
      <c r="A6" s="34" t="n">
        <v>5</v>
      </c>
      <c r="B6" s="33" t="inlineStr">
        <is>
          <t>SMTI</t>
        </is>
      </c>
      <c r="C6" s="34" t="inlineStr">
        <is>
          <t>Sanara MedTech Inc.</t>
        </is>
      </c>
      <c r="D6" s="34" t="inlineStr">
        <is>
          <t>併購</t>
        </is>
      </c>
      <c r="E6" s="35" t="inlineStr">
        <is>
          <t>7/29 MiMedx約$35收購、溢價46% → 翌日升12.6%</t>
        </is>
      </c>
      <c r="F6" s="34" t="inlineStr">
        <is>
          <t>高</t>
        </is>
      </c>
      <c r="G6" s="35" t="inlineStr">
        <is>
          <t>7月中隨大市回調見底$23.45，8月初遭兩券商由買入降至持有；併購公布前無明確個股利空</t>
        </is>
      </c>
      <c r="H6" s="35" t="inlineStr">
        <is>
          <t>7月29日收市後MiMedx宣布收購：每股$33現金＋0.4735股MDXG（合計約$35，溢價46%，料2026年底完成）；翌日升12.6%至$34.06後一個月喺$34–35橫行，屬併購套利走勢（公布前一日已升13.6%）</t>
        </is>
      </c>
      <c r="I6" s="34" t="n">
        <v>6</v>
      </c>
    </row>
    <row r="7" ht="46" customHeight="1">
      <c r="A7" s="34" t="n">
        <v>6</v>
      </c>
      <c r="B7" s="33" t="inlineStr">
        <is>
          <t>AVTR</t>
        </is>
      </c>
      <c r="C7" s="34" t="inlineStr">
        <is>
          <t>Avantor Inc.</t>
        </is>
      </c>
      <c r="D7" s="34" t="inlineStr">
        <is>
          <t>業績</t>
        </is>
      </c>
      <c r="E7" s="35" t="inlineStr">
        <is>
          <t>7/29 Q2勝預期、VWR轉增長 → 上調指引</t>
        </is>
      </c>
      <c r="F7" s="34" t="inlineStr">
        <is>
          <t>高</t>
        </is>
      </c>
      <c r="G7" s="35" t="inlineStr">
        <is>
          <t>生命科學需求弱，2026指引收入續跌、EPS僅0.77–0.83美元；Wolfe降至跑輸大巿、目標價7美元，7/8見底9.76美元。</t>
        </is>
      </c>
      <c r="H7" s="35" t="inlineStr">
        <is>
          <t>7/29公布Q2：收入16.9億美元勝預期16.1億、EPS 0.21勝0.19；VWR分銷有機增長轉正至+1.7%，上調全年EPS指引至0.80–0.83。</t>
        </is>
      </c>
      <c r="I7" s="34" t="n">
        <v>4</v>
      </c>
    </row>
    <row r="8" ht="46" customHeight="1">
      <c r="A8" s="34" t="n">
        <v>7</v>
      </c>
      <c r="B8" s="33" t="inlineStr">
        <is>
          <t>CDNA</t>
        </is>
      </c>
      <c r="C8" s="34" t="inlineStr">
        <is>
          <t>CareDx Inc.</t>
        </is>
      </c>
      <c r="D8" s="34" t="inlineStr">
        <is>
          <t>業績</t>
        </is>
      </c>
      <c r="E8" s="35" t="inlineStr">
        <is>
          <t>7/16 Medicare LCD確認覆蓋AlloSure → 單日飆35.6%</t>
        </is>
      </c>
      <c r="F8" s="34" t="inlineStr">
        <is>
          <t>高</t>
        </is>
      </c>
      <c r="G8" s="35" t="inlineStr">
        <is>
          <t>七月初低位未見明確個股利淡，主要隨大市回調，市場對其增長持審慎態度。</t>
        </is>
      </c>
      <c r="H8" s="35" t="inlineStr">
        <is>
          <t>Q2收入按年升52%勝預期，上調全年指引；Medicare確認覆蓋AlloSure，兼完成Naveris收購。</t>
        </is>
      </c>
      <c r="I8" s="34" t="n">
        <v>3</v>
      </c>
    </row>
    <row r="9" ht="46" customHeight="1">
      <c r="A9" s="34" t="n">
        <v>8</v>
      </c>
      <c r="B9" s="33" t="inlineStr">
        <is>
          <t>RDVT</t>
        </is>
      </c>
      <c r="C9" s="34" t="inlineStr">
        <is>
          <t>Red Violet Inc.</t>
        </is>
      </c>
      <c r="D9" s="34" t="inlineStr">
        <is>
          <t>業績</t>
        </is>
      </c>
      <c r="E9" s="35" t="inlineStr">
        <is>
          <t>8/10 Q2收入升23%、EBITDA升48% → 翌日+8.5%</t>
        </is>
      </c>
      <c r="F9" s="34" t="inlineStr">
        <is>
          <t>高</t>
        </is>
      </c>
      <c r="G9" s="35" t="inlineStr">
        <is>
          <t>7月22至23日兩日累跌10.3%至59.57，跟細價軟件股回調，未見公司負面消息</t>
        </is>
      </c>
      <c r="H9" s="35" t="inlineStr">
        <is>
          <t>8月10日Q2收入升23%、經調整EBITDA升48%，利潤率創42%新高，三日累彈12.3%</t>
        </is>
      </c>
      <c r="I9" s="34" t="n">
        <v>2</v>
      </c>
    </row>
    <row r="10" ht="46" customHeight="1">
      <c r="A10" s="34" t="n">
        <v>9</v>
      </c>
      <c r="B10" s="33" t="inlineStr">
        <is>
          <t>DMLP</t>
        </is>
      </c>
      <c r="C10" s="34" t="inlineStr">
        <is>
          <t>Dorchester Minerals L.P. Common Units Representing Limited Partnership Interests</t>
        </is>
      </c>
      <c r="D10" s="34" t="inlineStr">
        <is>
          <t>併購</t>
        </is>
      </c>
      <c r="E10" s="35" t="inlineStr">
        <is>
          <t>7/23 Q2分派$1.27、8/3收購礦權 → 事件日+0.6%</t>
        </is>
      </c>
      <c r="F10" s="34" t="inlineStr">
        <is>
          <t>中</t>
        </is>
      </c>
      <c r="G10" s="35" t="inlineStr">
        <is>
          <t>6月底低位跟隨能源板塊及油價偏弱，加上大市回調，未見明確個股利淡。</t>
        </is>
      </c>
      <c r="H10" s="35" t="inlineStr">
        <is>
          <t>7月23日公布Q2每單位分派$1.27，8月3日宣布收購礦權權益，上半年多賺$6,000萬，帶動回升。</t>
        </is>
      </c>
      <c r="I10" s="34" t="n">
        <v>2</v>
      </c>
    </row>
    <row r="11" ht="46" customHeight="1">
      <c r="A11" s="34" t="n">
        <v>10</v>
      </c>
      <c r="B11" s="33" t="inlineStr">
        <is>
          <t>IOVA</t>
        </is>
      </c>
      <c r="C11" s="34" t="inlineStr">
        <is>
          <t>Iovance Biotherapeutics Inc.</t>
        </is>
      </c>
      <c r="D11" s="34" t="inlineStr">
        <is>
          <t>業績</t>
        </is>
      </c>
      <c r="E11" s="35" t="inlineStr">
        <is>
          <t>8/6 Q2收入升66%勝預期 → 單日升43%</t>
        </is>
      </c>
      <c r="F11" s="34" t="inlineStr">
        <is>
          <t>高</t>
        </is>
      </c>
      <c r="G11" s="35" t="inlineStr">
        <is>
          <t>7/14低見$3.93；未搵到明確7月跌因，市場憂Amtagvi歐洲／英國審批延遲及全年$3.5-3.7億銷售指引難達標，股價長期低迷。</t>
        </is>
      </c>
      <c r="H11" s="35" t="inlineStr">
        <is>
          <t>8/6 Q2收入創紀錄$9,930萬升66%勝預期$8,700萬、毛利率56%，8/6當日升43.1%、翌日8/7再升2.1%；TD Cowen、Mizuho上調目標價至$10-11。</t>
        </is>
      </c>
      <c r="I11" s="34" t="n">
        <v>5</v>
      </c>
    </row>
    <row r="12" ht="46" customHeight="1">
      <c r="A12" s="34" t="n">
        <v>11</v>
      </c>
      <c r="B12" s="33" t="inlineStr">
        <is>
          <t>SAIC</t>
        </is>
      </c>
      <c r="C12" s="34" t="inlineStr">
        <is>
          <t>Science Applications International Corporation</t>
        </is>
      </c>
      <c r="D12" s="34" t="inlineStr">
        <is>
          <t>業績</t>
        </is>
      </c>
      <c r="E12" s="35" t="inlineStr">
        <is>
          <t>8/31 Q2大勝兼上調指引 → 當日只收+1.8%</t>
        </is>
      </c>
      <c r="F12" s="34" t="inlineStr">
        <is>
          <t>高</t>
        </is>
      </c>
      <c r="G12" s="35" t="inlineStr">
        <is>
          <t>7月未查到明確個股利淡消息，股價隨政府IT服務板塊回吐，7月21日收市見底111.82美元。</t>
        </is>
      </c>
      <c r="H12" s="35" t="inlineStr">
        <is>
          <t>8月31日公布截至7月31日的FY27 Q2：收入18.8億美元按年增6%，調整後每股盈利3.01美元（預期2.31美元），全年收入指引上調至72–73億美元、調整後EPS升至10.65–10.75美元；當日盤中一度飆13.3%，惟收市只升1.79%至128.22美元，翌日9月1日再跌1.12%至126.78美元 —— 即係話嗰個13.3%係盤中數字，收市留低唔到。9月14日收132.01美元。</t>
        </is>
      </c>
      <c r="I12" s="34" t="n">
        <v>4</v>
      </c>
    </row>
    <row r="13" ht="46" customHeight="1">
      <c r="A13" s="34" t="n">
        <v>12</v>
      </c>
      <c r="B13" s="33" t="inlineStr">
        <is>
          <t>HGTY</t>
        </is>
      </c>
      <c r="C13" s="34" t="inlineStr">
        <is>
          <t>Hagerty Inc. Class A</t>
        </is>
      </c>
      <c r="D13" s="34" t="inlineStr">
        <is>
          <t>指引</t>
        </is>
      </c>
      <c r="E13" s="35" t="inlineStr">
        <is>
          <t>8/5 Q2勝預期、全年指引由蝕轉賺 → 單日急升15.4%</t>
        </is>
      </c>
      <c r="F13" s="34" t="inlineStr">
        <is>
          <t>高</t>
        </is>
      </c>
      <c r="G13" s="35" t="inlineStr">
        <is>
          <t>Q1因Markel過渡分保錄$8,900萬成本轉蝕$1,300萬、全年指引仍見淨虧損，7/22隨大市低見$11.46</t>
        </is>
      </c>
      <c r="H13" s="35" t="inlineStr">
        <is>
          <t>8/5 Q2寫入保費$4.25億升19%、收入勝預期10.5%，全年指引由預虧轉為賺$1,800萬至$3,000萬，單日急升15.4%</t>
        </is>
      </c>
      <c r="I13" s="34" t="n">
        <v>5</v>
      </c>
    </row>
    <row r="14" ht="46" customHeight="1">
      <c r="A14" s="34" t="n">
        <v>13</v>
      </c>
      <c r="B14" s="33" t="inlineStr">
        <is>
          <t>MKTX</t>
        </is>
      </c>
      <c r="C14" s="34" t="inlineStr">
        <is>
          <t>MarketAxess Holdings Inc.</t>
        </is>
      </c>
      <c r="D14" s="34" t="inlineStr">
        <is>
          <t>併購</t>
        </is>
      </c>
      <c r="E14" s="35" t="inlineStr">
        <is>
          <t>7/30 ICE每股167美元現金收購→+29.5%</t>
        </is>
      </c>
      <c r="F14" s="34" t="inlineStr">
        <is>
          <t>高</t>
        </is>
      </c>
      <c r="G14" s="35" t="inlineStr">
        <is>
          <t>6月起交易所股受永續期貨分流交易量憂慮拖累，MKTX 6月25日曾見52週低108.75美元，7月21日收市見底112.27美元。</t>
        </is>
      </c>
      <c r="H14" s="35" t="inlineStr">
        <is>
          <t>7月30日ICE宣布以每股167美元全現金收購MarketAxess（股權值約60億美元，較7月29日收市價125.73美元溢價33%），當日收市抽升29.45%至162.76美元；9月14日收163.10美元，僅低於收購價2.3%，屬併購鎖價而非趨勢上升。</t>
        </is>
      </c>
      <c r="I14" s="34" t="n">
        <v>4</v>
      </c>
    </row>
    <row r="15" ht="46" customHeight="1">
      <c r="A15" s="34" t="n">
        <v>14</v>
      </c>
      <c r="B15" s="33" t="inlineStr">
        <is>
          <t>HALO</t>
        </is>
      </c>
      <c r="C15" s="34" t="inlineStr">
        <is>
          <t>Halozyme Therapeutics Inc.</t>
        </is>
      </c>
      <c r="D15" s="34" t="inlineStr">
        <is>
          <t>業績</t>
        </is>
      </c>
      <c r="E15" s="35" t="inlineStr">
        <is>
          <t>8/6 Q2收入$4.81億升48%、EPS $2.28大勝 → 翌日飆20.2%</t>
        </is>
      </c>
      <c r="F15" s="34" t="inlineStr">
        <is>
          <t>中</t>
        </is>
      </c>
      <c r="G15" s="35" t="inlineStr">
        <is>
          <t>6月底COO離職盤後跌約3%，加上6月底至7月中生科板塊及大市回調，7月14日見底$75</t>
        </is>
      </c>
      <c r="H15" s="35" t="inlineStr">
        <is>
          <t>8月6日Q2破紀錄：收入$4.81億升48%、EPS $2.28大勝預期，上調全年指引，翌日急升20.2%創歷史新高</t>
        </is>
      </c>
      <c r="I15" s="34" t="n">
        <v>0</v>
      </c>
    </row>
    <row r="16" ht="46" customHeight="1">
      <c r="A16" s="34" t="n">
        <v>15</v>
      </c>
      <c r="B16" s="33" t="inlineStr">
        <is>
          <t>CRSR</t>
        </is>
      </c>
      <c r="C16" s="34" t="inlineStr">
        <is>
          <t>Corsair Gaming Inc.</t>
        </is>
      </c>
      <c r="D16" s="34" t="inlineStr">
        <is>
          <t>業績</t>
        </is>
      </c>
      <c r="E16" s="42" t="inlineStr">
        <is>
          <t>8/6 Q2 EPS $0.23遠勝$0.07 → 翌日飆35.2%</t>
        </is>
      </c>
      <c r="F16" s="34" t="inlineStr">
        <is>
          <t>高</t>
        </is>
      </c>
      <c r="G16" s="35" t="inlineStr">
        <is>
          <t>記憶體價暴漲令DIY PC需求萎縮、組件收入跌9%，高盛沽售評級料PC出貨跌15%，7月8日見8.86美元。</t>
        </is>
      </c>
      <c r="H16" s="35" t="inlineStr">
        <is>
          <t>8月6日Q2 EPS 0.23美元遠勝預期0.07、毛利率33.2%創紀錄，上調全年指引，Baird目標價升至12美元。</t>
        </is>
      </c>
      <c r="I16" s="34" t="n">
        <v>4</v>
      </c>
    </row>
    <row r="17" ht="46" customHeight="1">
      <c r="A17" s="34" t="n">
        <v>16</v>
      </c>
      <c r="B17" s="33" t="inlineStr">
        <is>
          <t>FBLA</t>
        </is>
      </c>
      <c r="C17" s="34" t="inlineStr">
        <is>
          <t>FB Bancorp Inc.</t>
        </is>
      </c>
      <c r="D17" s="34" t="inlineStr">
        <is>
          <t>回購</t>
        </is>
      </c>
      <c r="E17" s="35" t="inlineStr">
        <is>
          <t>6/12 第三輪10%回購托價 → 事件日只+0.1%</t>
        </is>
      </c>
      <c r="F17" s="34" t="inlineStr">
        <is>
          <t>低</t>
        </is>
      </c>
      <c r="G17" s="35" t="inlineStr">
        <is>
          <t>7月8日低見$14.91無明顯個股消息；7月28日Q2轉蝕$7萬、存款減至$8.11億。</t>
        </is>
      </c>
      <c r="H17" s="35" t="inlineStr">
        <is>
          <t>6月12日批出第三輪10%回購（160.7萬股）持續托價，加上8月大市回穩，股價緩升至$15.8水平。</t>
        </is>
      </c>
      <c r="I17" s="34" t="n">
        <v>3</v>
      </c>
    </row>
    <row r="18" ht="46" customHeight="1">
      <c r="A18" s="34" t="n">
        <v>17</v>
      </c>
      <c r="B18" s="33" t="inlineStr">
        <is>
          <t>PD</t>
        </is>
      </c>
      <c r="C18" s="34" t="inlineStr">
        <is>
          <t>PagerDuty Inc.</t>
        </is>
      </c>
      <c r="D18" s="34" t="inlineStr">
        <is>
          <t>業績</t>
        </is>
      </c>
      <c r="E18" s="35" t="inlineStr">
        <is>
          <t>8/27 Q2勝預期、ARR破$5億兼上調指引 → 目標價由$10升至$15</t>
        </is>
      </c>
      <c r="F18" s="34" t="inlineStr">
        <is>
          <t>高</t>
        </is>
      </c>
      <c r="G18" s="35" t="inlineStr">
        <is>
          <t>7月21日大摩降評至減持、目標價$10削至$9，憂AI對手蠶食事故應變，股價單日挫7.2%</t>
        </is>
      </c>
      <c r="H18" s="35" t="inlineStr">
        <is>
          <t>8月27日Q2勝預期、ARR突破$5億，上調全年指引兼裁員15%重組；Canaccord目標價由$10上調至$15</t>
        </is>
      </c>
      <c r="I18" s="34" t="n">
        <v>5</v>
      </c>
    </row>
    <row r="19" ht="46" customHeight="1">
      <c r="A19" s="34" t="n">
        <v>18</v>
      </c>
      <c r="B19" s="33" t="inlineStr">
        <is>
          <t>AMPH</t>
        </is>
      </c>
      <c r="C19" s="34" t="inlineStr">
        <is>
          <t>Amphastar Pharmaceuticals Inc.</t>
        </is>
      </c>
      <c r="D19" s="34" t="inlineStr">
        <is>
          <t>無</t>
        </is>
      </c>
      <c r="E19" s="35" t="inlineStr">
        <is>
          <t>無個股催化，業績後遭降級仍緩升26.3%</t>
        </is>
      </c>
      <c r="F19" s="34" t="inlineStr">
        <is>
          <t>低</t>
        </is>
      </c>
      <c r="G19" s="35" t="inlineStr">
        <is>
          <t>盈利能力持續受壓（Q1純利由去年同期2,529萬美元跌至642萬美元），半年內股價累跌27.6%至約18.92美元，7月24日收市見底18.72美元。</t>
        </is>
      </c>
      <c r="H19" s="35" t="inlineStr">
        <is>
          <t>8月6日Q2收入1.839億美元、GAAP每股盈利0.67美元，但BofA其後降至Underperform（目標價25→20美元）、Piper Sandler降至21美元；股價仍緩步回升至9月14日的23.91美元（較底部+27.7%），未查到具體個股利好，較似超賣反彈及板塊資金流入。</t>
        </is>
      </c>
      <c r="I19" s="34" t="n">
        <v>4</v>
      </c>
    </row>
    <row r="20" ht="46" customHeight="1">
      <c r="A20" s="34" t="n">
        <v>19</v>
      </c>
      <c r="B20" s="33" t="inlineStr">
        <is>
          <t>BDSX</t>
        </is>
      </c>
      <c r="C20" s="34" t="inlineStr">
        <is>
          <t>Biodesix Inc.</t>
        </is>
      </c>
      <c r="D20" s="34" t="inlineStr">
        <is>
          <t>業績</t>
        </is>
      </c>
      <c r="E20" s="35" t="inlineStr">
        <is>
          <t>8/5 Q2收入+34%，大行目標價升至35</t>
        </is>
      </c>
      <c r="F20" s="34" t="inlineStr">
        <is>
          <t>高</t>
        </is>
      </c>
      <c r="G20" s="35" t="inlineStr">
        <is>
          <t>7月上旬隨小型診斷股回吐，期內未查到重大個股利淡消息，7月20日收市見底19.81美元。</t>
        </is>
      </c>
      <c r="H20" s="35" t="inlineStr">
        <is>
          <t>8月5日公布Q2：收入2,690萬美元（預期2,596萬）按年增34%、診斷測試收入增42%、毛利率升至82%，全年收入指引1.08–1.14億美元；Canaccord其後把目標價由27美元上調至35美元，董事兼10%股東Jack Schuler於8月10–11日以24.01–24.25美元增持27,600股（約66.6萬美元）。9月14日收27.40美元，較7月20日升38.3%。</t>
        </is>
      </c>
      <c r="I20" s="34" t="n">
        <v>4</v>
      </c>
    </row>
    <row r="21" ht="46" customHeight="1">
      <c r="A21" s="34" t="n">
        <v>20</v>
      </c>
      <c r="B21" s="33" t="inlineStr">
        <is>
          <t>ATRC</t>
        </is>
      </c>
      <c r="C21" s="34" t="inlineStr">
        <is>
          <t>AtriCure Inc.</t>
        </is>
      </c>
      <c r="D21" s="34" t="inlineStr">
        <is>
          <t>業績</t>
        </is>
      </c>
      <c r="E21" s="42" t="inlineStr">
        <is>
          <t>7/30 Q2 EPS $0.18轉盈勝預期兼上調指引 → BTIG目標價升至$55</t>
        </is>
      </c>
      <c r="F21" s="34" t="inlineStr">
        <is>
          <t>高</t>
        </is>
      </c>
      <c r="G21" s="35" t="inlineStr">
        <is>
          <t>6月初創52週低$25.51、年內跌33%；醫療器械板塊受報銷壓力拋售，早前下調2026年EPS指引</t>
        </is>
      </c>
      <c r="H21" s="35" t="inlineStr">
        <is>
          <t>7月30日Q2經調整EPS $0.18勝預期-$0.01兼上調指引；8月24日BTIG升目標價至$55，創52週新高</t>
        </is>
      </c>
      <c r="I21" s="34" t="n">
        <v>5</v>
      </c>
    </row>
    <row r="22" ht="46" customHeight="1">
      <c r="A22" s="34" t="n">
        <v>21</v>
      </c>
      <c r="B22" s="33" t="inlineStr">
        <is>
          <t>NUE</t>
        </is>
      </c>
      <c r="C22" s="34" t="inlineStr">
        <is>
          <t>Nucor Corporation</t>
        </is>
      </c>
      <c r="D22" s="34" t="inlineStr">
        <is>
          <t>監管</t>
        </is>
      </c>
      <c r="E22" s="35" t="inlineStr">
        <is>
          <t>8/24 關稅減免憂慮消退 → 8/21–28一週+2.8%</t>
        </is>
      </c>
      <c r="F22" s="34" t="inlineStr">
        <is>
          <t>高</t>
        </is>
      </c>
      <c r="G22" s="35" t="inlineStr">
        <is>
          <t>6月底至7月初六日累跌逾10%屬估值獲利回吐；8月19日傳美加鋼鋁關稅減至25%，板塊急挫。</t>
        </is>
      </c>
      <c r="H22" s="35" t="inlineStr">
        <is>
          <t>Q2每股5.04美元（去年2.60）、出貨創紀錄，熱軋卷提價至1135美元；8月24日美加談判破裂、關稅減免憂慮消退，8月21至25日累升2.9%。</t>
        </is>
      </c>
      <c r="I22" s="34" t="n">
        <v>4</v>
      </c>
    </row>
    <row r="23" ht="46" customHeight="1">
      <c r="A23" s="34" t="n">
        <v>22</v>
      </c>
      <c r="B23" s="33" t="inlineStr">
        <is>
          <t>INSP</t>
        </is>
      </c>
      <c r="C23" s="34" t="inlineStr">
        <is>
          <t>Inspire Medical Systems Inc.</t>
        </is>
      </c>
      <c r="D23" s="34" t="inlineStr">
        <is>
          <t>業績</t>
        </is>
      </c>
      <c r="E23" s="35" t="inlineStr">
        <is>
          <t>8/4 Q2勝預期、指引上調至8.55億 → 單日+22.8%</t>
        </is>
      </c>
      <c r="F23" s="34" t="inlineStr">
        <is>
          <t>高</t>
        </is>
      </c>
      <c r="G23" s="35" t="inlineStr">
        <is>
          <t>5月因Inspire V CPT編碼失效、報銷混亂下調全年指引挫18.8%，7月續受壓於低位</t>
        </is>
      </c>
      <c r="H23" s="35" t="inlineStr">
        <is>
          <t>8月4日Q2收入2.006億美元勝預期、EBITDA勝40.5%，全年指引上調至8.55億，單日彈22.8%</t>
        </is>
      </c>
      <c r="I23" s="34" t="n">
        <v>4</v>
      </c>
    </row>
    <row r="24" ht="46" customHeight="1">
      <c r="A24" s="34" t="n">
        <v>23</v>
      </c>
      <c r="B24" s="33" t="inlineStr">
        <is>
          <t>FPI</t>
        </is>
      </c>
      <c r="C24" s="34" t="inlineStr">
        <is>
          <t>Farmland Partners Inc.</t>
        </is>
      </c>
      <c r="D24" s="34" t="inlineStr">
        <is>
          <t>無</t>
        </is>
      </c>
      <c r="E24" s="35" t="inlineStr">
        <is>
          <t>無個股催化 · 隨農業／農地板塊回升</t>
        </is>
      </c>
      <c r="F24" s="34" t="inlineStr">
        <is>
          <t>低</t>
        </is>
      </c>
      <c r="G24" s="35" t="inlineStr">
        <is>
          <t>7/29 Q2純利由去年$780萬跌至$310萬，農地REIT估值受壓兼7月下旬大市回吐，7/31低見$9.35</t>
        </is>
      </c>
      <c r="H24" s="35" t="inlineStr">
        <is>
          <t>未見個股催化：跟隨農產品及農地資產氣氛回暖（中國恢復採購美國大豆）逐級回升，45日內最大單日升幅僅2.6%</t>
        </is>
      </c>
      <c r="I24" s="34" t="n">
        <v>3</v>
      </c>
    </row>
    <row r="25" ht="46" customHeight="1">
      <c r="A25" s="34" t="n">
        <v>24</v>
      </c>
      <c r="B25" s="33" t="inlineStr">
        <is>
          <t>MYGN</t>
        </is>
      </c>
      <c r="C25" s="34" t="inlineStr">
        <is>
          <t>Myriad Genetics Inc.</t>
        </is>
      </c>
      <c r="D25" s="34" t="inlineStr">
        <is>
          <t>無</t>
        </is>
      </c>
      <c r="E25" s="35" t="inlineStr">
        <is>
          <t>無個股催化，劈指引暴跌後超賣反彈</t>
        </is>
      </c>
      <c r="F25" s="34" t="inlineStr">
        <is>
          <t>低</t>
        </is>
      </c>
      <c r="G25" s="35" t="inlineStr">
        <is>
          <t>7月30日收市後公布Q2：收入1.907億美元按年跌11%、遜預期的2.06億美元，全年收入指引由8.60–8.80億美元劈至7.70–7.90億美元；7月31日收2.86美元，較前收5.37美元單日瀉約46%，Piper Sandler雙降至Underweight、目標價劈至2美元。</t>
        </is>
      </c>
      <c r="H25" s="35" t="inlineStr">
        <is>
          <t>未見具體個股利好：主要是暴跌後的超賣反彈，唯一可考事件為9月9日UBS以中性評級、目標價3.60美元開始覆蓋；9月14日收3.79美元，較7月31日底部升32.5%。</t>
        </is>
      </c>
      <c r="I25" s="34" t="n">
        <v>3</v>
      </c>
    </row>
    <row r="26" ht="46" customHeight="1">
      <c r="A26" s="34" t="n">
        <v>25</v>
      </c>
      <c r="B26" s="33" t="inlineStr">
        <is>
          <t>FET</t>
        </is>
      </c>
      <c r="C26" s="34" t="inlineStr">
        <is>
          <t>Forum Energy Technologies Inc.</t>
        </is>
      </c>
      <c r="D26" s="34" t="inlineStr">
        <is>
          <t>業績</t>
        </is>
      </c>
      <c r="E26" s="35" t="inlineStr">
        <is>
          <t>7/30 Q2 EPS $1.16遠勝$0.51、上調EBITDA指引 → 翌日飆22%</t>
        </is>
      </c>
      <c r="F26" s="34" t="inlineStr">
        <is>
          <t>高</t>
        </is>
      </c>
      <c r="G26" s="35" t="inlineStr">
        <is>
          <t>6月中布蘭特油價挫4.9%至$83.05、美伊臨時和解令油價回吐，油服股同步捱沽，7月6日低見$46.55</t>
        </is>
      </c>
      <c r="H26" s="35" t="inlineStr">
        <is>
          <t>7月30日Q2 EPS $1.16遠勝$0.51，上調全年EBITDA指引至$1.15-1.25億，翌日單日飆近22%</t>
        </is>
      </c>
      <c r="I26" s="34" t="n">
        <v>4</v>
      </c>
    </row>
    <row r="27" ht="46" customHeight="1">
      <c r="A27" s="34" t="n">
        <v>26</v>
      </c>
      <c r="B27" s="33" t="inlineStr">
        <is>
          <t>RNG</t>
        </is>
      </c>
      <c r="C27" s="34" t="inlineStr">
        <is>
          <t>RingCentral Inc. Class A</t>
        </is>
      </c>
      <c r="D27" s="34" t="inlineStr">
        <is>
          <t>業績</t>
        </is>
      </c>
      <c r="E27" s="35" t="inlineStr">
        <is>
          <t>7/24 Q2 EPS $1.22勝預期、上調全年指引 → 單日急升25.1%</t>
        </is>
      </c>
      <c r="F27" s="34" t="inlineStr">
        <is>
          <t>高</t>
        </is>
      </c>
      <c r="G27" s="35" t="inlineStr">
        <is>
          <t>市場憂agentic AI顛覆SaaS，4/10軟件股洗倉挫約9%；Q1收入指引遜預期，7/22低見$37.66</t>
        </is>
      </c>
      <c r="H27" s="35" t="inlineStr">
        <is>
          <t>7/24 Q2 EPS $1.22勝預期、收入$6.57億，AI佔ARR約13%按年翻倍兼上調全年指引，單日急升25.1%</t>
        </is>
      </c>
      <c r="I27" s="34" t="n">
        <v>6</v>
      </c>
    </row>
    <row r="28" ht="46" customHeight="1">
      <c r="A28" s="34" t="n">
        <v>27</v>
      </c>
      <c r="B28" s="33" t="inlineStr">
        <is>
          <t>NUTX</t>
        </is>
      </c>
      <c r="C28" s="34" t="inlineStr">
        <is>
          <t>Nutex Health Inc.</t>
        </is>
      </c>
      <c r="D28" s="34" t="inlineStr">
        <is>
          <t>業績</t>
        </is>
      </c>
      <c r="E28" s="42" t="inlineStr">
        <is>
          <t>8/6 Q2 EPS $9.38遠勝預期 → 8/10單日升21.9%</t>
        </is>
      </c>
      <c r="F28" s="34" t="inlineStr">
        <is>
          <t>高</t>
        </is>
      </c>
      <c r="G28" s="35" t="inlineStr">
        <is>
          <t>急升後獲利回吐；巿場憂盈利主要靠仲裁費用一次性下降而非核心增長，7月底無新催化下遭沽壓，7/29回落至140.49美元。</t>
        </is>
      </c>
      <c r="H28" s="35" t="inlineStr">
        <is>
          <t>8/6公布Q2：攤薄EPS 9.38美元遠勝預期4.88、純利6580萬美元；與HaloMD重議協議令仲裁開支減5230萬美元，8/10股價再升近21%。</t>
        </is>
      </c>
      <c r="I28" s="34" t="n">
        <v>4</v>
      </c>
    </row>
    <row r="29" ht="46" customHeight="1">
      <c r="A29" s="34" t="n">
        <v>28</v>
      </c>
      <c r="B29" s="33" t="inlineStr">
        <is>
          <t>DOCU</t>
        </is>
      </c>
      <c r="C29" s="34" t="inlineStr">
        <is>
          <t>DocuSign Inc.</t>
        </is>
      </c>
      <c r="D29" s="34" t="inlineStr">
        <is>
          <t>AI</t>
        </is>
      </c>
      <c r="E29" s="35" t="inlineStr">
        <is>
          <t>8/13 夥Google Cloud推法務AI → 單日+10.3%</t>
        </is>
      </c>
      <c r="F29" s="34" t="inlineStr">
        <is>
          <t>中</t>
        </is>
      </c>
      <c r="G29" s="35" t="inlineStr">
        <is>
          <t>增長放緩（FY26收入只升8%）估值受壓，6月5日插7.2%、6月累跌25%</t>
        </is>
      </c>
      <c r="H29" s="35" t="inlineStr">
        <is>
          <t>8月13日隨軟件股彈7.5%，夥Google Cloud Gemini推法務AI，8月27日再彈5.4%</t>
        </is>
      </c>
      <c r="I29" s="34" t="n">
        <v>3</v>
      </c>
    </row>
    <row r="30" ht="46" customHeight="1">
      <c r="A30" s="34" t="n">
        <v>29</v>
      </c>
      <c r="B30" s="33" t="inlineStr">
        <is>
          <t>CLH</t>
        </is>
      </c>
      <c r="C30" s="34" t="inlineStr">
        <is>
          <t>Clean Harbors Inc.</t>
        </is>
      </c>
      <c r="D30" s="34" t="inlineStr">
        <is>
          <t>業績</t>
        </is>
      </c>
      <c r="E30" s="35" t="inlineStr">
        <is>
          <t>7/29 Q2 EPS $3.22、EBITDA利潤率23.6%創新高 → 單日升7.5%</t>
        </is>
      </c>
      <c r="F30" s="34" t="inlineStr">
        <is>
          <t>高</t>
        </is>
      </c>
      <c r="G30" s="35" t="inlineStr">
        <is>
          <t>5/6 Q1業績後單日挫8.6%，市場嫌收入增長溫和、工業服務疲弱兼基礎油價偏軟，7/27低見$301.75</t>
        </is>
      </c>
      <c r="H30" s="35" t="inlineStr">
        <is>
          <t>7/29 Q2收入$17.4億升12%、EPS $3.22，EBITDA利潤率23.6%創新高兼奪$6億十年合約，單日升7.5%</t>
        </is>
      </c>
      <c r="I30" s="34" t="n">
        <v>5</v>
      </c>
    </row>
    <row r="31" ht="46" customHeight="1">
      <c r="A31" s="34" t="n">
        <v>30</v>
      </c>
      <c r="B31" s="33" t="inlineStr">
        <is>
          <t>AUGO</t>
        </is>
      </c>
      <c r="C31" s="34" t="inlineStr">
        <is>
          <t>Aura Minerals Inc. Common Shares</t>
        </is>
      </c>
      <c r="D31" s="34" t="inlineStr">
        <is>
          <t>無</t>
        </is>
      </c>
      <c r="E31" s="35" t="inlineStr">
        <is>
          <t>無個股催化 · 隨金價急升（8/5單日+13.8%）</t>
        </is>
      </c>
      <c r="F31" s="34" t="inlineStr">
        <is>
          <t>高</t>
        </is>
      </c>
      <c r="G31" s="35" t="inlineStr">
        <is>
          <t>7/10公布Q2產量7.54萬金當量盎司、按季-8%，7/13單日挫12%；金價同期急跌，股價由4/17高位109.14跌至50.07。</t>
        </is>
      </c>
      <c r="H31" s="35" t="inlineStr">
        <is>
          <t>8/5金價急升4.1%，單日+13.8%；8/7美國非農減2.3萬人，單日+13.0%；8/5收市後公布LTM EBITDA紀錄8.02億美元，惟翌日無反應。</t>
        </is>
      </c>
      <c r="I31" s="34" t="n">
        <v>4</v>
      </c>
    </row>
    <row r="32" ht="46" customHeight="1">
      <c r="A32" s="34" t="n">
        <v>31</v>
      </c>
      <c r="B32" s="33" t="inlineStr">
        <is>
          <t>DT</t>
        </is>
      </c>
      <c r="C32" s="34" t="inlineStr">
        <is>
          <t>Dynatrace Inc.</t>
        </is>
      </c>
      <c r="D32" s="34" t="inlineStr">
        <is>
          <t>業績</t>
        </is>
      </c>
      <c r="E32" s="35" t="inlineStr">
        <is>
          <t>8/5 Q1 ARR破20億兼上調指引 → 單日+11.3%</t>
        </is>
      </c>
      <c r="F32" s="34" t="inlineStr">
        <is>
          <t>高</t>
        </is>
      </c>
      <c r="G32" s="35" t="inlineStr">
        <is>
          <t>5月13日公布FY26第四季業績，經調整EPS 0.41美元、收入5.32億美元雖勝預期，但FY27 ARR指引23.8–24.0億美元（固定匯率增15.5%–16.5%）遜預期，當日挫逾11%，Guggenheim降至中性；其後隨軟件股回吐，7月21日再跌4.2%至42.85美元，7月23日收40.65美元見底。</t>
        </is>
      </c>
      <c r="H32" s="35" t="inlineStr">
        <is>
          <t>8月5日公布FY27第一季：ARR達21.4億美元（固定匯率增17%）首破20億、淨新增ARR 8,500萬美元升66%，經調整EPS 0.48美元勝預期0.44美元、收入5.545億美元升16%，並上調全年收入及EPS指引至1.97–1.99美元，盤前一度升約10.7%（屬盤前價）；8月17日以當日收市價47.61美元定價12.5億美元2031年到期可交換債，同步以約1.347億美元回購約283萬股；9月15日BMO將目標價由60升至62美元，9月16日收55.19美元。</t>
        </is>
      </c>
      <c r="I32" s="34" t="n">
        <v>5</v>
      </c>
    </row>
    <row r="33" ht="46" customHeight="1">
      <c r="A33" s="34" t="n">
        <v>32</v>
      </c>
      <c r="B33" s="33" t="inlineStr">
        <is>
          <t>INTG</t>
        </is>
      </c>
      <c r="C33" s="34" t="inlineStr">
        <is>
          <t>Intergroup Corporation (The)</t>
        </is>
      </c>
      <c r="D33" s="34" t="inlineStr">
        <is>
          <t>無</t>
        </is>
      </c>
      <c r="E33" s="35" t="inlineStr">
        <is>
          <t>無個股催化 · 微型股低流動性反彈</t>
        </is>
      </c>
      <c r="F33" s="34" t="inlineStr">
        <is>
          <t>低</t>
        </is>
      </c>
      <c r="G33" s="35" t="inlineStr">
        <is>
          <t>成交極疏微型股無公司消息連環插水：7/22跌8.5%、7/27跌5.5%、7/28跌9.9%，7/30低見$27.46</t>
        </is>
      </c>
      <c r="H33" s="35" t="inlineStr">
        <is>
          <t>同樣無個股消息，純低流動性反彈：8/3升6.6%、8/12升5.3%、9/9升6.8%；FY2026全年業績未公布</t>
        </is>
      </c>
      <c r="I33" s="34" t="n">
        <v>3</v>
      </c>
    </row>
    <row r="34" ht="46" customHeight="1">
      <c r="A34" s="34" t="n">
        <v>33</v>
      </c>
      <c r="B34" s="33" t="inlineStr">
        <is>
          <t>REFI</t>
        </is>
      </c>
      <c r="C34" s="34" t="inlineStr">
        <is>
          <t>Chicago Atlantic Real Estate Finance Inc.</t>
        </is>
      </c>
      <c r="D34" s="34" t="inlineStr">
        <is>
          <t>無</t>
        </is>
      </c>
      <c r="E34" s="35" t="inlineStr">
        <is>
          <t>無個股催化 · 隨大市／板塊回升</t>
        </is>
      </c>
      <c r="F34" s="34" t="inlineStr">
        <is>
          <t>中</t>
        </is>
      </c>
      <c r="G34" s="35" t="inlineStr">
        <is>
          <t>7/9以14.53美元發431萬股換Koach 6250萬美元票據，攤薄；加上併入LIEN轉BDC存疑，7/31見9.76美元底。</t>
        </is>
      </c>
      <c r="H34" s="35" t="inlineStr">
        <is>
          <t>8/11 Q2可分派盈利每股0.43–0.44美元，低過0.47美元股息及市場預期，屬利淡；股價回升主要靠高息REIT／大麻板塊氣氛及減息預期，未見個股催化。</t>
        </is>
      </c>
      <c r="I34" s="34" t="n">
        <v>4</v>
      </c>
    </row>
    <row r="35" ht="46" customHeight="1">
      <c r="A35" s="34" t="n">
        <v>34</v>
      </c>
      <c r="B35" s="33" t="inlineStr">
        <is>
          <t>INSW</t>
        </is>
      </c>
      <c r="C35" s="34" t="inlineStr">
        <is>
          <t>International Seaways Inc.</t>
        </is>
      </c>
      <c r="D35" s="34" t="inlineStr">
        <is>
          <t>業績</t>
        </is>
      </c>
      <c r="E35" s="35" t="inlineStr">
        <is>
          <t>8/27 油輪運價續強、Q2 EPS $5.91超預期12% → 單日升6.0%</t>
        </is>
      </c>
      <c r="F35" s="34" t="inlineStr">
        <is>
          <t>高</t>
        </is>
      </c>
      <c r="G35" s="35" t="inlineStr">
        <is>
          <t>六月底隨大市回調見底，未見明確個股利淡，油輪股短暫獲利回吐。</t>
        </is>
      </c>
      <c r="H35" s="35" t="inlineStr">
        <is>
          <t>油輪運價強勁：Q2 EPS $5.91超預期12%，收入按年急升139%，TCE日租79,000美元（去年27,500）。</t>
        </is>
      </c>
      <c r="I35" s="34" t="n">
        <v>2</v>
      </c>
    </row>
    <row r="36" ht="46" customHeight="1">
      <c r="A36" s="34" t="n">
        <v>35</v>
      </c>
      <c r="B36" s="33" t="inlineStr">
        <is>
          <t>EXPD</t>
        </is>
      </c>
      <c r="C36" s="34" t="inlineStr">
        <is>
          <t>Expeditors International of Washington Inc.</t>
        </is>
      </c>
      <c r="D36" s="34" t="inlineStr">
        <is>
          <t>業績</t>
        </is>
      </c>
      <c r="E36" s="35" t="inlineStr">
        <is>
          <t>8/4 Q2 EPS升51%勝預期 → 股價近歷史高位</t>
        </is>
      </c>
      <c r="F36" s="34" t="inlineStr">
        <is>
          <t>高</t>
        </is>
      </c>
      <c r="G36" s="35" t="inlineStr">
        <is>
          <t>7月初低位未見個股利淡，主要受大市回調及物流板塊關稅/運費憂慮影響</t>
        </is>
      </c>
      <c r="H36" s="35" t="inlineStr">
        <is>
          <t>8月4日Q2 EPS $2.03大勝預期、按年增51%，連續九季超預期，股價升近歷史高位，回購獲分析師睇好</t>
        </is>
      </c>
      <c r="I36" s="34" t="n">
        <v>2</v>
      </c>
    </row>
    <row r="37" ht="46" customHeight="1">
      <c r="A37" s="34" t="n">
        <v>36</v>
      </c>
      <c r="B37" s="33" t="inlineStr">
        <is>
          <t>XRX</t>
        </is>
      </c>
      <c r="C37" s="34" t="inlineStr">
        <is>
          <t>Xerox Holdings Corporation</t>
        </is>
      </c>
      <c r="D37" s="34" t="inlineStr">
        <is>
          <t>業績</t>
        </is>
      </c>
      <c r="E37" s="35" t="inlineStr">
        <is>
          <t>7/30 Q2勝預期兼上調指引 → 單日+32%</t>
        </is>
      </c>
      <c r="F37" s="34" t="inlineStr">
        <is>
          <t>高</t>
        </is>
      </c>
      <c r="G37" s="35" t="inlineStr">
        <is>
          <t>無單一利淡：4至6月由1.47抽上3.55後獲利回吐，市場憂併購Lexmark後槓桿仍高；7/2挫9.7%，7/24低見2.58。</t>
        </is>
      </c>
      <c r="H37" s="35" t="inlineStr">
        <is>
          <t>7/30開市前Q2經調整EPS 0.38美元大幅勝預期，並上調全年經營溢利指引；加上32%流通股被沽空觸發軋空，單日抽32.2%。</t>
        </is>
      </c>
      <c r="I37" s="34" t="n">
        <v>4</v>
      </c>
    </row>
    <row r="38" ht="46" customHeight="1">
      <c r="A38" s="34" t="n">
        <v>37</v>
      </c>
      <c r="B38" s="33" t="inlineStr">
        <is>
          <t>ADM</t>
        </is>
      </c>
      <c r="C38" s="34" t="inlineStr">
        <is>
          <t>Archer-Daniels-Midland Company</t>
        </is>
      </c>
      <c r="D38" s="34" t="inlineStr">
        <is>
          <t>業績</t>
        </is>
      </c>
      <c r="E38" s="35" t="inlineStr">
        <is>
          <t>8/4 Q2勝預期、上調全年指引 → 事件日+2.3%</t>
        </is>
      </c>
      <c r="F38" s="34" t="inlineStr">
        <is>
          <t>高</t>
        </is>
      </c>
      <c r="G38" s="35" t="inlineStr">
        <is>
          <t>8/4 Q2收入226.1億美元遜預期228.3億美元，業績日升2.3%後遭獲利回吐；美豆對華出口前景未明，8/7回落至76.59美元見底。</t>
        </is>
      </c>
      <c r="H38" s="35" t="inlineStr">
        <is>
          <t>8/4 Q2調整後每股盈利1.84美元勝預期1.37美元，全年指引上調至5.15-5.60美元；8月中國恢復採購美國新作物大豆680萬公噸。</t>
        </is>
      </c>
      <c r="I38" s="34" t="n">
        <v>5</v>
      </c>
    </row>
    <row r="39" ht="46" customHeight="1">
      <c r="A39" s="34" t="n">
        <v>38</v>
      </c>
      <c r="B39" s="33" t="inlineStr">
        <is>
          <t>BRK/B</t>
        </is>
      </c>
      <c r="C39" s="34" t="inlineStr">
        <is>
          <t>Berkshire Hathaway Inc.</t>
        </is>
      </c>
      <c r="D39" s="34" t="inlineStr">
        <is>
          <t>業績</t>
        </is>
      </c>
      <c r="E39" s="35" t="inlineStr">
        <is>
          <t>8/8 Q2利潤升16% → 8/15加碼Alphabet$170億</t>
        </is>
      </c>
      <c r="F39" s="34" t="inlineStr">
        <is>
          <t>中</t>
        </is>
      </c>
      <c r="G39" s="35" t="inlineStr">
        <is>
          <t>資金追捧AI股，巴郡持巨額現金及非科技資產跑輸標普，年初至今僅升0.78%，KBW重申跑輸大市評級。</t>
        </is>
      </c>
      <c r="H39" s="35" t="inlineStr">
        <is>
          <t>8月8日Q2營運利潤升16%，14季來首次淨買入股票近$200億兼重啟回購；8月15日增持Alphabet約$170億。</t>
        </is>
      </c>
      <c r="I39" s="34" t="n">
        <v>5</v>
      </c>
    </row>
    <row r="40" ht="46" customHeight="1">
      <c r="A40" s="34" t="n">
        <v>39</v>
      </c>
      <c r="B40" s="33" t="inlineStr">
        <is>
          <t>SLDE</t>
        </is>
      </c>
      <c r="C40" s="34" t="inlineStr">
        <is>
          <t>Slide Insurance Holdings Inc.</t>
        </is>
      </c>
      <c r="D40" s="34" t="inlineStr">
        <is>
          <t>業績</t>
        </is>
      </c>
      <c r="E40" s="35" t="inlineStr">
        <is>
          <t>7/28 Q2純利升92%、EPS $1.06勝預期兼首次派息 → 大行升目標價至$26-28</t>
        </is>
      </c>
      <c r="F40" s="34" t="inlineStr">
        <is>
          <t>中</t>
        </is>
      </c>
      <c r="G40" s="35" t="inlineStr">
        <is>
          <t>7/6大摩以估值降級至Equal-Weight、目標價削至$20；業績後獲利回吐，7/30單日挫8.6%</t>
        </is>
      </c>
      <c r="H40" s="35" t="inlineStr">
        <is>
          <t>7/28 Q2純利升92.4%、EPS $1.06勝預期$0.88，首次派息$0.07兼重申指引，大行齊升目標價，逐級上行</t>
        </is>
      </c>
      <c r="I40" s="34" t="n">
        <v>5</v>
      </c>
    </row>
    <row r="41" ht="46" customHeight="1">
      <c r="A41" s="34" t="n">
        <v>40</v>
      </c>
      <c r="B41" s="33" t="inlineStr">
        <is>
          <t>NAKA</t>
        </is>
      </c>
      <c r="C41" s="34" t="inlineStr">
        <is>
          <t>Nakamoto Inc.</t>
        </is>
      </c>
      <c r="D41" s="34" t="inlineStr">
        <is>
          <t>無</t>
        </is>
      </c>
      <c r="E41" s="35" t="inlineStr">
        <is>
          <t>無個股催化 · 隨大市／板塊回升</t>
        </is>
      </c>
      <c r="F41" s="34" t="inlineStr">
        <is>
          <t>中</t>
        </is>
      </c>
      <c r="G41" s="35" t="inlineStr">
        <is>
          <t>NAKA前身係KindlyMD，改名後轉型比特幣財庫股，5/22做1合40併股保上市；股價隨BTC回落，7/13低見3.37美元。</t>
        </is>
      </c>
      <c r="H41" s="35" t="inlineStr">
        <is>
          <t>無公司消息：7/15比特幣重上6.5萬美元，NAKA單日升18.1%；8月BTC一周急升22%至8萬美元以上；B. Riley上調目標價至11美元。</t>
        </is>
      </c>
      <c r="I41" s="34" t="n">
        <v>5</v>
      </c>
    </row>
    <row r="42" ht="46" customHeight="1">
      <c r="A42" s="34" t="n">
        <v>41</v>
      </c>
      <c r="B42" s="33" t="inlineStr">
        <is>
          <t>BRK/A</t>
        </is>
      </c>
      <c r="C42" s="34" t="inlineStr">
        <is>
          <t>Berkshire Hathaway Inc.</t>
        </is>
      </c>
      <c r="D42" s="34" t="inlineStr">
        <is>
          <t>業績</t>
        </is>
      </c>
      <c r="E42" s="35" t="inlineStr">
        <is>
          <t>8/8 Q2 EPS $6.02勝預期、季內回購$45億 → 下一交易日8/10升1.76%</t>
        </is>
      </c>
      <c r="F42" s="34" t="inlineStr">
        <is>
          <t>中</t>
        </is>
      </c>
      <c r="G42" s="35" t="inlineStr">
        <is>
          <t>資金一面倒追AI，波郡長期跑輸大市，近4,000億美元現金被視為回報拖累，7月22日低見$732,750</t>
        </is>
      </c>
      <c r="H42" s="35" t="inlineStr">
        <is>
          <t>7/28重倉股造好兼回購提速單日升2.97%；8/8 Q2 EPS $6.02勝預期、季內回購$45億兼淨買入股票，8/10升1.76%</t>
        </is>
      </c>
      <c r="I42" s="34" t="n">
        <v>5</v>
      </c>
    </row>
    <row r="43" ht="46" customHeight="1">
      <c r="A43" s="34" t="n">
        <v>42</v>
      </c>
      <c r="B43" s="33" t="inlineStr">
        <is>
          <t>SGP</t>
        </is>
      </c>
      <c r="C43" s="34" t="inlineStr">
        <is>
          <t>SpyGlass Pharma Inc.</t>
        </is>
      </c>
      <c r="D43" s="34" t="inlineStr">
        <is>
          <t>評級</t>
        </is>
      </c>
      <c r="E43" s="35" t="inlineStr">
        <is>
          <t>8/14 Raymond James首覆蓋跑贏大市，目標$39</t>
        </is>
      </c>
      <c r="F43" s="34" t="inlineStr">
        <is>
          <t>中</t>
        </is>
      </c>
      <c r="G43" s="35" t="inlineStr">
        <is>
          <t>2026年2月IPO集資$1.725億，2/19見上市高位$30.56後一路回落，6/17跌至上市新低$17.06，7/17收$19.77再試底；期間並無公司壞消息，純粹新股熱潮退卻兼三期數據要等到2027年。</t>
        </is>
      </c>
      <c r="H43" s="35" t="inlineStr">
        <is>
          <t>8/6公布Q2（淨虧$1,990萬、每股蝕$0.59，6月底現金$2.342億可營運至2028年，BIM-IOL兩項註冊性三期SGP-005／006招募照計劃2027年完成）；8/14 Raymond James首次覆蓋、給予Outperform兼$39目標價，成為最清晰嘅催化；9/10出席Citi生物製藥會議，9/15收$28.96，較7/17底升46.5%。</t>
        </is>
      </c>
      <c r="I43" s="34" t="n">
        <v>4</v>
      </c>
    </row>
    <row r="44" ht="46" customHeight="1">
      <c r="A44" s="34" t="n">
        <v>43</v>
      </c>
      <c r="B44" s="33" t="inlineStr">
        <is>
          <t>TWLO</t>
        </is>
      </c>
      <c r="C44" s="34" t="inlineStr">
        <is>
          <t>Twilio Inc. Class A</t>
        </is>
      </c>
      <c r="D44" s="34" t="inlineStr">
        <is>
          <t>業績</t>
        </is>
      </c>
      <c r="E44" s="35" t="inlineStr">
        <is>
          <t>8/7 Q2收入升22%、EPS勝預期、上調指引 → 單日飆24.9%</t>
        </is>
      </c>
      <c r="F44" s="34" t="inlineStr">
        <is>
          <t>高</t>
        </is>
      </c>
      <c r="G44" s="35" t="inlineStr">
        <is>
          <t>7月7日遭降評至沽售、指估值貴64.6%，7月21日再挫4.4%，疊加7月22-23日大市回調至183.38美元。</t>
        </is>
      </c>
      <c r="H44" s="35" t="inlineStr">
        <is>
          <t>8月7日Q2收入升22%、EPS 1.47美元勝預期，全年增長指引由14-15%上調至18-18.5%，單日飆24.9%。</t>
        </is>
      </c>
      <c r="I44" s="34" t="n">
        <v>4</v>
      </c>
    </row>
    <row r="45" ht="46" customHeight="1">
      <c r="A45" s="34" t="n">
        <v>44</v>
      </c>
      <c r="B45" s="33" t="inlineStr">
        <is>
          <t>OHI</t>
        </is>
      </c>
      <c r="C45" s="34" t="inlineStr">
        <is>
          <t>Omega Healthcare Investors Inc.</t>
        </is>
      </c>
      <c r="D45" s="34" t="inlineStr">
        <is>
          <t>大單</t>
        </is>
      </c>
      <c r="E45" s="35" t="inlineStr">
        <is>
          <t>9/1 PACS接手32間佛州護理院、向Omega承租 → 單日+2.34%</t>
        </is>
      </c>
      <c r="F45" s="34" t="inlineStr">
        <is>
          <t>高</t>
        </is>
      </c>
      <c r="G45" s="35" t="inlineStr">
        <is>
          <t>8月初Q2雖勝預期，但$5.63億資產出售令第三季盈利真空，大行接連削目標價，8月11日挫3.84%低見$45.57</t>
        </is>
      </c>
      <c r="H45" s="35" t="inlineStr">
        <is>
          <t>9月1日PACS Group宣布接手32間佛州護理院、向Omega子公司承租4,049張床位，租金收入有着落，單日升2.34%</t>
        </is>
      </c>
      <c r="I45" s="34" t="n">
        <v>5</v>
      </c>
    </row>
    <row r="46" ht="46" customHeight="1">
      <c r="A46" s="34" t="n">
        <v>45</v>
      </c>
      <c r="B46" s="33" t="inlineStr">
        <is>
          <t>COKE</t>
        </is>
      </c>
      <c r="C46" s="34" t="inlineStr">
        <is>
          <t>Coca-Cola Consolidated Inc.</t>
        </is>
      </c>
      <c r="D46" s="34" t="inlineStr">
        <is>
          <t>業績</t>
        </is>
      </c>
      <c r="E46" s="35" t="inlineStr">
        <is>
          <t>8/5 Q2收入20.5億、EPS $2.39 → 事件日+2.1%</t>
        </is>
      </c>
      <c r="F46" s="34" t="inlineStr">
        <is>
          <t>中</t>
        </is>
      </c>
      <c r="G46" s="35" t="inlineStr">
        <is>
          <t>未見明確個股利淡，主要隨大市七月及八月中回調整固；市場對純利率由8.4%降至7.2%略有戒心。</t>
        </is>
      </c>
      <c r="H46" s="35" t="inlineStr">
        <is>
          <t>8月5日Q2收入20.5億美元升逾10%、EPS $2.39勝去年，需求穩健兼防守板塊資金流入，公布後升1.9%。</t>
        </is>
      </c>
      <c r="I46" s="34" t="n">
        <v>2</v>
      </c>
    </row>
    <row r="47" ht="46" customHeight="1">
      <c r="A47" s="34" t="n">
        <v>46</v>
      </c>
      <c r="B47" s="33" t="inlineStr">
        <is>
          <t>SMCI</t>
        </is>
      </c>
      <c r="C47" s="34" t="inlineStr">
        <is>
          <t>Super Micro Computer Inc.</t>
        </is>
      </c>
      <c r="D47" s="34" t="inlineStr">
        <is>
          <t>指引</t>
        </is>
      </c>
      <c r="E47" s="35" t="inlineStr">
        <is>
          <t>7/21 毛利指引倍升 → 翌日+19.8%</t>
        </is>
      </c>
      <c r="F47" s="34" t="inlineStr">
        <is>
          <t>高</t>
        </is>
      </c>
      <c r="G47" s="35" t="inlineStr">
        <is>
          <t>AI伺服器毛利受記憶體漲價同Dell、HPE競爭夾擊，增發攤薄惹疑慮，台灣辦公室又被搜查；6月插36%，7/20低見23.83。</t>
        </is>
      </c>
      <c r="H47" s="35" t="inlineStr">
        <is>
          <t>7/21盤後預告Q4毛利率由8.2至8.4%上調至15至17%、單季新訂單逾600億美元創紀錄；翌日7/22抽19.8%。</t>
        </is>
      </c>
      <c r="I47" s="34" t="n">
        <v>5</v>
      </c>
    </row>
    <row r="48" ht="46" customHeight="1">
      <c r="A48" s="34" t="n">
        <v>47</v>
      </c>
      <c r="B48" s="33" t="inlineStr">
        <is>
          <t>EPAM</t>
        </is>
      </c>
      <c r="C48" s="34" t="inlineStr">
        <is>
          <t>EPAM Systems Inc.</t>
        </is>
      </c>
      <c r="D48" s="34" t="inlineStr">
        <is>
          <t>AI</t>
        </is>
      </c>
      <c r="E48" s="35" t="inlineStr">
        <is>
          <t>未有可考日期：AI業務重估、成OpenAI夥伴兼回購</t>
        </is>
      </c>
      <c r="F48" s="34" t="inlineStr">
        <is>
          <t>高</t>
        </is>
      </c>
      <c r="G48" s="35" t="inlineStr">
        <is>
          <t>年內曾腰斬，IT服務需求疲弱；8月6日Q2雖勝預期但全年收入指引大削至3.2-4.2%，單日收瀉15.3%。</t>
        </is>
      </c>
      <c r="H48" s="35" t="inlineStr">
        <is>
          <t>未查到可考嘅事件日期；到 09-14 嘅 21 日回報係 +21.7%、自第一個底（07-23）起 +43.5%：AI原生業務加速、成為OpenAI Advanced Partner、完成大型回購，重估AI前景。</t>
        </is>
      </c>
      <c r="I48" s="34" t="n">
        <v>2</v>
      </c>
    </row>
    <row r="49" ht="46" customHeight="1">
      <c r="A49" s="34" t="n">
        <v>48</v>
      </c>
      <c r="B49" s="33" t="inlineStr">
        <is>
          <t>KOPN</t>
        </is>
      </c>
      <c r="C49" s="34" t="inlineStr">
        <is>
          <t>Kopin Corporation</t>
        </is>
      </c>
      <c r="D49" s="34" t="inlineStr">
        <is>
          <t>大單</t>
        </is>
      </c>
      <c r="E49" s="35" t="inlineStr">
        <is>
          <t>8/11 Q2收入增51%勝預期、Fabric.AI $1,500萬訂單兼入股19.9% → 單日+23.52%</t>
        </is>
      </c>
      <c r="F49" s="34" t="inlineStr">
        <is>
          <t>高</t>
        </is>
      </c>
      <c r="G49" s="35" t="inlineStr">
        <is>
          <t>細價半導體股高波幅洗倉，7月16日插12.77%、7月29日再跌10.48%低見$3.16，期內未見公司層面利淡消息</t>
        </is>
      </c>
      <c r="H49" s="35" t="inlineStr">
        <is>
          <t>8/10 Q2收入增51%勝預期，兼奪Fabric.AI $1,500萬訂單及19.9%股權，8/11急升23.52%；9/17專利消息再升8.99%</t>
        </is>
      </c>
      <c r="I49" s="34" t="n">
        <v>5</v>
      </c>
    </row>
    <row r="50" ht="46" customHeight="1">
      <c r="A50" s="34" t="n">
        <v>49</v>
      </c>
      <c r="B50" s="33" t="inlineStr">
        <is>
          <t>META</t>
        </is>
      </c>
      <c r="C50" s="34" t="inlineStr">
        <is>
          <t>Meta Platforms Inc. Class A</t>
        </is>
      </c>
      <c r="D50" s="34" t="inlineStr">
        <is>
          <t>監管</t>
        </is>
      </c>
      <c r="E50" s="35" t="inlineStr">
        <is>
          <t>8/26 和解青少年社媒訴訟 → Evercore目標價升至$860</t>
        </is>
      </c>
      <c r="F50" s="34" t="inlineStr">
        <is>
          <t>高</t>
        </is>
      </c>
      <c r="G50" s="35" t="inlineStr">
        <is>
          <t>7月30日Q2 EPS $6.18遜預期$7.14，資本開支$310億、現金流插91%，單日挫10%</t>
        </is>
      </c>
      <c r="H50" s="35" t="inlineStr">
        <is>
          <t>8月26日和解青少年安全社交媒體訴訟（本季計約$100億法律開支）帶動反彈，Evercore ISI上調目標價至$860</t>
        </is>
      </c>
      <c r="I50" s="34" t="n">
        <v>4</v>
      </c>
    </row>
    <row r="51" ht="46" customHeight="1">
      <c r="A51" s="34" t="n">
        <v>50</v>
      </c>
      <c r="B51" s="33" t="inlineStr">
        <is>
          <t>CRCT</t>
        </is>
      </c>
      <c r="C51" s="34" t="inlineStr">
        <is>
          <t>Cricut Inc. Class A</t>
        </is>
      </c>
      <c r="D51" s="34" t="inlineStr">
        <is>
          <t>業績</t>
        </is>
      </c>
      <c r="E51" s="35" t="inlineStr">
        <is>
          <t>8/4 Q2 EPS $0.19遠勝預期$0.04、毛利率74.5% → 翌日8/5升22.87%</t>
        </is>
      </c>
      <c r="F51" s="34" t="inlineStr">
        <is>
          <t>高</t>
        </is>
      </c>
      <c r="G51" s="35" t="inlineStr">
        <is>
          <t>手作機硬件需求轉弱，產品收入按年跌22%，股價一度較52週高位低約43%，7月23日跌4.49%低見$4.25</t>
        </is>
      </c>
      <c r="H51" s="35" t="inlineStr">
        <is>
          <t>8/4收巿後Q2：EPS $0.19遠勝預期$0.04、毛利率由59.0%抽升至74.5%、純利增59%，翌日8/5急升22.87%</t>
        </is>
      </c>
      <c r="I51" s="34" t="n">
        <v>4</v>
      </c>
    </row>
    <row r="52" ht="46" customHeight="1">
      <c r="A52" s="34" t="n">
        <v>51</v>
      </c>
      <c r="B52" s="33" t="inlineStr">
        <is>
          <t>REPX</t>
        </is>
      </c>
      <c r="C52" s="34" t="inlineStr">
        <is>
          <t>Riley Exploration Permian Inc.</t>
        </is>
      </c>
      <c r="D52" s="34" t="inlineStr">
        <is>
          <t>業績</t>
        </is>
      </c>
      <c r="E52" s="35" t="inlineStr">
        <is>
          <t>8/6 Q2產量+41%兼上調指引，油價助攻</t>
        </is>
      </c>
      <c r="F52" s="34" t="inlineStr">
        <is>
          <t>中</t>
        </is>
      </c>
      <c r="G52" s="35" t="inlineStr">
        <is>
          <t>7月油價偏軟（EIA：布蘭特7月均價約84美元/桶）令小型頁岩股受壓，REPX 7月28日收市見底32.98美元。</t>
        </is>
      </c>
      <c r="H52" s="35" t="inlineStr">
        <is>
          <t>8月6日公布Q2：產量按年增41%，全年產量指引上調至22,500–23,500桶/日（按年約+30%），並派每股0.40美元季息（8月12日派發）；9月油價急升（WTI 9月11日約104美元）再助攻，9月14日收43.22美元，較7月28日升31.0%。</t>
        </is>
      </c>
      <c r="I52" s="34" t="n">
        <v>3</v>
      </c>
    </row>
    <row r="53" ht="46" customHeight="1">
      <c r="A53" s="34" t="n">
        <v>52</v>
      </c>
      <c r="B53" s="33" t="inlineStr">
        <is>
          <t>OSPN</t>
        </is>
      </c>
      <c r="C53" s="34" t="inlineStr">
        <is>
          <t>OneSpan Inc.</t>
        </is>
      </c>
      <c r="D53" s="34" t="inlineStr">
        <is>
          <t>指引</t>
        </is>
      </c>
      <c r="E53" s="35" t="inlineStr">
        <is>
          <t>8/4 Q2訂閱收入升11%、上調全年指引至$2.52億 → 網安板塊重估</t>
        </is>
      </c>
      <c r="F53" s="34" t="inlineStr">
        <is>
          <t>中</t>
        </is>
      </c>
      <c r="G53" s="35" t="inlineStr">
        <is>
          <t>網安分部收入跌7.5%，銀行硬件Token結構性萎縮兼授權轉訂閱，加上7月下旬大市回調，跌至14.75美元。</t>
        </is>
      </c>
      <c r="H53" s="35" t="inlineStr">
        <is>
          <t>8月4日Q2訂閱收入升11%、EBITDA率28%，上調全年收入指引至2.48-2.52億美元，8月底網安板塊重估。</t>
        </is>
      </c>
      <c r="I53" s="34" t="n">
        <v>4</v>
      </c>
    </row>
    <row r="54" ht="46" customHeight="1">
      <c r="A54" s="34" t="n">
        <v>53</v>
      </c>
      <c r="B54" s="33" t="inlineStr">
        <is>
          <t>XHLD</t>
        </is>
      </c>
      <c r="C54" s="34" t="inlineStr">
        <is>
          <t>TEN Holdings Inc.</t>
        </is>
      </c>
      <c r="D54" s="34" t="inlineStr">
        <is>
          <t>回購</t>
        </is>
      </c>
      <c r="E54" s="35" t="inlineStr">
        <is>
          <t>9/16 授權$200萬回購兼同GLSoft建策略技術關係 → 翌日僅升0.73%</t>
        </is>
      </c>
      <c r="F54" s="34" t="inlineStr">
        <is>
          <t>中</t>
        </is>
      </c>
      <c r="G54" s="35" t="inlineStr">
        <is>
          <t>微型股連番集資攤薄，8月5日插落上巿新低$0.80；急炒後9月14日因波幅過大停牌，單日暴挫28.81%回落至$8.92</t>
        </is>
      </c>
      <c r="H54" s="35" t="inlineStr">
        <is>
          <t>9/16授權最多$200萬回購兼同GLSoft Corp.建策略技術關係，止穩但9/17只微升0.73%，走勢仍主要由低浮動籌碼投機主導</t>
        </is>
      </c>
      <c r="I54" s="34" t="n">
        <v>4</v>
      </c>
    </row>
    <row r="55" ht="46" customHeight="1">
      <c r="A55" s="34" t="n">
        <v>54</v>
      </c>
      <c r="B55" s="33" t="inlineStr">
        <is>
          <t>CNXN</t>
        </is>
      </c>
      <c r="C55" s="34" t="inlineStr">
        <is>
          <t>PC Connection Inc.</t>
        </is>
      </c>
      <c r="D55" s="34" t="inlineStr">
        <is>
          <t>業績</t>
        </is>
      </c>
      <c r="E55" s="35" t="inlineStr">
        <is>
          <t>7/29 Q2 EPS $1.31勝預期$1.04、淨銷售升12.4% → 毛利創新高</t>
        </is>
      </c>
      <c r="F55" s="34" t="inlineStr">
        <is>
          <t>中</t>
        </is>
      </c>
      <c r="G55" s="35" t="inlineStr">
        <is>
          <t>業績前觀望兼7月中大市回調，7月15日跌至$76.06；8月中長債息急升拖累，8月24日再試$76.71。</t>
        </is>
      </c>
      <c r="H55" s="35" t="inlineStr">
        <is>
          <t>7月29日Q2破紀錄：EPS $1.31勝預期$1.04（+26%）、淨銷售升12.4%，毛利創新高$1.575億。</t>
        </is>
      </c>
      <c r="I55" s="34" t="n">
        <v>4</v>
      </c>
    </row>
    <row r="56" ht="46" customHeight="1">
      <c r="A56" s="34" t="n">
        <v>55</v>
      </c>
      <c r="B56" s="33" t="inlineStr">
        <is>
          <t>HPQ</t>
        </is>
      </c>
      <c r="C56" s="34" t="inlineStr">
        <is>
          <t>HP Inc.</t>
        </is>
      </c>
      <c r="D56" s="34" t="inlineStr">
        <is>
          <t>業績</t>
        </is>
      </c>
      <c r="E56" s="35" t="inlineStr">
        <is>
          <t>8/28 Q3勝預期後多行升目標價 → 單日升3%</t>
        </is>
      </c>
      <c r="F56" s="34" t="inlineStr">
        <is>
          <t>高</t>
        </is>
      </c>
      <c r="G56" s="35" t="inlineStr">
        <is>
          <t>7/15收$23.75跌3.6%：IDC指Q2 HP PC出貨跌9%，DRAM價年升近7倍、記憶體佔PC成本約35%，全年EPS指引已收窄。</t>
        </is>
      </c>
      <c r="H56" s="35" t="inlineStr">
        <is>
          <t>8/26 Q3 EPS $0.83勝預期，全年EPS指引升至$3.19–3.29；翌日因PC出貨跌16%跌2.9%，8/28多行升目標價、單日升3%。</t>
        </is>
      </c>
      <c r="I56" s="34" t="n">
        <v>8</v>
      </c>
    </row>
    <row r="57" ht="46" customHeight="1">
      <c r="A57" s="34" t="n">
        <v>56</v>
      </c>
      <c r="B57" s="33" t="inlineStr">
        <is>
          <t>NATH</t>
        </is>
      </c>
      <c r="C57" s="34" t="inlineStr">
        <is>
          <t>Nathan's Famous Inc.</t>
        </is>
      </c>
      <c r="D57" s="34" t="inlineStr">
        <is>
          <t>併購</t>
        </is>
      </c>
      <c r="E57" s="35" t="inlineStr">
        <is>
          <t>併購釘價：Smithfield $102 全現金 → 90 日內最大單日 1.5%</t>
        </is>
      </c>
      <c r="F57" s="34" t="inlineStr">
        <is>
          <t>高</t>
        </is>
      </c>
      <c r="G57" s="35" t="inlineStr">
        <is>
          <t>CFIUS審批因政府停擺延誤、交割推遲至2026下半年，套利折讓擴闊，7月17日跌至$96.05；批發牛肉成本更曾飆19%。</t>
        </is>
      </c>
      <c r="H57" s="35" t="inlineStr">
        <is>
          <t>Smithfield $102/股全現金收購待交割，股價向要約價收斂；8月公布季度收入$54.1M按年升15%，套利資金持續吸納。</t>
        </is>
      </c>
      <c r="I57" s="34" t="n">
        <v>4</v>
      </c>
    </row>
    <row r="58" ht="46" customHeight="1">
      <c r="A58" s="34" t="n">
        <v>57</v>
      </c>
      <c r="B58" s="33" t="inlineStr">
        <is>
          <t>QRVO</t>
        </is>
      </c>
      <c r="C58" s="34" t="inlineStr">
        <is>
          <t>Qorvo Inc.</t>
        </is>
      </c>
      <c r="D58" s="34" t="inlineStr">
        <is>
          <t>併購</t>
        </is>
      </c>
      <c r="E58" s="35" t="inlineStr">
        <is>
          <t>8/4 HSR清關+Q1勝預期 → 單日+6.2%</t>
        </is>
      </c>
      <c r="F58" s="34" t="inlineStr">
        <is>
          <t>高</t>
        </is>
      </c>
      <c r="G58" s="35" t="inlineStr">
        <is>
          <t>隨SWKS由高位回落，QRVO由5/26的108.23跌至7/14的82.51；收購對價為每股0.96股SWKS+32.50美元現金。</t>
        </is>
      </c>
      <c r="H58" s="35" t="inlineStr">
        <is>
          <t>8/1 FTC任由時間協議屆滿、美國HSR清關；8/4公布FY27Q1非GAAP每股1.64美元，單日+6.2%；套戥價差由5.4%收窄至0.7%。</t>
        </is>
      </c>
      <c r="I58" s="34" t="n">
        <v>4</v>
      </c>
    </row>
    <row r="59" ht="46" customHeight="1">
      <c r="A59" s="34" t="n">
        <v>58</v>
      </c>
      <c r="B59" s="33" t="inlineStr">
        <is>
          <t>DFIN</t>
        </is>
      </c>
      <c r="C59" s="34" t="inlineStr">
        <is>
          <t>Donnelley Financial Solutions Inc.</t>
        </is>
      </c>
      <c r="D59" s="34" t="inlineStr">
        <is>
          <t>回購</t>
        </is>
      </c>
      <c r="E59" s="42" t="inlineStr">
        <is>
          <t>7/30 Q2勝預期但當日反挫8.5% → 翌日僅回+0.6%，之後靠回購慢慢爬</t>
        </is>
      </c>
      <c r="F59" s="34" t="inlineStr">
        <is>
          <t>中</t>
        </is>
      </c>
      <c r="G59" s="35" t="inlineStr">
        <is>
          <t>5/5 Q1業績遜預期後急挫，資本市場交投淡靜、IPO及併購申報量少，拖累交易性收入，首季股價已累跌近20%；7/8低見44.14美元。</t>
        </is>
      </c>
      <c r="H59" s="35" t="inlineStr">
        <is>
          <t>7/30 Q2收入及EPS 1.76美元勝預期，但EBITDA遜預期令當日急挫逾13%；其後靠新增1.5億美元回購授權及SaaS雙位數增長支撐，緩慢回升。</t>
        </is>
      </c>
      <c r="I59" s="34" t="n">
        <v>3</v>
      </c>
    </row>
    <row r="60" ht="46" customHeight="1">
      <c r="A60" s="34" t="n">
        <v>59</v>
      </c>
      <c r="B60" s="33" t="inlineStr">
        <is>
          <t>TSLA</t>
        </is>
      </c>
      <c r="C60" s="34" t="inlineStr">
        <is>
          <t>Tesla Inc.</t>
        </is>
      </c>
      <c r="D60" s="34" t="inlineStr">
        <is>
          <t>監管</t>
        </is>
      </c>
      <c r="E60" s="35" t="inlineStr">
        <is>
          <t>8/21 內華達放行Robotaxi→單日升5.1%</t>
        </is>
      </c>
      <c r="F60" s="34" t="inlineStr">
        <is>
          <t>高</t>
        </is>
      </c>
      <c r="G60" s="35" t="inlineStr">
        <is>
          <t>7/22 Q2 EPS $0.33遠遜預期$0.54、自由現金流轉負，翌日單日跌14.5%；大行削目標價，7/29跌穿$300。</t>
        </is>
      </c>
      <c r="H60" s="35" t="inlineStr">
        <is>
          <t>8月中Robotaxi安全數據良好；8/21內華達州批准Clark County最多5,000架付費Robotaxi（原限10架），單日升5.1%。</t>
        </is>
      </c>
      <c r="I60" s="34" t="n">
        <v>6</v>
      </c>
    </row>
    <row r="61" ht="46" customHeight="1">
      <c r="A61" s="34" t="n">
        <v>60</v>
      </c>
      <c r="B61" s="33" t="inlineStr">
        <is>
          <t>IBM</t>
        </is>
      </c>
      <c r="C61" s="34" t="inlineStr">
        <is>
          <t>International Business Machines Corporation</t>
        </is>
      </c>
      <c r="D61" s="34" t="inlineStr">
        <is>
          <t>大單</t>
        </is>
      </c>
      <c r="E61" s="42" t="inlineStr">
        <is>
          <t>9/10 瑞士CSCS裝Quantum System Two兼登月AI合作 → 翌日9/11升3.96%</t>
        </is>
      </c>
      <c r="F61" s="34" t="inlineStr">
        <is>
          <t>中</t>
        </is>
      </c>
      <c r="G61" s="35" t="inlineStr">
        <is>
          <t>7月14日預告Q2收入$172億遜預期，客戶轉投自家AI硬件，單日插約25%創1968年以來最大跌幅，7/22低見$205.77</t>
        </is>
      </c>
      <c r="H61" s="35" t="inlineStr">
        <is>
          <t>7/28資金由半導體輪動入IBM升5.21%；9/10公布瑞士CSCS裝Quantum System Two兼登月AI合作，9/11升3.96%</t>
        </is>
      </c>
      <c r="I61" s="34" t="n">
        <v>6</v>
      </c>
    </row>
    <row r="62" ht="46" customHeight="1">
      <c r="A62" s="34" t="n">
        <v>61</v>
      </c>
      <c r="B62" s="33" t="inlineStr">
        <is>
          <t>MDT</t>
        </is>
      </c>
      <c r="C62" s="34" t="inlineStr">
        <is>
          <t>Medtronic plc.</t>
        </is>
      </c>
      <c r="D62" s="34" t="inlineStr">
        <is>
          <t>業績</t>
        </is>
      </c>
      <c r="E62" s="35" t="inlineStr">
        <is>
          <t>9/1 Q1有機增長13.7%兼上調FY27指引</t>
        </is>
      </c>
      <c r="F62" s="34" t="inlineStr">
        <is>
          <t>高</t>
        </is>
      </c>
      <c r="G62" s="35" t="inlineStr">
        <is>
          <t>關稅壓力（FY26經營利潤率被關稅蠶食160點子，FY27關稅影響約2.5億美元）加上市場質疑增長轉化能力，MDT 6月2日曾見52週低73.31美元，7月14日收市見底79.30美元。</t>
        </is>
      </c>
      <c r="H62" s="35" t="inlineStr">
        <is>
          <t>9月1日公布FY27 Q1（截至7月31日）：收入98億美元、按報告及有機均增13.7%，調整後每股盈利1.45美元（預期1.39美元），並上調FY27有機收入增長指引至7.25%–7.75%、EPS至5.94–6.00美元；盤前抽升（報道由+2.59%至近+9%不等，屬盤前非收市價）。9月14日收93.80美元，較7月14日升18.3%。</t>
        </is>
      </c>
      <c r="I62" s="34" t="n">
        <v>4</v>
      </c>
    </row>
    <row r="63" ht="46" customHeight="1">
      <c r="A63" s="34" t="n">
        <v>62</v>
      </c>
      <c r="B63" s="33" t="inlineStr">
        <is>
          <t>TMO</t>
        </is>
      </c>
      <c r="C63" s="34" t="inlineStr">
        <is>
          <t>Thermo Fisher Scientific Inc</t>
        </is>
      </c>
      <c r="D63" s="34" t="inlineStr">
        <is>
          <t>業績</t>
        </is>
      </c>
      <c r="E63" s="35" t="inlineStr">
        <is>
          <t>7/23 Q2勝預期兼上調全年指引 → 單日+8.7%</t>
        </is>
      </c>
      <c r="F63" s="34" t="inlineStr">
        <is>
          <t>高</t>
        </is>
      </c>
      <c r="G63" s="35" t="inlineStr">
        <is>
          <t>關稅打擊中國業務約$4億、壓利潤率80基點，美國學術科研撥款凍結，6月30日低見$501.36。</t>
        </is>
      </c>
      <c r="H63" s="35" t="inlineStr">
        <is>
          <t>7月23日Q2收入升10%至$119.9億、超預期$3億，並上調全年收入及EPS指引，當日抽升逾9%。</t>
        </is>
      </c>
      <c r="I63" s="34" t="n">
        <v>3</v>
      </c>
    </row>
    <row r="64" ht="46" customHeight="1">
      <c r="A64" s="34" t="n">
        <v>63</v>
      </c>
      <c r="B64" s="33" t="inlineStr">
        <is>
          <t>CURI</t>
        </is>
      </c>
      <c r="C64" s="34" t="inlineStr">
        <is>
          <t>CuriosityStream Inc. Class A</t>
        </is>
      </c>
      <c r="D64" s="34" t="inlineStr">
        <is>
          <t>業績</t>
        </is>
      </c>
      <c r="E64" s="35" t="inlineStr">
        <is>
          <t>8/13 Q2授權收入增48%、調整EBITDA增276%創新高 → 單日+42.5%</t>
        </is>
      </c>
      <c r="F64" s="34" t="inlineStr">
        <is>
          <t>高</t>
        </is>
      </c>
      <c r="G64" s="35" t="inlineStr">
        <is>
          <t>細價流媒體股，7月底低見$2.35；8/13業績抽升後迅速回吐，8/14跌11.03%、8/17再跌16.9%，9/9回落至$2.60</t>
        </is>
      </c>
      <c r="H64" s="35" t="inlineStr">
        <is>
          <t>8/13 Q2收入增22%、授權收入增48%至$1,410萬，調整EBITDA增276%創新高兼上調全年指引，單日急升42.5%</t>
        </is>
      </c>
      <c r="I64" s="34" t="n">
        <v>4</v>
      </c>
    </row>
    <row r="65" ht="46" customHeight="1">
      <c r="A65" s="34" t="n">
        <v>64</v>
      </c>
      <c r="B65" s="33" t="inlineStr">
        <is>
          <t>CRWD</t>
        </is>
      </c>
      <c r="C65" s="34" t="inlineStr">
        <is>
          <t>CrowdStrike Holdings Inc. Class A</t>
        </is>
      </c>
      <c r="D65" s="34" t="inlineStr">
        <is>
          <t>業績</t>
        </is>
      </c>
      <c r="E65" s="35" t="inlineStr">
        <is>
          <t>8/27 Q2創紀錄單日+20.5%；9/14網安輪動+13.9%</t>
        </is>
      </c>
      <c r="F65" s="34" t="inlineStr">
        <is>
          <t>高</t>
        </is>
      </c>
      <c r="G65" s="35" t="inlineStr">
        <is>
          <t>7/2完成一拆四後獲利回吐，CEO Kurtz於7/7–7/8按10b5-1計劃沽出2萬股（約$386萬），7/29收$179.38見底；8/19即使Truist升目標價至$245，股價仍單日挫7%，8/25再低見$185.38。</t>
        </is>
      </c>
      <c r="H65" s="35" t="inlineStr">
        <is>
          <t>8/26收市後公布Q2 FY27（收入$14.7億、按年+26%，經調整EPS $0.31，淨新增ARR $3.328億創公司紀錄、按年+51%，全年收入指引上調至$59.9–60.1億），8/27收$227.96、單日約+20%，為上市以來最佳一日，11間大行上調目標價；9/12 Anthropic行政總裁Amodei發表「放慢前沿AI」文章後，資金由AI資本開支股轉投網絡安全，9/14 CRWD收市升13.85%至$235.49（ZS、PANW同日分別收升約12%及11%），9/15再收$242.49。要留意HCLTech擴大合作係9/15先公布，解釋唔到9/14嘅升幅；所以8/27係個股催化，9/14純粹係板塊輪動。</t>
        </is>
      </c>
      <c r="I65" s="34" t="n">
        <v>5</v>
      </c>
    </row>
    <row r="66" ht="46" customHeight="1">
      <c r="A66" s="34" t="n">
        <v>65</v>
      </c>
      <c r="B66" s="33" t="inlineStr">
        <is>
          <t>NSIT</t>
        </is>
      </c>
      <c r="C66" s="34" t="inlineStr">
        <is>
          <t>Insight Enterprises Inc.</t>
        </is>
      </c>
      <c r="D66" s="34" t="inlineStr">
        <is>
          <t>業績</t>
        </is>
      </c>
      <c r="E66" s="35" t="inlineStr">
        <is>
          <t>8/6 Q2 EPS升44%、上調全年指引 → 目標價升至$175</t>
        </is>
      </c>
      <c r="F66" s="34" t="inlineStr">
        <is>
          <t>高</t>
        </is>
      </c>
      <c r="G66" s="35" t="inlineStr">
        <is>
          <t>5月Q1業績（新CEO首份）大企業硬件需求疲弱、利潤率環比倒退，6月底又被剔出羅素成長指數，7月6日見底111.71美元。</t>
        </is>
      </c>
      <c r="H66" s="35" t="inlineStr">
        <is>
          <t>8月6日Q2調整後EPS 3.86美元、按年升44%，上調全年EPS指引至12.20-12.70美元，Raymond James目標價由100升至175美元。</t>
        </is>
      </c>
      <c r="I66" s="34" t="n">
        <v>6</v>
      </c>
    </row>
    <row r="67" ht="46" customHeight="1">
      <c r="A67" s="34" t="n">
        <v>66</v>
      </c>
      <c r="B67" s="33" t="inlineStr">
        <is>
          <t>HYPD</t>
        </is>
      </c>
      <c r="C67" s="34" t="inlineStr">
        <is>
          <t>Hyperion DeFi Inc.</t>
        </is>
      </c>
      <c r="D67" s="34" t="inlineStr">
        <is>
          <t>指引</t>
        </is>
      </c>
      <c r="E67" s="35" t="inlineStr">
        <is>
          <t>9/8 上調指引兼回購 → 單日+8.5%</t>
        </is>
      </c>
      <c r="F67" s="34" t="inlineStr">
        <is>
          <t>中</t>
        </is>
      </c>
      <c r="G67" s="35" t="inlineStr">
        <is>
          <t>USDH合作6/3告終、Felix永續所6/22關閉，80萬枚HYPE需重新部署，加上幣價回軟，股價7/29低見2.34，由 6 月高位 $3.86（06-01）挫 39%。</t>
        </is>
      </c>
      <c r="H67" s="35" t="inlineStr">
        <is>
          <t>9/8上調全年調整後毛利指引至700萬至800萬美元，並啟動2000萬美元回購，指Q3核心業務可收支平衡；單日彈8.5%，翌日再升2.5%至3.67。</t>
        </is>
      </c>
      <c r="I67" s="34" t="n">
        <v>4</v>
      </c>
    </row>
    <row r="68" ht="46" customHeight="1">
      <c r="A68" s="34" t="n">
        <v>67</v>
      </c>
      <c r="B68" s="33" t="inlineStr">
        <is>
          <t>SWKS</t>
        </is>
      </c>
      <c r="C68" s="34" t="inlineStr">
        <is>
          <t>Skyworks Solutions Inc.</t>
        </is>
      </c>
      <c r="D68" s="34" t="inlineStr">
        <is>
          <t>併購</t>
        </is>
      </c>
      <c r="E68" s="35" t="inlineStr">
        <is>
          <t>7/28 Q3 EPS 1.08勝預期兼$20億回購 → 事件日只+2.0%</t>
        </is>
      </c>
      <c r="F68" s="34" t="inlineStr">
        <is>
          <t>高</t>
        </is>
      </c>
      <c r="G68" s="35" t="inlineStr">
        <is>
          <t>Apple為iPhone 17射頻雙源採購，削減公司內容20-25%，流動收入按年少逾3.8億美元；加上大行降級，7/14見底56.58。</t>
        </is>
      </c>
      <c r="H68" s="35" t="inlineStr">
        <is>
          <t>7/28 Q3 EPS 1.08美元勝預期，宣佈20億美元新回購；8/3 與Qorvo合併獲美國HSR反壟斷放行，數據中心帶動廣泛市場收入按年升8%。</t>
        </is>
      </c>
      <c r="I68" s="34" t="n">
        <v>5</v>
      </c>
    </row>
    <row r="69" ht="46" customHeight="1">
      <c r="A69" s="34" t="n">
        <v>68</v>
      </c>
      <c r="B69" s="33" t="inlineStr">
        <is>
          <t>OBIO</t>
        </is>
      </c>
      <c r="C69" s="34" t="inlineStr">
        <is>
          <t>Orchestra BioMed Holdings Inc.</t>
        </is>
      </c>
      <c r="D69" s="34" t="inlineStr">
        <is>
          <t>臨床</t>
        </is>
      </c>
      <c r="E69" s="35" t="inlineStr">
        <is>
          <t>8/10 Q2更新：BACKBEAT Q3內完成招募、現金$1.1億 → 8/11 Piper Sandler升目標價至$10</t>
        </is>
      </c>
      <c r="F69" s="34" t="inlineStr">
        <is>
          <t>中</t>
        </is>
      </c>
      <c r="G69" s="35" t="inlineStr">
        <is>
          <t>臨床期心血管器械公司零收入持續蝕錢、研發開支增令虧損擴大，微型股乏資金追捧，7月22日低見$3.63</t>
        </is>
      </c>
      <c r="H69" s="35" t="inlineStr">
        <is>
          <t>8/10 Q2更新：BACKBEAT可於Q3完成招募、27年Q2出數據，現金$1.1億；8/11 Piper Sandler升目標價至$10</t>
        </is>
      </c>
      <c r="I69" s="34" t="n">
        <v>4</v>
      </c>
    </row>
    <row r="70" ht="46" customHeight="1">
      <c r="A70" s="34" t="n">
        <v>69</v>
      </c>
      <c r="B70" s="33" t="inlineStr">
        <is>
          <t>NPK</t>
        </is>
      </c>
      <c r="C70" s="34" t="inlineStr">
        <is>
          <t>National Presto Industries Inc.</t>
        </is>
      </c>
      <c r="D70" s="34" t="inlineStr">
        <is>
          <t>業績</t>
        </is>
      </c>
      <c r="E70" s="35" t="inlineStr">
        <is>
          <t>7/31 Q2防務EPS飆207% → 翌日+11.1%</t>
        </is>
      </c>
      <c r="F70" s="34" t="inlineStr">
        <is>
          <t>高</t>
        </is>
      </c>
      <c r="G70" s="35" t="inlineStr">
        <is>
          <t>6月下旬起回吐，期內未查到明確重大利淡消息，7月20日收市見底120.83美元。</t>
        </is>
      </c>
      <c r="H70" s="35" t="inlineStr">
        <is>
          <t>7月31日公布Q2（季度截至7月5日）：銷售額1.466億美元按年增21.7%、每股盈利2.21美元按年飆206.9%，防務分部銷售增2,710萬美元或27.2%、經營溢利增33.5%，40毫米彈藥大單推動積壓訂單達18.4億美元；業績當日（7月31日）收市其實跌0.07%，翌日8月3日先收市升11.1%至134.91美元（傳媒報「業績後升6.5%」對唔上任何一個收市計法）；由公布日收市計到9月14日累升26.3%。9月14日收153.33美元，較7月20日升26.9%。</t>
        </is>
      </c>
      <c r="I70" s="34" t="n">
        <v>3</v>
      </c>
    </row>
    <row r="71" ht="46" customHeight="1">
      <c r="A71" s="34" t="n">
        <v>70</v>
      </c>
      <c r="B71" s="33" t="inlineStr">
        <is>
          <t>UNM</t>
        </is>
      </c>
      <c r="C71" s="34" t="inlineStr">
        <is>
          <t>Unum Group</t>
        </is>
      </c>
      <c r="D71" s="34" t="inlineStr">
        <is>
          <t>跟大市</t>
        </is>
      </c>
      <c r="E71" s="35" t="inlineStr">
        <is>
          <t>無個股催化，回購+資本回報撐反彈</t>
        </is>
      </c>
      <c r="F71" s="34" t="inlineStr">
        <is>
          <t>低</t>
        </is>
      </c>
      <c r="G71" s="35" t="inlineStr">
        <is>
          <t>7月28日公布Q2：GAAP每股盈利1.61美元（去年同期1.92美元）遜預期約17.5%，美國團體傷殘經營溢利跌17.4%至1.031億美元、賠付率升至65.8%，英國業務經營溢利更跌41.6%；翌日7月29日急挫約5.9%，收83.63美元。</t>
        </is>
      </c>
      <c r="H71" s="35" t="inlineStr">
        <is>
          <t>無單一大型催化：Q2內回購約2億美元股份、上半年資本回報約7.5億美元，9月9日管理層在KBW保險會議重申核心增長、資本生成強勁及持續降風險。9月14日收94.92美元，較7月29日升13.5%。</t>
        </is>
      </c>
      <c r="I71" s="34" t="n">
        <v>4</v>
      </c>
    </row>
    <row r="72" ht="46" customHeight="1">
      <c r="A72" s="34" t="n">
        <v>71</v>
      </c>
      <c r="B72" s="33" t="inlineStr">
        <is>
          <t>NTSK</t>
        </is>
      </c>
      <c r="C72" s="34" t="inlineStr">
        <is>
          <t>Netskope Inc. Class A</t>
        </is>
      </c>
      <c r="D72" s="34" t="inlineStr">
        <is>
          <t>評級</t>
        </is>
      </c>
      <c r="E72" s="35" t="inlineStr">
        <is>
          <t>7/31膺Gartner SASE領導者、大行齊升目標價</t>
        </is>
      </c>
      <c r="F72" s="34" t="inlineStr">
        <is>
          <t>中</t>
        </is>
      </c>
      <c r="G72" s="35" t="inlineStr">
        <is>
          <t>7月下旬單日瀉9.45%，市場憂雲端安全競爭加劇；Q2經營利潤率指引負14%至負15%，現金流仍負。</t>
        </is>
      </c>
      <c r="H72" s="35" t="inlineStr">
        <is>
          <t>大行連環上調目標價、7月31日膺Gartner SASE領導者、8月4日推AI數據安全新品，自6月中累升75%。</t>
        </is>
      </c>
      <c r="I72" s="34" t="n">
        <v>4</v>
      </c>
    </row>
    <row r="73" ht="46" customHeight="1">
      <c r="A73" s="34" t="n">
        <v>72</v>
      </c>
      <c r="B73" s="33" t="inlineStr">
        <is>
          <t>OESX</t>
        </is>
      </c>
      <c r="C73" s="34" t="inlineStr">
        <is>
          <t>Orion Energy Systems Inc.</t>
        </is>
      </c>
      <c r="D73" s="34" t="inlineStr">
        <is>
          <t>業績</t>
        </is>
      </c>
      <c r="E73" s="35" t="inlineStr">
        <is>
          <t>8/5 FY27 Q1 EPS $0.47勝預期$0.14、收入增32% → 單日急升54%</t>
        </is>
      </c>
      <c r="F73" s="34" t="inlineStr">
        <is>
          <t>高</t>
        </is>
      </c>
      <c r="G73" s="35" t="inlineStr">
        <is>
          <t>FY26 Q4每股僅$0.04遜預期$0.14、全年收入$8,600萬，微型股乏人問津，7月29日低見$9.60</t>
        </is>
      </c>
      <c r="H73" s="35" t="inlineStr">
        <is>
          <t>8/5 FY27 Q1爆數：每股$0.47遠勝預期$0.14、收入$2,574萬增32%（LED升37%、EV充電升48%），單日急升54%</t>
        </is>
      </c>
      <c r="I73" s="34" t="n">
        <v>4</v>
      </c>
    </row>
    <row r="74" ht="46" customHeight="1">
      <c r="A74" s="34" t="n">
        <v>73</v>
      </c>
      <c r="B74" s="33" t="inlineStr">
        <is>
          <t>NOW</t>
        </is>
      </c>
      <c r="C74" s="34" t="inlineStr">
        <is>
          <t>ServiceNow Inc.</t>
        </is>
      </c>
      <c r="D74" s="34" t="inlineStr">
        <is>
          <t>AI</t>
        </is>
      </c>
      <c r="E74" s="42" t="inlineStr">
        <is>
          <t>7/22 Q2 EPS超預期18%、AI年合約值破$10億 → 兩日後抽7.4%</t>
        </is>
      </c>
      <c r="F74" s="34" t="inlineStr">
        <is>
          <t>高</t>
        </is>
      </c>
      <c r="G74" s="35" t="inlineStr">
        <is>
          <t>7月22-23日科技股急挫，市場怕4月「利潤率失守」重演而減磅，7月23日低見91.94美元。</t>
        </is>
      </c>
      <c r="H74" s="35" t="inlineStr">
        <is>
          <t>7月22日Q2 EPS超預期18%、AI年合約值破$10億，翌日先跌3.7%見底、再翌日抽7.4%；8月27日Salesforce勁績再飆9%。</t>
        </is>
      </c>
      <c r="I74" s="34" t="n">
        <v>4</v>
      </c>
    </row>
    <row r="75" ht="46" customHeight="1">
      <c r="A75" s="34" t="n">
        <v>74</v>
      </c>
      <c r="B75" s="33" t="inlineStr">
        <is>
          <t>SPT</t>
        </is>
      </c>
      <c r="C75" s="34" t="inlineStr">
        <is>
          <t>Sprout Social Inc Class A</t>
        </is>
      </c>
      <c r="D75" s="34" t="inlineStr">
        <is>
          <t>業績</t>
        </is>
      </c>
      <c r="E75" s="42" t="inlineStr">
        <is>
          <t>8/6 Q2績後上調全年營運利潤指引20%、裁員20%慳$5,000萬 → 翌日單日+26.3%</t>
        </is>
      </c>
      <c r="F75" s="34" t="inlineStr">
        <is>
          <t>高</t>
        </is>
      </c>
      <c r="G75" s="35" t="inlineStr">
        <is>
          <t>收入增速跌至單位數、NDR轉弱，全年收入指引遜市場預期，被降級兼憂AI顛覆社媒管理SaaS，7月23日低見$7.32</t>
        </is>
      </c>
      <c r="H75" s="35" t="inlineStr">
        <is>
          <t>8/6 Q2收入$1.238億增11%、營運利潤率升至12.9%，上調全年利潤指引20%兼裁員20%，翌日+26.3%</t>
        </is>
      </c>
      <c r="I75" s="34" t="n">
        <v>4</v>
      </c>
    </row>
    <row r="76" ht="46" customHeight="1">
      <c r="A76" s="34" t="n">
        <v>75</v>
      </c>
      <c r="B76" s="33" t="inlineStr">
        <is>
          <t>AESI</t>
        </is>
      </c>
      <c r="C76" s="34" t="inlineStr">
        <is>
          <t>Atlas Energy Solutions Inc.</t>
        </is>
      </c>
      <c r="D76" s="34" t="inlineStr">
        <is>
          <t>無</t>
        </is>
      </c>
      <c r="E76" s="35" t="inlineStr">
        <is>
          <t>無個股催化 · 隨大市／板塊回升</t>
        </is>
      </c>
      <c r="F76" s="34" t="inlineStr">
        <is>
          <t>中</t>
        </is>
      </c>
      <c r="G76" s="35" t="inlineStr">
        <is>
          <t>7/27油價急插（布油-8.7%至88.36美元）拖冧能源股，加上砂價弱、電力業務大額資本開支，AESI 7/29見10.18美元底。</t>
        </is>
      </c>
      <c r="H76" s="35" t="inlineStr">
        <is>
          <t>8/3盤後Q2收入2.932億美元勝預期但仍蝕2510萬，8/5再跌至10.67美元；升勢主要靠油價反彈同AI私有電力主題，8/14單日升5.6%。</t>
        </is>
      </c>
      <c r="I76" s="34" t="n">
        <v>5</v>
      </c>
    </row>
    <row r="77" ht="46" customHeight="1">
      <c r="A77" s="34" t="n">
        <v>76</v>
      </c>
      <c r="B77" s="33" t="inlineStr">
        <is>
          <t>CYPH</t>
        </is>
      </c>
      <c r="C77" s="34" t="inlineStr">
        <is>
          <t>Cypherpunk Technologies Inc.</t>
        </is>
      </c>
      <c r="D77" s="34" t="inlineStr">
        <is>
          <t>評級</t>
        </is>
      </c>
      <c r="E77" s="35" t="inlineStr">
        <is>
          <t>8/19 Cantor升目標價 → 單日+32.9%</t>
        </is>
      </c>
      <c r="F77" s="34" t="inlineStr">
        <is>
          <t>中</t>
        </is>
      </c>
      <c r="G77" s="35" t="inlineStr">
        <is>
          <t>6/5 Zcash披露Orchard偽造漏洞，股價單日插47%；跌至7/31的0.5906，較5/21高位1.31低55%。</t>
        </is>
      </c>
      <c r="H77" s="35" t="inlineStr">
        <is>
          <t>8/18啟動Zcash礦機艦隊、8/19 Cantor上調目標價至1.60，兩日+14.2%及+32.9%；9/3 ZEC逼近1,000美元，單日+35.1%。</t>
        </is>
      </c>
      <c r="I77" s="34" t="n">
        <v>4</v>
      </c>
    </row>
    <row r="78" ht="46" customHeight="1">
      <c r="A78" s="34" t="n">
        <v>77</v>
      </c>
      <c r="B78" s="33" t="inlineStr">
        <is>
          <t>FEIM</t>
        </is>
      </c>
      <c r="C78" s="34" t="inlineStr">
        <is>
          <t>Frequency Electronics Inc.</t>
        </is>
      </c>
      <c r="D78" s="34" t="inlineStr">
        <is>
          <t>業績</t>
        </is>
      </c>
      <c r="E78" s="42" t="inlineStr">
        <is>
          <t>9/10收市後Q1收入+70% → 翌日+42.4%</t>
        </is>
      </c>
      <c r="F78" s="34" t="inlineStr">
        <is>
          <t>中</t>
        </is>
      </c>
      <c r="G78" s="35" t="inlineStr">
        <is>
          <t>由6/11高位77.15連跌至7/13的54.50（-29.4%），為5–6月急升後回吐，期內無公司重大利淡消息。</t>
        </is>
      </c>
      <c r="H78" s="35" t="inlineStr">
        <is>
          <t>7/17及7/21分別急升17.4%、19.7%但無公開消息對應；9/10收市後公布Q1 FY27收入紀錄2,350萬美元(+70%)、訂單創新高。</t>
        </is>
      </c>
      <c r="I78" s="34" t="n">
        <v>3</v>
      </c>
    </row>
    <row r="79" ht="46" customHeight="1">
      <c r="A79" s="34" t="n">
        <v>78</v>
      </c>
      <c r="B79" s="33" t="inlineStr">
        <is>
          <t>PEGA</t>
        </is>
      </c>
      <c r="C79" s="34" t="inlineStr">
        <is>
          <t>Pegasystems Inc.</t>
        </is>
      </c>
      <c r="D79" s="34" t="inlineStr">
        <is>
          <t>跟大市</t>
        </is>
      </c>
      <c r="E79" s="35" t="inlineStr">
        <is>
          <t>無個股催化：7/22 Q2遜預期插16.0%後靠軟件股輪動</t>
        </is>
      </c>
      <c r="F79" s="34" t="inlineStr">
        <is>
          <t>中</t>
        </is>
      </c>
      <c r="G79" s="35" t="inlineStr">
        <is>
          <t>7月22日公布Q2，經調整EPS 0.35美元遜預期0.43美元、收入4.207億美元遜4.274億美元，ACV 16.2億美元（升7%）低過預期16.58億美元，管理層指「AI市場空前變化」令企業客戶押後落單；股價由前收30.94美元跌約16%至25.99美元（盤中低見25.10美元），Citizens降級至Market Perform。</t>
        </is>
      </c>
      <c r="H79" s="35" t="inlineStr">
        <is>
          <t>搵唔到單一個股大催化：8月6日獲Forrester Wave AI Platforms Q3 2026列為領導者、8月19日公布與Gryphon合作及新AI工具當日升3.7%、9月1日德國DKB落地AI方案；主升浪來自9月14日資金由AI硬件輪入企業軟件／SaaS（同日UiPath升7.1%、Guidewire升7.5%），PEGA 9月14日收36.24美元，9月16日收36.84美元。</t>
        </is>
      </c>
      <c r="I79" s="34" t="n">
        <v>5</v>
      </c>
    </row>
    <row r="80" ht="46" customHeight="1">
      <c r="A80" s="34" t="n">
        <v>79</v>
      </c>
      <c r="B80" s="33" t="inlineStr">
        <is>
          <t>CTKB</t>
        </is>
      </c>
      <c r="C80" s="34" t="inlineStr">
        <is>
          <t>Cytek Biosciences Inc.</t>
        </is>
      </c>
      <c r="D80" s="34" t="inlineStr">
        <is>
          <t>無</t>
        </is>
      </c>
      <c r="E80" s="35" t="inlineStr">
        <is>
          <t>無個股催化 · 隨生命科學工具板塊回升</t>
        </is>
      </c>
      <c r="F80" s="34" t="inlineStr">
        <is>
          <t>低</t>
        </is>
      </c>
      <c r="G80" s="35" t="inlineStr">
        <is>
          <t>學術及生物製藥客戶資本開支收緊，Q2淨虧擴大至$1,220萬、調整EBITDA轉蝕，8月6日績後低見$4.16</t>
        </is>
      </c>
      <c r="H80" s="35" t="inlineStr">
        <is>
          <t>無明確個股催化：8/5上調全年收入指引下限、9/9與Sysmex Europe合作屬背景，最大升幅日均無公告，主要跟板塊回暖</t>
        </is>
      </c>
      <c r="I80" s="34" t="n">
        <v>4</v>
      </c>
    </row>
    <row r="81" ht="46" customHeight="1">
      <c r="A81" s="34" t="n">
        <v>80</v>
      </c>
      <c r="B81" s="33" t="inlineStr">
        <is>
          <t>EFSI</t>
        </is>
      </c>
      <c r="C81" s="34" t="inlineStr">
        <is>
          <t>Eagle Financial Services Inc</t>
        </is>
      </c>
      <c r="D81" s="34" t="inlineStr">
        <is>
          <t>併購</t>
        </is>
      </c>
      <c r="E81" s="35" t="inlineStr">
        <is>
          <t>9/8 全股票被併購（2股JMSB）→ 單日+10.4%</t>
        </is>
      </c>
      <c r="F81" s="34" t="inlineStr">
        <is>
          <t>高</t>
        </is>
      </c>
      <c r="G81" s="35" t="inlineStr">
        <is>
          <t>7/23公布Q2業績，不良資產由上季1,470萬美元升至約1,640萬美元（佔貸款1.10%）、撥備開支增至320萬美元，另有一筆360萬美元多戶住宅貸款轉入非應計，信貸憂慮壓過淨息差由3.63%擴至3.86%嘅好消息，股價7/27收市跌至40.14美元見底。</t>
        </is>
      </c>
      <c r="H81" s="35" t="inlineStr">
        <is>
          <t>9/8 John Marshall Bancorp（JMSB）宣布全股票合併EFSI：每股EFSI換2.0股JMSB，按JMSB 9/4收市23.36美元計等於每股46.72美元、總代價約2.53億美元，較EFSI 9/4收市41.90美元溢價11.5%；股價即被作價「釘住」，9/11 JMSB收23.05，即作價值跌至每股46.10，EFSI收45.52（低過作價1.27%），升幅屬併購套戥而唔係基本面趨勢。預計2027年首季完成，需監管及股東批准。</t>
        </is>
      </c>
      <c r="I81" s="34" t="n">
        <v>5</v>
      </c>
    </row>
    <row r="82" ht="46" customHeight="1">
      <c r="A82" s="34" t="n">
        <v>81</v>
      </c>
      <c r="B82" s="33" t="inlineStr">
        <is>
          <t>AGM</t>
        </is>
      </c>
      <c r="C82" s="34" t="inlineStr">
        <is>
          <t>Federal Agricultural Mortgage Corporation</t>
        </is>
      </c>
      <c r="D82" s="34" t="inlineStr">
        <is>
          <t>業績</t>
        </is>
      </c>
      <c r="E82" s="35" t="inlineStr">
        <is>
          <t>7/30 Q2核心盈利創新高 → 翌日+3.3%</t>
        </is>
      </c>
      <c r="F82" s="34" t="inlineStr">
        <is>
          <t>高</t>
        </is>
      </c>
      <c r="G82" s="35" t="inlineStr">
        <is>
          <t>由7/1收市203.11回落至7/15的196.09（-3.5%），屬窄幅回吐，無公司特定利淡消息。</t>
        </is>
      </c>
      <c r="H82" s="35" t="inlineStr">
        <is>
          <t>7/30收市後公布Q2核心盈利創紀錄5,880萬美元、每股5.40美元（+24%），翌日(7/31)單日+3.3%，8/4見高241.74。</t>
        </is>
      </c>
      <c r="I82" s="34" t="n">
        <v>3</v>
      </c>
    </row>
    <row r="83" ht="46" customHeight="1">
      <c r="A83" s="34" t="n">
        <v>82</v>
      </c>
      <c r="B83" s="33" t="inlineStr">
        <is>
          <t>ABTC</t>
        </is>
      </c>
      <c r="C83" s="34" t="inlineStr">
        <is>
          <t>American Bitcoin Corp. Class A</t>
        </is>
      </c>
      <c r="D83" s="34" t="inlineStr">
        <is>
          <t>評級</t>
        </is>
      </c>
      <c r="E83" s="35" t="inlineStr">
        <is>
          <t>9/16 BTIG首予買入、目標價$15 → 翌日單日+8.5%</t>
        </is>
      </c>
      <c r="F83" s="34" t="inlineStr">
        <is>
          <t>高</t>
        </is>
      </c>
      <c r="G83" s="35" t="inlineStr">
        <is>
          <t>幣價回落令Q1收入跌20.7%至$6,210萬、淨虧$8,200萬，ATM增發攤薄兼股價低於NAV，7月29日低見$5.19</t>
        </is>
      </c>
      <c r="H83" s="35" t="inlineStr">
        <is>
          <t>8月比特幣單月升24.9%（今年最強月、ETF淨流入$35.2億）帶動礦企；9/16 BTIG首予買入、目標價$15，翌日單日+8.5%</t>
        </is>
      </c>
      <c r="I83" s="34" t="n">
        <v>4</v>
      </c>
    </row>
    <row r="84" ht="46" customHeight="1">
      <c r="A84" s="34" t="n">
        <v>83</v>
      </c>
      <c r="B84" s="33" t="inlineStr">
        <is>
          <t>CRVL</t>
        </is>
      </c>
      <c r="C84" s="34" t="inlineStr">
        <is>
          <t>CorVel Corp.</t>
        </is>
      </c>
      <c r="D84" s="34" t="inlineStr">
        <is>
          <t>業績</t>
        </is>
      </c>
      <c r="E84" s="35" t="inlineStr">
        <is>
          <t>8/5 季度收入2.6億、EPS 0.63勝0.52 → 單日+5.9%</t>
        </is>
      </c>
      <c r="F84" s="34" t="inlineStr">
        <is>
          <t>中</t>
        </is>
      </c>
      <c r="G84" s="35" t="inlineStr">
        <is>
          <t>增長放緩兼業界逆風，一年跌35%，分析師降評兼CEO減持，7月22日見底$59</t>
        </is>
      </c>
      <c r="H84" s="35" t="inlineStr">
        <is>
          <t>8月4日Q1收入升11%、EPS升22%，新客銷售升逾60%、索償量升8%，股價單日升5.9%</t>
        </is>
      </c>
      <c r="I84" s="34" t="n">
        <v>4</v>
      </c>
    </row>
    <row r="85" ht="46" customHeight="1">
      <c r="A85" s="34" t="n">
        <v>84</v>
      </c>
      <c r="B85" s="33" t="inlineStr">
        <is>
          <t>NWSA</t>
        </is>
      </c>
      <c r="C85" s="34" t="inlineStr">
        <is>
          <t>News Corporation Class A</t>
        </is>
      </c>
      <c r="D85" s="34" t="inlineStr">
        <is>
          <t>業績</t>
        </is>
      </c>
      <c r="E85" s="35" t="inlineStr">
        <is>
          <t>8/5 Q4分部EBITDA創紀錄飆31%、回購加碼至$6.43億 → 股價回升</t>
        </is>
      </c>
      <c r="F85" s="34" t="inlineStr">
        <is>
          <t>中</t>
        </is>
      </c>
      <c r="G85" s="35" t="inlineStr">
        <is>
          <t>Google AI摘要令出版商搜尋轉介流量按年大跌（部分媒體逾40%），加上6月大市回調，6月30日見底24.83美元。</t>
        </is>
      </c>
      <c r="H85" s="35" t="inlineStr">
        <is>
          <t>8月5日Q4收入增11%、分部EBITDA 4.23億美元創紀錄兼飆31%，回購加碼至6.43億美元（去年逾4倍）。</t>
        </is>
      </c>
      <c r="I85" s="34" t="n">
        <v>7</v>
      </c>
    </row>
    <row r="86" ht="46" customHeight="1">
      <c r="A86" s="34" t="n">
        <v>85</v>
      </c>
      <c r="B86" s="33" t="inlineStr">
        <is>
          <t>APPF</t>
        </is>
      </c>
      <c r="C86" s="34" t="inlineStr">
        <is>
          <t>AppFolio Inc. Class A</t>
        </is>
      </c>
      <c r="D86" s="34" t="inlineStr">
        <is>
          <t>業績</t>
        </is>
      </c>
      <c r="E86" s="35" t="inlineStr">
        <is>
          <t>7/23 Q2收入增19%、TTM首破10億美元兼上調全年指引 → 扭轉七月跌勢</t>
        </is>
      </c>
      <c r="F86" s="34" t="inlineStr">
        <is>
          <t>中</t>
        </is>
      </c>
      <c r="G86" s="35" t="inlineStr">
        <is>
          <t>軟件股殺估值兼憂AI顛覆垂直SaaS，年初至今曾挫約29%，7月21日單日跌6.3%，7月22日低見$162.21</t>
        </is>
      </c>
      <c r="H86" s="35" t="inlineStr">
        <is>
          <t>7/23 Q2收入$2.81億增19%、TTM收入首破10億美元並上調全年指引；8/14宣布以AWS為首選雲夥伴</t>
        </is>
      </c>
      <c r="I86" s="34" t="n">
        <v>4</v>
      </c>
    </row>
    <row r="87" ht="46" customHeight="1">
      <c r="A87" s="34" t="n">
        <v>86</v>
      </c>
      <c r="B87" s="33" t="inlineStr">
        <is>
          <t>CTSH</t>
        </is>
      </c>
      <c r="C87" s="34" t="inlineStr">
        <is>
          <t>Cognizant Technology Solutions Corporation Class A</t>
        </is>
      </c>
      <c r="D87" s="34" t="inlineStr">
        <is>
          <t>業績</t>
        </is>
      </c>
      <c r="E87" s="35" t="inlineStr">
        <is>
          <t>7/29 Q2收入$55億升4.1%、上調EPS指引 → 大行齊升目標價</t>
        </is>
      </c>
      <c r="F87" s="34" t="inlineStr">
        <is>
          <t>高</t>
        </is>
      </c>
      <c r="G87" s="35" t="inlineStr">
        <is>
          <t>6月18日Accenture削指引拖累板塊，急跌約11%，再遭剔出納指100兼降級，6月30日見底。</t>
        </is>
      </c>
      <c r="H87" s="35" t="inlineStr">
        <is>
          <t>7月29日Q2勝預期：收入$55億增4.1%，上調全年EPS指引，多間大行升目標價。</t>
        </is>
      </c>
      <c r="I87" s="34" t="n">
        <v>5</v>
      </c>
    </row>
    <row r="88" ht="46" customHeight="1">
      <c r="A88" s="34" t="n">
        <v>87</v>
      </c>
      <c r="B88" s="33" t="inlineStr">
        <is>
          <t>ITIC</t>
        </is>
      </c>
      <c r="C88" s="34" t="inlineStr">
        <is>
          <t>Investors Title Company</t>
        </is>
      </c>
      <c r="D88" s="34" t="inlineStr">
        <is>
          <t>業績</t>
        </is>
      </c>
      <c r="E88" s="35" t="inlineStr">
        <is>
          <t>8/6 Q2收入升17.5%勝預期 → 股價回升</t>
        </is>
      </c>
      <c r="F88" s="34" t="inlineStr">
        <is>
          <t>中</t>
        </is>
      </c>
      <c r="G88" s="35" t="inlineStr">
        <is>
          <t>冇公司壞消息，成交疏落嘅小型產權保險股跟大市6至7月高估值回調，7月9日跌至$272.37。</t>
        </is>
      </c>
      <c r="H88" s="35" t="inlineStr">
        <is>
          <t>8月6日Q2每股$7.73（去年$6.48）、收入增17.5%至$8,650萬，受惠樓市成交回暖同業務擴張。</t>
        </is>
      </c>
      <c r="I88" s="34" t="n">
        <v>3</v>
      </c>
    </row>
    <row r="89" ht="46" customHeight="1">
      <c r="A89" s="34" t="n">
        <v>88</v>
      </c>
      <c r="B89" s="33" t="inlineStr">
        <is>
          <t>IESC</t>
        </is>
      </c>
      <c r="C89" s="34" t="inlineStr">
        <is>
          <t>IES Holdings Inc.</t>
        </is>
      </c>
      <c r="D89" s="34" t="inlineStr">
        <is>
          <t>業績</t>
        </is>
      </c>
      <c r="E89" s="35" t="inlineStr">
        <is>
          <t>7/31 Q3收入增40%、調整EPS $6.70勝預期39%兼1拆2 → 單日+30.3%</t>
        </is>
      </c>
      <c r="F89" s="34" t="inlineStr">
        <is>
          <t>高</t>
        </is>
      </c>
      <c r="G89" s="35" t="inlineStr">
        <is>
          <t>7/2上架註冊帶攤薄陰影、三個月高層減持$1.465億，估值高招回吐，一個月挫19.6%至7/29低見$248.11</t>
        </is>
      </c>
      <c r="H89" s="35" t="inlineStr">
        <is>
          <t>7/31 Q3收入$12.43億增40%、調整EPS $6.70勝預期39%，在手訂單$45億兼1拆2，單日+30.3%</t>
        </is>
      </c>
      <c r="I89" s="34" t="n">
        <v>4</v>
      </c>
    </row>
    <row r="90" ht="46" customHeight="1">
      <c r="A90" s="34" t="n">
        <v>89</v>
      </c>
      <c r="B90" s="33" t="inlineStr">
        <is>
          <t>NKTX</t>
        </is>
      </c>
      <c r="C90" s="34" t="inlineStr">
        <is>
          <t>Nkarta Inc.</t>
        </is>
      </c>
      <c r="D90" s="34" t="inlineStr">
        <is>
          <t>監管</t>
        </is>
      </c>
      <c r="E90" s="35" t="inlineStr">
        <is>
          <t>8/10 FDA准門診給藥 → 生技反彈帶動</t>
        </is>
      </c>
      <c r="F90" s="34" t="inlineStr">
        <is>
          <t>中</t>
        </is>
      </c>
      <c r="G90" s="35" t="inlineStr">
        <is>
          <t>臨床未見突破，8月券商接連削目標價至$14及$10，7月31日低見$2.09。</t>
        </is>
      </c>
      <c r="H90" s="35" t="inlineStr">
        <is>
          <t>8月10日Q2現金$2.432億、跑道到2029年，NKX019獲FDA同意門診給藥，瑞穗維持買入，生技板塊反彈帶動。</t>
        </is>
      </c>
      <c r="I90" s="34" t="n">
        <v>3</v>
      </c>
    </row>
  </sheetData>
  <autoFilter ref="A1:I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2026-09-18T04:02:14Z</dcterms:created>
  <dcterms:modified xmlns:dcterms="http://purl.org/dc/terms/" xmlns:xsi="http://www.w3.org/2001/XMLSchema-instance" xsi:type="dcterms:W3CDTF">2026-09-18T04:02:14Z</dcterms:modified>
</cp:coreProperties>
</file>