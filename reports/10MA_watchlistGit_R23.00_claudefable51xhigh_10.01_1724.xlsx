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本版更新" sheetId="1" state="visible" r:id="rId1"/>
    <sheet name="總表" sheetId="2" state="visible" r:id="rId2"/>
    <sheet name="大型股" sheetId="3" state="visible" r:id="rId3"/>
    <sheet name="中型股" sheetId="4" state="visible" r:id="rId4"/>
    <sheet name="小型股" sheetId="5" state="visible" r:id="rId5"/>
    <sheet name="篩選規則" sheetId="6" state="visible" r:id="rId6"/>
    <sheet name="敏感度" sheetId="7" state="visible" r:id="rId7"/>
    <sheet name="差一項" sheetId="8" state="visible" r:id="rId8"/>
    <sheet name="20MA回調池" sheetId="9" state="visible" r:id="rId9"/>
    <sheet name="熱錢板塊" sheetId="10" state="visible" r:id="rId10"/>
    <sheet name="同R22對照" sheetId="11" state="visible" r:id="rId11"/>
    <sheet name="R22向前測試" sheetId="12" state="visible" r:id="rId12"/>
    <sheet name="同上日對照" sheetId="13" state="visible" r:id="rId13"/>
    <sheet name="審視標記" sheetId="14" state="visible" r:id="rId14"/>
    <sheet name="數據核對" sheetId="15" state="visible" r:id="rId15"/>
    <sheet name="市況" sheetId="16" state="visible" r:id="rId16"/>
    <sheet name="催化劑同研究" sheetId="17" state="visible" r:id="rId17"/>
  </sheets>
  <definedNames>
    <definedName name="_xlnm._FilterDatabase" localSheetId="1" hidden="1">'總表'!$A$1:$BP$23</definedName>
    <definedName name="_xlnm._FilterDatabase" localSheetId="2" hidden="1">'大型股'!$A$3:$W$4</definedName>
    <definedName name="_xlnm._FilterDatabase" localSheetId="3" hidden="1">'中型股'!$A$3:$W$11</definedName>
    <definedName name="_xlnm._FilterDatabase" localSheetId="4" hidden="1">'小型股'!$A$3:$W$16</definedName>
    <definedName name="_xlnm._FilterDatabase" localSheetId="6" hidden="1">'敏感度'!$A$3:$F$3</definedName>
    <definedName name="_xlnm._FilterDatabase" localSheetId="7" hidden="1">'差一項'!$A$3:$G$3</definedName>
    <definedName name="_xlnm._FilterDatabase" localSheetId="8" hidden="1">'20MA回調池'!$A$3:$K$3</definedName>
    <definedName name="_xlnm._FilterDatabase" localSheetId="9" hidden="1">'熱錢板塊'!$A$19:$V$222</definedName>
    <definedName name="_xlnm._FilterDatabase" localSheetId="10" hidden="1">'同R22對照'!$A$3:$E$3</definedName>
    <definedName name="_xlnm._FilterDatabase" localSheetId="11" hidden="1">'R22向前測試'!$A$9:$K$30</definedName>
    <definedName name="_xlnm._FilterDatabase" localSheetId="12" hidden="1">'同上日對照'!$A$3:$E$3</definedName>
    <definedName name="_xlnm._FilterDatabase" localSheetId="13" hidden="1">'審視標記'!$A$3:$E$3</definedName>
    <definedName name="_xlnm._FilterDatabase" localSheetId="14" hidden="1">'數據核對'!$A$11:$G$11</definedName>
    <definedName name="_xlnm._FilterDatabase" localSheetId="16" hidden="1">'催化劑同研究'!$A$3:$J$3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##"/>
    <numFmt numFmtId="165" formatCode="0.0%"/>
    <numFmt numFmtId="166" formatCode="0.0"/>
    <numFmt numFmtId="167" formatCode="$#,##0"/>
    <numFmt numFmtId="168" formatCode="0.00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0563C1"/>
      <sz val="10"/>
      <u val="single"/>
    </font>
    <font>
      <name val="Arial"/>
      <color rgb="000000FF"/>
      <sz val="10"/>
    </font>
    <font>
      <name val="Arial"/>
      <b val="1"/>
      <color rgb="001F3864"/>
      <sz val="14"/>
    </font>
    <font>
      <name val="Arial"/>
      <color rgb="000563C1"/>
      <sz val="9"/>
      <u val="single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6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1" fontId="2" fillId="0" borderId="1" pivotButton="0" quotePrefix="0" xfId="0"/>
    <xf numFmtId="1" fontId="3" fillId="0" borderId="1" pivotButton="0" quotePrefix="0" xfId="0"/>
    <xf numFmtId="0" fontId="4" fillId="3" borderId="1" pivotButton="0" quotePrefix="0" xfId="0"/>
    <xf numFmtId="0" fontId="3" fillId="4" borderId="1" pivotButton="0" quotePrefix="0" xfId="0"/>
    <xf numFmtId="2" fontId="5" fillId="0" borderId="1" pivotButton="0" quotePrefix="0" xfId="0"/>
    <xf numFmtId="164" fontId="5" fillId="0" borderId="1" pivotButton="0" quotePrefix="0" xfId="0"/>
    <xf numFmtId="10" fontId="3" fillId="0" borderId="1" pivotButton="0" quotePrefix="0" xfId="0"/>
    <xf numFmtId="1" fontId="5" fillId="0" borderId="1" pivotButton="0" quotePrefix="0" xfId="0"/>
    <xf numFmtId="165" fontId="3" fillId="0" borderId="1" pivotButton="0" quotePrefix="0" xfId="0"/>
    <xf numFmtId="9" fontId="5" fillId="0" borderId="1" pivotButton="0" quotePrefix="0" xfId="0"/>
    <xf numFmtId="165" fontId="5" fillId="0" borderId="1" pivotButton="0" quotePrefix="0" xfId="0"/>
    <xf numFmtId="10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2" fontId="3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3" fillId="3" borderId="1" applyAlignment="1" pivotButton="0" quotePrefix="0" xfId="0">
      <alignment vertical="top" wrapText="1"/>
    </xf>
    <xf numFmtId="168" fontId="5" fillId="0" borderId="1" pivotButton="0" quotePrefix="0" xfId="0"/>
    <xf numFmtId="1" fontId="2" fillId="5" borderId="1" pivotButton="0" quotePrefix="0" xfId="0"/>
    <xf numFmtId="1" fontId="3" fillId="5" borderId="1" pivotButton="0" quotePrefix="0" xfId="0"/>
    <xf numFmtId="0" fontId="4" fillId="5" borderId="1" pivotButton="0" quotePrefix="0" xfId="0"/>
    <xf numFmtId="0" fontId="4" fillId="0" borderId="1" pivotButton="0" quotePrefix="0" xfId="0"/>
    <xf numFmtId="164" fontId="3" fillId="0" borderId="1" pivotButton="0" quotePrefix="0" xfId="0"/>
    <xf numFmtId="0" fontId="2" fillId="0" borderId="1" pivotButton="0" quotePrefix="0" xfId="0"/>
    <xf numFmtId="3" fontId="3" fillId="0" borderId="1" pivotButton="0" quotePrefix="0" xfId="0"/>
    <xf numFmtId="0" fontId="4" fillId="4" borderId="1" pivotButton="0" quotePrefix="0" xfId="0"/>
    <xf numFmtId="0" fontId="2" fillId="0" borderId="1" applyAlignment="1" pivotButton="0" quotePrefix="0" xfId="0">
      <alignment vertical="top" wrapText="1"/>
    </xf>
    <xf numFmtId="0" fontId="1" fillId="2" borderId="1" pivotButton="0" quotePrefix="0" xfId="0"/>
    <xf numFmtId="3" fontId="5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watchlist</author>
  </authors>
  <commentList>
    <comment ref="AD2" authorId="0" shapeId="0">
      <text>
        <t>09-14 收市後公佈 FY26 Q4 業績勝預期，09-15 Citizens 由 Market Perform 升至 Outperform（目標 $10）→ 當日 +19.5%（媒體報 +20.8%），創歷史收市新高 $9.81。</t>
      </text>
    </comment>
    <comment ref="AD3" authorId="0" shapeId="0">
      <text>
        <t>09-09 公佈同 Independence Realty Trust（IRT）全換股合併：每股 CSR 換 3.800 股 IRT，交易值 $81 億，CSR 股東將持合併後約 22% → 當日跳空 +9.7% 開、收 +8.8%。</t>
      </text>
    </comment>
    <comment ref="AD4" authorId="0" shapeId="0">
      <text>
        <t>09-03 宣布中標收購 Century Financial Services 控股權；09-04 Piper Sandler 給予買入評級 → 當日 +9.5%。</t>
      </text>
    </comment>
    <comment ref="AD5" authorId="0" shapeId="0">
      <text>
        <t>05-28 公佈轉向 AI 基建產品線後股價創 52 周新高（年內已倍升）；分析員認為升幅超出基本面。</t>
      </text>
    </comment>
    <comment ref="AD6" authorId="0" shapeId="0">
      <text>
        <t>09-10 公佈年省 $6,000–8,000 萬成本計劃、2027 年起非 GAAP 營運利潤率 ≥20%、$5,000 萬回購、上調營運利潤指引 → 當日 +18.5%（媒體 +8% 至 +24% 不等）。</t>
      </text>
    </comment>
    <comment ref="AD7" authorId="0" shapeId="0">
      <text>
        <t>08-13 Q2：YARTEMLEA 上市後收入按季 +190%（淨收入 $2,850 萬 vs 預期 $1,300 萬），EPS $0.02 vs 預期 −$0.27 → 當日 +26.5%（媒體 +15% 至 +17%）。另有報道指同 Novo Nordisk 達成 $21 億協議，日期未核實。</t>
      </text>
    </comment>
    <comment ref="AD8" authorId="0" shapeId="0">
      <text>
        <t>08-14 同 CSL Plasma 簽署 NexSys PCS 血漿採集設備供應協議（規模同時間表未定）→ 08-18 +15.9%（媒體 +9%）。業績本身喺 08-06。</t>
      </text>
    </comment>
    <comment ref="AD9" authorId="0" shapeId="0">
      <text>
        <t>比特幣庫存公司（持 &gt;20,000 BTC）：08-21 Benchmark 重申買入（目標 $32）、Point72 新持倉、08-17–21 再買 1,110 BTC → +13%。股價基本上跟比特幣走。</t>
      </text>
    </comment>
    <comment ref="AD10" authorId="0" shapeId="0">
      <text>
        <t>09-18 SEC 推出代幣化股票五年豁免，加密板塊齊升，GEMI +31.2%；但過去 12 個月跌 76%，升浪係低位反彈。</t>
      </text>
    </comment>
    <comment ref="AD11" authorId="0" shapeId="0">
      <text>
        <t>05-28 WSJ 報道特朗普政府考慮資助美國無人機公司，市場估 UMAC 入圍（Donald Trump Jr. 係顧問）→ 當日 +57%；之後 05-14 業績後嘅沽壓逆轉。消息係傳聞性質。</t>
      </text>
    </comment>
    <comment ref="AD12" authorId="0" shapeId="0">
      <text>
        <t>持 HYPE 代幣嘅加密貨幣庫存公司：財年純利 $3.06 億大部分係代幣未實現收益；Cantor 目標 $34.2；09-25 監管負面消息回落。股價係 HYPE 代幣嘅槓桿。（沿用 R22）</t>
      </text>
    </comment>
    <comment ref="AD13" authorId="0" shapeId="0">
      <text>
        <t>06-26 升 6.6%（我哋數據收市對收市 +10.6%，兩者有出入）；Q2 末收 $68.98，較 Q1 末 +11.3%。冇搵到當日個股消息。</t>
      </text>
    </comment>
    <comment ref="AD14" authorId="0" shapeId="0">
      <text>
        <t>07-24 Q2 收入 $6.57 億勝預期、EPS $1.22 勝 $1.16–1.17，上調全年指引（收入約 $26.4 億、EPS 約 $5.03），AI 產品佔 ARR 約 13%，加息息 → 當日 +25.1%。</t>
      </text>
    </comment>
    <comment ref="AD15" authorId="0" shapeId="0">
      <text>
        <t>09-09 Q2 經調整 EPS $2.31 勝預期 $2.09（毛利率升至 40.4%，關稅退款幫忙），上調全年 EPS 指引至 $6.50–6.90 → 當日 +14.4%。</t>
      </text>
    </comment>
    <comment ref="AD16" authorId="0" shapeId="0">
      <text>
        <t>08-05 Q2 純利 $3,340 萬（去年 $750 萬，部分來自 $2,460 萬遞延稅項撥備回撥），經調整 EBITDA 利潤率 23%，公司同時進行策略檢討 → 當日先跌後升收 +13.7%。</t>
      </text>
    </comment>
    <comment ref="AD17" authorId="0" shapeId="0">
      <text>
        <t>7/29 NANOPULSE-AF 入組過半；09-09 +8.6% 當日消息未查。（沿用 news20）</t>
      </text>
    </comment>
    <comment ref="AD18" authorId="0" shapeId="0">
      <text>
        <t>09-16 +15.3%：BofA 目標 $18→$20、Mint 貼片泵獲 FDA 批准、同時宣布 $1.25 億配售（之後定價 $1.5 億）。</t>
      </text>
    </comment>
    <comment ref="AD19" authorId="0" shapeId="0">
      <text>
        <t>Q2 業績 08-05 公佈（收入創紀錄 $4.4 億 +10%、毛利率 2013 年以來最高、上調全年指引）；我哋數據嘅最大升日係 08-07（+12.9%），同業績日差兩日，當日另有消息未查到。</t>
      </text>
    </comment>
    <comment ref="AD20" authorId="0" shapeId="0">
      <text>
        <t>07-23 Q2 EPS $0.33 勝預期 $0.30、收入 $1.668 億勝 $1.57 億，上調 Q3 指引 → 當日 +7.2%（我哋收市對收市 +6.0%）。</t>
      </text>
    </comment>
    <comment ref="AD21" authorId="0" shapeId="0">
      <text>
        <t>08-18 FY26 Q4 經調整 EPS $1.33 勝預期 $1.09、收入 $1.154 億勝預期，派息加 25%、季內回購 $6,260 萬 → +8.9%（開市跳空 +14.3%）。</t>
      </text>
    </comment>
    <comment ref="AD22" authorId="0" shapeId="0">
      <text>
        <t>07-29 Q2 銷售勝預期約 $8,200 萬、EPS $0.21 勝 $0.19，VWR 分部重拾增長，上調有機銷售指引 → 當日 +15.8%。</t>
      </text>
    </comment>
    <comment ref="AD23" authorId="0" shapeId="0">
      <text>
        <t>06-30 Rosenblatt 將佢列為下半年首選（實體 AI 晶片）→ 當日 +22.8%（媒體 +28% 至 +32% 不等）；升浪由分析員推介帶動。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chart/Q1c5VWwD/?symbol=amex%3Arlgt" TargetMode="External" Id="rId1" /><Relationship Type="http://schemas.openxmlformats.org/officeDocument/2006/relationships/hyperlink" Target="https://www.tradingview.com/chart/Q1c5VWwD/?symbol=nyse%3Acsr" TargetMode="External" Id="rId2" /><Relationship Type="http://schemas.openxmlformats.org/officeDocument/2006/relationships/hyperlink" Target="https://www.tradingview.com/chart/Q1c5VWwD/?symbol=nasdaq%3Absvn" TargetMode="External" Id="rId3" /><Relationship Type="http://schemas.openxmlformats.org/officeDocument/2006/relationships/hyperlink" Target="https://www.tradingview.com/chart/Q1c5VWwD/?symbol=nasdaq%3Acrsr" TargetMode="External" Id="rId4" /><Relationship Type="http://schemas.openxmlformats.org/officeDocument/2006/relationships/hyperlink" Target="https://www.tradingview.com/chart/Q1c5VWwD/?symbol=nasdaq%3Acmrc" TargetMode="External" Id="rId5" /><Relationship Type="http://schemas.openxmlformats.org/officeDocument/2006/relationships/hyperlink" Target="https://www.tradingview.com/chart/Q1c5VWwD/?symbol=nasdaq%3Aomer" TargetMode="External" Id="rId6" /><Relationship Type="http://schemas.openxmlformats.org/officeDocument/2006/relationships/hyperlink" Target="https://www.tradingview.com/chart/Q1c5VWwD/?symbol=nyse%3Ahae" TargetMode="External" Id="rId7" /><Relationship Type="http://schemas.openxmlformats.org/officeDocument/2006/relationships/hyperlink" Target="https://www.tradingview.com/chart/Q1c5VWwD/?symbol=nasdaq%3Aasst" TargetMode="External" Id="rId8" /><Relationship Type="http://schemas.openxmlformats.org/officeDocument/2006/relationships/hyperlink" Target="https://www.tradingview.com/chart/Q1c5VWwD/?symbol=nasdaq%3Agemi" TargetMode="External" Id="rId9" /><Relationship Type="http://schemas.openxmlformats.org/officeDocument/2006/relationships/hyperlink" Target="https://www.tradingview.com/chart/Q1c5VWwD/?symbol=amex%3Aumac" TargetMode="External" Id="rId10" /><Relationship Type="http://schemas.openxmlformats.org/officeDocument/2006/relationships/hyperlink" Target="https://www.tradingview.com/chart/Q1c5VWwD/?symbol=nasdaq%3Apurr" TargetMode="External" Id="rId11" /><Relationship Type="http://schemas.openxmlformats.org/officeDocument/2006/relationships/hyperlink" Target="https://www.tradingview.com/chart/Q1c5VWwD/?symbol=nasdaq%3Autmd" TargetMode="External" Id="rId12" /><Relationship Type="http://schemas.openxmlformats.org/officeDocument/2006/relationships/hyperlink" Target="https://www.tradingview.com/chart/Q1c5VWwD/?symbol=nyse%3Arng" TargetMode="External" Id="rId13" /><Relationship Type="http://schemas.openxmlformats.org/officeDocument/2006/relationships/hyperlink" Target="https://www.tradingview.com/chart/Q1c5VWwD/?symbol=nasdaq%3Aaso" TargetMode="External" Id="rId14" /><Relationship Type="http://schemas.openxmlformats.org/officeDocument/2006/relationships/hyperlink" Target="https://www.tradingview.com/chart/Q1c5VWwD/?symbol=nasdaq%3Abvs" TargetMode="External" Id="rId15" /><Relationship Type="http://schemas.openxmlformats.org/officeDocument/2006/relationships/hyperlink" Target="https://www.tradingview.com/chart/Q1c5VWwD/?symbol=nasdaq%3Aplse" TargetMode="External" Id="rId16" /><Relationship Type="http://schemas.openxmlformats.org/officeDocument/2006/relationships/hyperlink" Target="https://www.tradingview.com/chart/Q1c5VWwD/?symbol=nasdaq%3Abbnx" TargetMode="External" Id="rId17" /><Relationship Type="http://schemas.openxmlformats.org/officeDocument/2006/relationships/hyperlink" Target="https://www.tradingview.com/chart/Q1c5VWwD/?symbol=nasdaq%3Apkoh" TargetMode="External" Id="rId18" /><Relationship Type="http://schemas.openxmlformats.org/officeDocument/2006/relationships/hyperlink" Target="https://www.tradingview.com/chart/Q1c5VWwD/?symbol=nyse%3Akn" TargetMode="External" Id="rId19" /><Relationship Type="http://schemas.openxmlformats.org/officeDocument/2006/relationships/hyperlink" Target="https://www.tradingview.com/chart/Q1c5VWwD/?symbol=nasdaq%3Aflxs" TargetMode="External" Id="rId20" /><Relationship Type="http://schemas.openxmlformats.org/officeDocument/2006/relationships/hyperlink" Target="https://www.tradingview.com/chart/Q1c5VWwD/?symbol=nyse%3Aavtr" TargetMode="External" Id="rId21" /><Relationship Type="http://schemas.openxmlformats.org/officeDocument/2006/relationships/hyperlink" Target="https://www.tradingview.com/chart/Q1c5VWwD/?symbol=nasdaq%3Aamba" TargetMode="External" Id="rId2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chart/Q1c5VWwD/?symbol=nyse%3Aavtr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chart/Q1c5VWwD/?symbol=nyse%3Ahae" TargetMode="External" Id="rId1" /><Relationship Type="http://schemas.openxmlformats.org/officeDocument/2006/relationships/hyperlink" Target="https://www.tradingview.com/chart/Q1c5VWwD/?symbol=nasdaq%3Aasst" TargetMode="External" Id="rId2" /><Relationship Type="http://schemas.openxmlformats.org/officeDocument/2006/relationships/hyperlink" Target="https://www.tradingview.com/chart/Q1c5VWwD/?symbol=nasdaq%3Apurr" TargetMode="External" Id="rId3" /><Relationship Type="http://schemas.openxmlformats.org/officeDocument/2006/relationships/hyperlink" Target="https://www.tradingview.com/chart/Q1c5VWwD/?symbol=nyse%3Arng" TargetMode="External" Id="rId4" /><Relationship Type="http://schemas.openxmlformats.org/officeDocument/2006/relationships/hyperlink" Target="https://www.tradingview.com/chart/Q1c5VWwD/?symbol=nasdaq%3Aaso" TargetMode="External" Id="rId5" /><Relationship Type="http://schemas.openxmlformats.org/officeDocument/2006/relationships/hyperlink" Target="https://www.tradingview.com/chart/Q1c5VWwD/?symbol=nasdaq%3Aplse" TargetMode="External" Id="rId6" /><Relationship Type="http://schemas.openxmlformats.org/officeDocument/2006/relationships/hyperlink" Target="https://www.tradingview.com/chart/Q1c5VWwD/?symbol=nyse%3Akn" TargetMode="External" Id="rId7" /><Relationship Type="http://schemas.openxmlformats.org/officeDocument/2006/relationships/hyperlink" Target="https://www.tradingview.com/chart/Q1c5VWwD/?symbol=nasdaq%3Aamba" TargetMode="External" Id="rId8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chart/Q1c5VWwD/?symbol=amex%3Arlgt" TargetMode="External" Id="rId1" /><Relationship Type="http://schemas.openxmlformats.org/officeDocument/2006/relationships/hyperlink" Target="https://www.tradingview.com/chart/Q1c5VWwD/?symbol=nyse%3Acsr" TargetMode="External" Id="rId2" /><Relationship Type="http://schemas.openxmlformats.org/officeDocument/2006/relationships/hyperlink" Target="https://www.tradingview.com/chart/Q1c5VWwD/?symbol=nasdaq%3Absvn" TargetMode="External" Id="rId3" /><Relationship Type="http://schemas.openxmlformats.org/officeDocument/2006/relationships/hyperlink" Target="https://www.tradingview.com/chart/Q1c5VWwD/?symbol=nasdaq%3Acrsr" TargetMode="External" Id="rId4" /><Relationship Type="http://schemas.openxmlformats.org/officeDocument/2006/relationships/hyperlink" Target="https://www.tradingview.com/chart/Q1c5VWwD/?symbol=nasdaq%3Acmrc" TargetMode="External" Id="rId5" /><Relationship Type="http://schemas.openxmlformats.org/officeDocument/2006/relationships/hyperlink" Target="https://www.tradingview.com/chart/Q1c5VWwD/?symbol=nasdaq%3Aomer" TargetMode="External" Id="rId6" /><Relationship Type="http://schemas.openxmlformats.org/officeDocument/2006/relationships/hyperlink" Target="https://www.tradingview.com/chart/Q1c5VWwD/?symbol=nasdaq%3Agemi" TargetMode="External" Id="rId7" /><Relationship Type="http://schemas.openxmlformats.org/officeDocument/2006/relationships/hyperlink" Target="https://www.tradingview.com/chart/Q1c5VWwD/?symbol=amex%3Aumac" TargetMode="External" Id="rId8" /><Relationship Type="http://schemas.openxmlformats.org/officeDocument/2006/relationships/hyperlink" Target="https://www.tradingview.com/chart/Q1c5VWwD/?symbol=nasdaq%3Autmd" TargetMode="External" Id="rId9" /><Relationship Type="http://schemas.openxmlformats.org/officeDocument/2006/relationships/hyperlink" Target="https://www.tradingview.com/chart/Q1c5VWwD/?symbol=nasdaq%3Abvs" TargetMode="External" Id="rId10" /><Relationship Type="http://schemas.openxmlformats.org/officeDocument/2006/relationships/hyperlink" Target="https://www.tradingview.com/chart/Q1c5VWwD/?symbol=nasdaq%3Abbnx" TargetMode="External" Id="rId11" /><Relationship Type="http://schemas.openxmlformats.org/officeDocument/2006/relationships/hyperlink" Target="https://www.tradingview.com/chart/Q1c5VWwD/?symbol=nasdaq%3Apkoh" TargetMode="External" Id="rId12" /><Relationship Type="http://schemas.openxmlformats.org/officeDocument/2006/relationships/hyperlink" Target="https://www.tradingview.com/chart/Q1c5VWwD/?symbol=nasdaq%3Aflxs" TargetMode="External" Id="rId1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chart/Q1c5VWwD/?symbol=nasdaq%3Absvn" TargetMode="External" Id="rId1" /><Relationship Type="http://schemas.openxmlformats.org/officeDocument/2006/relationships/hyperlink" Target="https://www.tradingview.com/chart/Q1c5VWwD/?symbol=nasdaq%3Absvn" TargetMode="External" Id="rId2" /><Relationship Type="http://schemas.openxmlformats.org/officeDocument/2006/relationships/hyperlink" Target="https://www.tradingview.com/chart/Q1c5VWwD/?symbol=nasdaq%3Aaso" TargetMode="External" Id="rId3" /><Relationship Type="http://schemas.openxmlformats.org/officeDocument/2006/relationships/hyperlink" Target="https://www.tradingview.com/chart/Q1c5VWwD/?symbol=nasdaq%3Acmrc" TargetMode="External" Id="rId4" /><Relationship Type="http://schemas.openxmlformats.org/officeDocument/2006/relationships/hyperlink" Target="https://www.tradingview.com/chart/Q1c5VWwD/?symbol=nasdaq%3Aomer" TargetMode="External" Id="rId5" /><Relationship Type="http://schemas.openxmlformats.org/officeDocument/2006/relationships/hyperlink" Target="https://www.tradingview.com/chart/Q1c5VWwD/?symbol=nasdaq%3Absvn" TargetMode="External" Id="rId6" /><Relationship Type="http://schemas.openxmlformats.org/officeDocument/2006/relationships/hyperlink" Target="https://www.tradingview.com/chart/Q1c5VWwD/?symbol=amex%3Arlgt" TargetMode="External" Id="rId7" /><Relationship Type="http://schemas.openxmlformats.org/officeDocument/2006/relationships/hyperlink" Target="https://www.tradingview.com/chart/Q1c5VWwD/?symbol=nyse%3Acsr" TargetMode="External" Id="rId8" /><Relationship Type="http://schemas.openxmlformats.org/officeDocument/2006/relationships/hyperlink" Target="https://www.tradingview.com/chart/Q1c5VWwD/?symbol=nyse%3Acsr" TargetMode="External" Id="rId9" /><Relationship Type="http://schemas.openxmlformats.org/officeDocument/2006/relationships/hyperlink" Target="https://www.tradingview.com/chart/Q1c5VWwD/?symbol=nasdaq%3Absvn" TargetMode="External" Id="rId10" /><Relationship Type="http://schemas.openxmlformats.org/officeDocument/2006/relationships/hyperlink" Target="https://www.tradingview.com/chart/Q1c5VWwD/?symbol=nasdaq%3Apurr" TargetMode="External" Id="rId11" /><Relationship Type="http://schemas.openxmlformats.org/officeDocument/2006/relationships/hyperlink" Target="https://www.tradingview.com/chart/Q1c5VWwD/?symbol=nasdaq%3Aamba" TargetMode="External" Id="rId12" /><Relationship Type="http://schemas.openxmlformats.org/officeDocument/2006/relationships/hyperlink" Target="https://www.tradingview.com/chart/Q1c5VWwD/?symbol=nasdaq%3Aaso" TargetMode="External" Id="rId13" /><Relationship Type="http://schemas.openxmlformats.org/officeDocument/2006/relationships/hyperlink" Target="https://www.tradingview.com/chart/Q1c5VWwD/?symbol=nasdaq%3Aasst" TargetMode="External" Id="rId14" /><Relationship Type="http://schemas.openxmlformats.org/officeDocument/2006/relationships/hyperlink" Target="https://www.tradingview.com/chart/Q1c5VWwD/?symbol=nyse%3Aavtr" TargetMode="External" Id="rId15" /><Relationship Type="http://schemas.openxmlformats.org/officeDocument/2006/relationships/hyperlink" Target="https://www.tradingview.com/chart/Q1c5VWwD/?symbol=nasdaq%3Abbnx" TargetMode="External" Id="rId16" /><Relationship Type="http://schemas.openxmlformats.org/officeDocument/2006/relationships/hyperlink" Target="https://www.tradingview.com/chart/Q1c5VWwD/?symbol=nasdaq%3Abvs" TargetMode="External" Id="rId17" /><Relationship Type="http://schemas.openxmlformats.org/officeDocument/2006/relationships/hyperlink" Target="https://www.tradingview.com/chart/Q1c5VWwD/?symbol=nasdaq%3Acmrc" TargetMode="External" Id="rId18" /><Relationship Type="http://schemas.openxmlformats.org/officeDocument/2006/relationships/hyperlink" Target="https://www.tradingview.com/chart/Q1c5VWwD/?symbol=nasdaq%3Acrsr" TargetMode="External" Id="rId19" /><Relationship Type="http://schemas.openxmlformats.org/officeDocument/2006/relationships/hyperlink" Target="https://www.tradingview.com/chart/Q1c5VWwD/?symbol=nasdaq%3Aflxs" TargetMode="External" Id="rId20" /><Relationship Type="http://schemas.openxmlformats.org/officeDocument/2006/relationships/hyperlink" Target="https://www.tradingview.com/chart/Q1c5VWwD/?symbol=nasdaq%3Agemi" TargetMode="External" Id="rId21" /><Relationship Type="http://schemas.openxmlformats.org/officeDocument/2006/relationships/hyperlink" Target="https://www.tradingview.com/chart/Q1c5VWwD/?symbol=nyse%3Ahae" TargetMode="External" Id="rId22" /><Relationship Type="http://schemas.openxmlformats.org/officeDocument/2006/relationships/hyperlink" Target="https://www.tradingview.com/chart/Q1c5VWwD/?symbol=nyse%3Akn" TargetMode="External" Id="rId23" /><Relationship Type="http://schemas.openxmlformats.org/officeDocument/2006/relationships/hyperlink" Target="https://www.tradingview.com/chart/Q1c5VWwD/?symbol=nasdaq%3Aomer" TargetMode="External" Id="rId24" /><Relationship Type="http://schemas.openxmlformats.org/officeDocument/2006/relationships/hyperlink" Target="https://www.tradingview.com/chart/Q1c5VWwD/?symbol=nasdaq%3Apkoh" TargetMode="External" Id="rId25" /><Relationship Type="http://schemas.openxmlformats.org/officeDocument/2006/relationships/hyperlink" Target="https://www.tradingview.com/chart/Q1c5VWwD/?symbol=nasdaq%3Aplse" TargetMode="External" Id="rId26" /><Relationship Type="http://schemas.openxmlformats.org/officeDocument/2006/relationships/hyperlink" Target="https://www.tradingview.com/chart/Q1c5VWwD/?symbol=nasdaq%3Apurr" TargetMode="External" Id="rId27" /><Relationship Type="http://schemas.openxmlformats.org/officeDocument/2006/relationships/hyperlink" Target="https://www.tradingview.com/chart/Q1c5VWwD/?symbol=nyse%3Arng" TargetMode="External" Id="rId28" /><Relationship Type="http://schemas.openxmlformats.org/officeDocument/2006/relationships/hyperlink" Target="https://www.tradingview.com/chart/Q1c5VWwD/?symbol=amex%3Aumac" TargetMode="External" Id="rId29" /><Relationship Type="http://schemas.openxmlformats.org/officeDocument/2006/relationships/hyperlink" Target="https://www.tradingview.com/chart/Q1c5VWwD/?symbol=nasdaq%3Autmd" TargetMode="External" Id="rId30" /><Relationship Type="http://schemas.openxmlformats.org/officeDocument/2006/relationships/hyperlink" Target="https://www.tradingview.com/chart/Q1c5VWwD/?symbol=nasdaq%3Absvn" TargetMode="External" Id="rId31" /><Relationship Type="http://schemas.openxmlformats.org/officeDocument/2006/relationships/hyperlink" Target="https://www.tradingview.com/chart/Q1c5VWwD/?symbol=nyse%3Acsr" TargetMode="External" Id="rId32" /><Relationship Type="http://schemas.openxmlformats.org/officeDocument/2006/relationships/hyperlink" Target="https://www.tradingview.com/chart/Q1c5VWwD/?symbol=amex%3Arlgt" TargetMode="External" Id="rId33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tradingview.com/chart/Q1c5VWwD/?symbol=nasdaq%3Aaso" TargetMode="External" Id="rId1" /><Relationship Type="http://schemas.openxmlformats.org/officeDocument/2006/relationships/hyperlink" Target="https://www.tradingview.com/chart/Q1c5VWwD/?symbol=nasdaq%3Acmrc" TargetMode="External" Id="rId2" /><Relationship Type="http://schemas.openxmlformats.org/officeDocument/2006/relationships/hyperlink" Target="https://www.tradingview.com/chart/Q1c5VWwD/?symbol=nyse%3Adell" TargetMode="External" Id="rId3" /><Relationship Type="http://schemas.openxmlformats.org/officeDocument/2006/relationships/hyperlink" Target="https://www.tradingview.com/chart/Q1c5VWwD/?symbol=gtlb" TargetMode="External" Id="rId4" /><Relationship Type="http://schemas.openxmlformats.org/officeDocument/2006/relationships/hyperlink" Target="https://www.tradingview.com/chart/Q1c5VWwD/?symbol=nasdaq%3Aomer" TargetMode="External" Id="rId5" /><Relationship Type="http://schemas.openxmlformats.org/officeDocument/2006/relationships/hyperlink" Target="https://www.tradingview.com/chart/Q1c5VWwD/?symbol=acva" TargetMode="External" Id="rId6" /><Relationship Type="http://schemas.openxmlformats.org/officeDocument/2006/relationships/hyperlink" Target="https://www.tradingview.com/chart/Q1c5VWwD/?symbol=aip" TargetMode="External" Id="rId7" /><Relationship Type="http://schemas.openxmlformats.org/officeDocument/2006/relationships/hyperlink" Target="https://www.tradingview.com/chart/Q1c5VWwD/?symbol=alab" TargetMode="External" Id="rId8" /><Relationship Type="http://schemas.openxmlformats.org/officeDocument/2006/relationships/hyperlink" Target="https://www.tradingview.com/chart/Q1c5VWwD/?symbol=amlx" TargetMode="External" Id="rId9" /><Relationship Type="http://schemas.openxmlformats.org/officeDocument/2006/relationships/hyperlink" Target="https://www.tradingview.com/chart/Q1c5VWwD/?symbol=amwl" TargetMode="External" Id="rId10" /><Relationship Type="http://schemas.openxmlformats.org/officeDocument/2006/relationships/hyperlink" Target="https://www.tradingview.com/chart/Q1c5VWwD/?symbol=anix" TargetMode="External" Id="rId11" /><Relationship Type="http://schemas.openxmlformats.org/officeDocument/2006/relationships/hyperlink" Target="https://www.tradingview.com/chart/Q1c5VWwD/?symbol=aout" TargetMode="External" Id="rId12" /><Relationship Type="http://schemas.openxmlformats.org/officeDocument/2006/relationships/hyperlink" Target="https://www.tradingview.com/chart/Q1c5VWwD/?symbol=bbcp" TargetMode="External" Id="rId13" /><Relationship Type="http://schemas.openxmlformats.org/officeDocument/2006/relationships/hyperlink" Target="https://www.tradingview.com/chart/Q1c5VWwD/?symbol=biaf" TargetMode="External" Id="rId14" /><Relationship Type="http://schemas.openxmlformats.org/officeDocument/2006/relationships/hyperlink" Target="https://www.tradingview.com/chart/Q1c5VWwD/?symbol=bnc" TargetMode="External" Id="rId15" /><Relationship Type="http://schemas.openxmlformats.org/officeDocument/2006/relationships/hyperlink" Target="https://www.tradingview.com/chart/Q1c5VWwD/?symbol=brun" TargetMode="External" Id="rId16" /><Relationship Type="http://schemas.openxmlformats.org/officeDocument/2006/relationships/hyperlink" Target="https://www.tradingview.com/chart/Q1c5VWwD/?symbol=bwmn" TargetMode="External" Id="rId17" /><Relationship Type="http://schemas.openxmlformats.org/officeDocument/2006/relationships/hyperlink" Target="https://www.tradingview.com/chart/Q1c5VWwD/?symbol=ceco" TargetMode="External" Id="rId18" /><Relationship Type="http://schemas.openxmlformats.org/officeDocument/2006/relationships/hyperlink" Target="https://www.tradingview.com/chart/Q1c5VWwD/?symbol=clfd" TargetMode="External" Id="rId19" /><Relationship Type="http://schemas.openxmlformats.org/officeDocument/2006/relationships/hyperlink" Target="https://www.tradingview.com/chart/Q1c5VWwD/?symbol=clov" TargetMode="External" Id="rId20" /><Relationship Type="http://schemas.openxmlformats.org/officeDocument/2006/relationships/hyperlink" Target="https://www.tradingview.com/chart/Q1c5VWwD/?symbol=nasdaq%3Acrsr" TargetMode="External" Id="rId21" /><Relationship Type="http://schemas.openxmlformats.org/officeDocument/2006/relationships/hyperlink" Target="https://www.tradingview.com/chart/Q1c5VWwD/?symbol=daic" TargetMode="External" Id="rId22" /><Relationship Type="http://schemas.openxmlformats.org/officeDocument/2006/relationships/hyperlink" Target="https://www.tradingview.com/chart/Q1c5VWwD/?symbol=dtil" TargetMode="External" Id="rId23" /><Relationship Type="http://schemas.openxmlformats.org/officeDocument/2006/relationships/hyperlink" Target="https://www.tradingview.com/chart/Q1c5VWwD/?symbol=fcel" TargetMode="External" Id="rId24" /><Relationship Type="http://schemas.openxmlformats.org/officeDocument/2006/relationships/hyperlink" Target="https://www.tradingview.com/chart/Q1c5VWwD/?symbol=feim" TargetMode="External" Id="rId25" /><Relationship Type="http://schemas.openxmlformats.org/officeDocument/2006/relationships/hyperlink" Target="https://www.tradingview.com/chart/Q1c5VWwD/?symbol=frd" TargetMode="External" Id="rId26" /><Relationship Type="http://schemas.openxmlformats.org/officeDocument/2006/relationships/hyperlink" Target="https://www.tradingview.com/chart/Q1c5VWwD/?symbol=galt" TargetMode="External" Id="rId27" /><Relationship Type="http://schemas.openxmlformats.org/officeDocument/2006/relationships/hyperlink" Target="https://www.tradingview.com/chart/Q1c5VWwD/?symbol=gcts" TargetMode="External" Id="rId28" /><Relationship Type="http://schemas.openxmlformats.org/officeDocument/2006/relationships/hyperlink" Target="https://www.tradingview.com/chart/Q1c5VWwD/?symbol=nasdaq%3Agemi" TargetMode="External" Id="rId29" /><Relationship Type="http://schemas.openxmlformats.org/officeDocument/2006/relationships/hyperlink" Target="https://www.tradingview.com/chart/Q1c5VWwD/?symbol=goss" TargetMode="External" Id="rId30" /><Relationship Type="http://schemas.openxmlformats.org/officeDocument/2006/relationships/hyperlink" Target="https://www.tradingview.com/chart/Q1c5VWwD/?symbol=grml" TargetMode="External" Id="rId31" /><Relationship Type="http://schemas.openxmlformats.org/officeDocument/2006/relationships/hyperlink" Target="https://www.tradingview.com/chart/Q1c5VWwD/?symbol=hlit" TargetMode="External" Id="rId32" /><Relationship Type="http://schemas.openxmlformats.org/officeDocument/2006/relationships/hyperlink" Target="https://www.tradingview.com/chart/Q1c5VWwD/?symbol=hzo" TargetMode="External" Id="rId33" /><Relationship Type="http://schemas.openxmlformats.org/officeDocument/2006/relationships/hyperlink" Target="https://www.tradingview.com/chart/Q1c5VWwD/?symbol=itgr" TargetMode="External" Id="rId34" /><Relationship Type="http://schemas.openxmlformats.org/officeDocument/2006/relationships/hyperlink" Target="https://www.tradingview.com/chart/Q1c5VWwD/?symbol=krt" TargetMode="External" Id="rId35" /><Relationship Type="http://schemas.openxmlformats.org/officeDocument/2006/relationships/hyperlink" Target="https://www.tradingview.com/chart/Q1c5VWwD/?symbol=lbrx" TargetMode="External" Id="rId36" /><Relationship Type="http://schemas.openxmlformats.org/officeDocument/2006/relationships/hyperlink" Target="https://www.tradingview.com/chart/Q1c5VWwD/?symbol=mrvi" TargetMode="External" Id="rId37" /><Relationship Type="http://schemas.openxmlformats.org/officeDocument/2006/relationships/hyperlink" Target="https://www.tradingview.com/chart/Q1c5VWwD/?symbol=nrix" TargetMode="External" Id="rId38" /><Relationship Type="http://schemas.openxmlformats.org/officeDocument/2006/relationships/hyperlink" Target="https://www.tradingview.com/chart/Q1c5VWwD/?symbol=nucl" TargetMode="External" Id="rId39" /><Relationship Type="http://schemas.openxmlformats.org/officeDocument/2006/relationships/hyperlink" Target="https://www.tradingview.com/chart/Q1c5VWwD/?symbol=nvec" TargetMode="External" Id="rId40" /><Relationship Type="http://schemas.openxmlformats.org/officeDocument/2006/relationships/hyperlink" Target="https://www.tradingview.com/chart/Q1c5VWwD/?symbol=oabi" TargetMode="External" Id="rId41" /><Relationship Type="http://schemas.openxmlformats.org/officeDocument/2006/relationships/hyperlink" Target="https://www.tradingview.com/chart/Q1c5VWwD/?symbol=occ" TargetMode="External" Id="rId42" /><Relationship Type="http://schemas.openxmlformats.org/officeDocument/2006/relationships/hyperlink" Target="https://www.tradingview.com/chart/Q1c5VWwD/?symbol=oesx" TargetMode="External" Id="rId43" /><Relationship Type="http://schemas.openxmlformats.org/officeDocument/2006/relationships/hyperlink" Target="https://www.tradingview.com/chart/Q1c5VWwD/?symbol=pay" TargetMode="External" Id="rId44" /><Relationship Type="http://schemas.openxmlformats.org/officeDocument/2006/relationships/hyperlink" Target="https://www.tradingview.com/chart/Q1c5VWwD/?symbol=pdfs" TargetMode="External" Id="rId45" /><Relationship Type="http://schemas.openxmlformats.org/officeDocument/2006/relationships/hyperlink" Target="https://www.tradingview.com/chart/Q1c5VWwD/?symbol=pesi" TargetMode="External" Id="rId46" /><Relationship Type="http://schemas.openxmlformats.org/officeDocument/2006/relationships/hyperlink" Target="https://www.tradingview.com/chart/Q1c5VWwD/?symbol=prpo" TargetMode="External" Id="rId47" /><Relationship Type="http://schemas.openxmlformats.org/officeDocument/2006/relationships/hyperlink" Target="https://www.tradingview.com/chart/Q1c5VWwD/?symbol=prth" TargetMode="External" Id="rId48" /><Relationship Type="http://schemas.openxmlformats.org/officeDocument/2006/relationships/hyperlink" Target="https://www.tradingview.com/chart/Q1c5VWwD/?symbol=rgr" TargetMode="External" Id="rId49" /><Relationship Type="http://schemas.openxmlformats.org/officeDocument/2006/relationships/hyperlink" Target="https://www.tradingview.com/chart/Q1c5VWwD/?symbol=roku" TargetMode="External" Id="rId50" /><Relationship Type="http://schemas.openxmlformats.org/officeDocument/2006/relationships/hyperlink" Target="https://www.tradingview.com/chart/Q1c5VWwD/?symbol=rxt" TargetMode="External" Id="rId51" /><Relationship Type="http://schemas.openxmlformats.org/officeDocument/2006/relationships/hyperlink" Target="https://www.tradingview.com/chart/Q1c5VWwD/?symbol=saft" TargetMode="External" Id="rId52" /><Relationship Type="http://schemas.openxmlformats.org/officeDocument/2006/relationships/hyperlink" Target="https://www.tradingview.com/chart/Q1c5VWwD/?symbol=shaz" TargetMode="External" Id="rId53" /><Relationship Type="http://schemas.openxmlformats.org/officeDocument/2006/relationships/hyperlink" Target="https://www.tradingview.com/chart/Q1c5VWwD/?symbol=smti" TargetMode="External" Id="rId54" /><Relationship Type="http://schemas.openxmlformats.org/officeDocument/2006/relationships/hyperlink" Target="https://www.tradingview.com/chart/Q1c5VWwD/?symbol=swbi" TargetMode="External" Id="rId55" /><Relationship Type="http://schemas.openxmlformats.org/officeDocument/2006/relationships/hyperlink" Target="https://www.tradingview.com/chart/Q1c5VWwD/?symbol=tlys" TargetMode="External" Id="rId56" /><Relationship Type="http://schemas.openxmlformats.org/officeDocument/2006/relationships/hyperlink" Target="https://www.tradingview.com/chart/Q1c5VWwD/?symbol=tnon" TargetMode="External" Id="rId57" /><Relationship Type="http://schemas.openxmlformats.org/officeDocument/2006/relationships/hyperlink" Target="https://www.tradingview.com/chart/Q1c5VWwD/?symbol=nasdaq%3Autmd" TargetMode="External" Id="rId58" /><Relationship Type="http://schemas.openxmlformats.org/officeDocument/2006/relationships/hyperlink" Target="https://www.tradingview.com/chart/Q1c5VWwD/?symbol=vnce" TargetMode="External" Id="rId59" /><Relationship Type="http://schemas.openxmlformats.org/officeDocument/2006/relationships/hyperlink" Target="https://www.tradingview.com/chart/Q1c5VWwD/?symbol=vrex" TargetMode="External" Id="rId60" /><Relationship Type="http://schemas.openxmlformats.org/officeDocument/2006/relationships/hyperlink" Target="https://www.tradingview.com/chart/Q1c5VWwD/?symbol=mtw" TargetMode="External" Id="rId61" /><Relationship Type="http://schemas.openxmlformats.org/officeDocument/2006/relationships/hyperlink" Target="https://www.tradingview.com/chart/Q1c5VWwD/?symbol=neo" TargetMode="External" Id="rId62" /><Relationship Type="http://schemas.openxmlformats.org/officeDocument/2006/relationships/hyperlink" Target="https://www.tradingview.com/chart/Q1c5VWwD/?symbol=nasdaq%3Apurr" TargetMode="External" Id="rId6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tradingview.com/chart/Q1c5VWwD/?symbol=nasdaq%3Absvn" TargetMode="External" Id="rId1" /><Relationship Type="http://schemas.openxmlformats.org/officeDocument/2006/relationships/hyperlink" Target="https://www.tradingview.com/chart/Q1c5VWwD/?symbol=nyse%3Acsr" TargetMode="External" Id="rId2" /><Relationship Type="http://schemas.openxmlformats.org/officeDocument/2006/relationships/hyperlink" Target="https://www.tradingview.com/chart/Q1c5VWwD/?symbol=amex%3Arlgt" TargetMode="External" Id="rId3" /><Relationship Type="http://schemas.openxmlformats.org/officeDocument/2006/relationships/hyperlink" Target="https://www.tradingview.com/chart/Q1c5VWwD/?symbol=nasdaq%3Aaso" TargetMode="External" Id="rId4" /><Relationship Type="http://schemas.openxmlformats.org/officeDocument/2006/relationships/hyperlink" Target="https://www.tradingview.com/chart/Q1c5VWwD/?symbol=nasdaq%3Acmrc" TargetMode="External" Id="rId5" /><Relationship Type="http://schemas.openxmlformats.org/officeDocument/2006/relationships/hyperlink" Target="https://www.tradingview.com/chart/Q1c5VWwD/?symbol=nasdaq%3Aomer" TargetMode="External" Id="rId6" /><Relationship Type="http://schemas.openxmlformats.org/officeDocument/2006/relationships/hyperlink" Target="https://www.tradingview.com/chart/Q1c5VWwD/?symbol=nasdaq%3Apurr" TargetMode="External" Id="rId7" /><Relationship Type="http://schemas.openxmlformats.org/officeDocument/2006/relationships/hyperlink" Target="https://www.tradingview.com/chart/Q1c5VWwD/?symbol=nasdaq%3Aflxs" TargetMode="External" Id="rId8" /><Relationship Type="http://schemas.openxmlformats.org/officeDocument/2006/relationships/hyperlink" Target="https://www.tradingview.com/chart/Q1c5VWwD/?symbol=nyse%3Arng" TargetMode="External" Id="rId9" /><Relationship Type="http://schemas.openxmlformats.org/officeDocument/2006/relationships/hyperlink" Target="https://www.tradingview.com/chart/Q1c5VWwD/?symbol=nyse%3Adell" TargetMode="External" Id="rId10" /><Relationship Type="http://schemas.openxmlformats.org/officeDocument/2006/relationships/hyperlink" Target="https://www.tradingview.com/chart/Q1c5VWwD/?symbol=gtlb" TargetMode="External" Id="rId11" /><Relationship Type="http://schemas.openxmlformats.org/officeDocument/2006/relationships/hyperlink" Target="https://www.tradingview.com/chart/Q1c5VWwD/?symbol=mtw" TargetMode="External" Id="rId12" /><Relationship Type="http://schemas.openxmlformats.org/officeDocument/2006/relationships/hyperlink" Target="https://www.tradingview.com/chart/Q1c5VWwD/?symbol=neo" TargetMode="External" Id="rId13" /><Relationship Type="http://schemas.openxmlformats.org/officeDocument/2006/relationships/hyperlink" Target="https://www.tradingview.com/chart/Q1c5VWwD/?symbol=acfn" TargetMode="External" Id="rId14" /><Relationship Type="http://schemas.openxmlformats.org/officeDocument/2006/relationships/hyperlink" Target="https://www.tradingview.com/chart/Q1c5VWwD/?symbol=agpu" TargetMode="External" Id="rId15" /><Relationship Type="http://schemas.openxmlformats.org/officeDocument/2006/relationships/hyperlink" Target="https://www.tradingview.com/chart/Q1c5VWwD/?symbol=blte" TargetMode="External" Id="rId16" /><Relationship Type="http://schemas.openxmlformats.org/officeDocument/2006/relationships/hyperlink" Target="https://www.tradingview.com/chart/Q1c5VWwD/?symbol=cort" TargetMode="External" Id="rId17" /><Relationship Type="http://schemas.openxmlformats.org/officeDocument/2006/relationships/hyperlink" Target="https://www.tradingview.com/chart/Q1c5VWwD/?symbol=nyse%3Adhx" TargetMode="External" Id="rId18" /><Relationship Type="http://schemas.openxmlformats.org/officeDocument/2006/relationships/hyperlink" Target="https://www.tradingview.com/chart/Q1c5VWwD/?symbol=djco" TargetMode="External" Id="rId19" /><Relationship Type="http://schemas.openxmlformats.org/officeDocument/2006/relationships/hyperlink" Target="https://www.tradingview.com/chart/Q1c5VWwD/?symbol=docu" TargetMode="External" Id="rId20" /><Relationship Type="http://schemas.openxmlformats.org/officeDocument/2006/relationships/hyperlink" Target="https://www.tradingview.com/chart/Q1c5VWwD/?symbol=eaf" TargetMode="External" Id="rId21" /><Relationship Type="http://schemas.openxmlformats.org/officeDocument/2006/relationships/hyperlink" Target="https://www.tradingview.com/chart/Q1c5VWwD/?symbol=hypd" TargetMode="External" Id="rId22" /><Relationship Type="http://schemas.openxmlformats.org/officeDocument/2006/relationships/hyperlink" Target="https://www.tradingview.com/chart/Q1c5VWwD/?symbol=nyse%3Aibta" TargetMode="External" Id="rId23" /><Relationship Type="http://schemas.openxmlformats.org/officeDocument/2006/relationships/hyperlink" Target="https://www.tradingview.com/chart/Q1c5VWwD/?symbol=oprt" TargetMode="External" Id="rId24" /><Relationship Type="http://schemas.openxmlformats.org/officeDocument/2006/relationships/hyperlink" Target="https://www.tradingview.com/chart/Q1c5VWwD/?symbol=smmt" TargetMode="External" Id="rId25" /><Relationship Type="http://schemas.openxmlformats.org/officeDocument/2006/relationships/hyperlink" Target="https://www.tradingview.com/chart/Q1c5VWwD/?symbol=nyse%3Asnow" TargetMode="External" Id="rId26" /><Relationship Type="http://schemas.openxmlformats.org/officeDocument/2006/relationships/hyperlink" Target="https://www.tradingview.com/chart/Q1c5VWwD/?symbol=atrc" TargetMode="External" Id="rId27" /><Relationship Type="http://schemas.openxmlformats.org/officeDocument/2006/relationships/hyperlink" Target="https://www.tradingview.com/chart/Q1c5VWwD/?symbol=nyse%3Abby" TargetMode="External" Id="rId28" /><Relationship Type="http://schemas.openxmlformats.org/officeDocument/2006/relationships/hyperlink" Target="https://www.tradingview.com/chart/Q1c5VWwD/?symbol=coda" TargetMode="External" Id="rId29" /><Relationship Type="http://schemas.openxmlformats.org/officeDocument/2006/relationships/hyperlink" Target="https://www.tradingview.com/chart/Q1c5VWwD/?symbol=coin" TargetMode="External" Id="rId30" /><Relationship Type="http://schemas.openxmlformats.org/officeDocument/2006/relationships/hyperlink" Target="https://www.tradingview.com/chart/Q1c5VWwD/?symbol=cvi" TargetMode="External" Id="rId31" /><Relationship Type="http://schemas.openxmlformats.org/officeDocument/2006/relationships/hyperlink" Target="https://www.tradingview.com/chart/Q1c5VWwD/?symbol=amex%3Adc" TargetMode="External" Id="rId32" /><Relationship Type="http://schemas.openxmlformats.org/officeDocument/2006/relationships/hyperlink" Target="https://www.tradingview.com/chart/Q1c5VWwD/?symbol=nyse%3Adino" TargetMode="External" Id="rId33" /><Relationship Type="http://schemas.openxmlformats.org/officeDocument/2006/relationships/hyperlink" Target="https://www.tradingview.com/chart/Q1c5VWwD/?symbol=nasdaq%3Afivn" TargetMode="External" Id="rId34" /><Relationship Type="http://schemas.openxmlformats.org/officeDocument/2006/relationships/hyperlink" Target="https://www.tradingview.com/chart/Q1c5VWwD/?symbol=insp" TargetMode="External" Id="rId35" /><Relationship Type="http://schemas.openxmlformats.org/officeDocument/2006/relationships/hyperlink" Target="https://www.tradingview.com/chart/Q1c5VWwD/?symbol=land" TargetMode="External" Id="rId36" /><Relationship Type="http://schemas.openxmlformats.org/officeDocument/2006/relationships/hyperlink" Target="https://www.tradingview.com/chart/Q1c5VWwD/?symbol=nyse%3Alpg" TargetMode="External" Id="rId37" /><Relationship Type="http://schemas.openxmlformats.org/officeDocument/2006/relationships/hyperlink" Target="https://www.tradingview.com/chart/Q1c5VWwD/?symbol=nyse%3Ampc" TargetMode="External" Id="rId38" /><Relationship Type="http://schemas.openxmlformats.org/officeDocument/2006/relationships/hyperlink" Target="https://www.tradingview.com/chart/Q1c5VWwD/?symbol=mur" TargetMode="External" Id="rId39" /><Relationship Type="http://schemas.openxmlformats.org/officeDocument/2006/relationships/hyperlink" Target="https://www.tradingview.com/chart/Q1c5VWwD/?symbol=neog" TargetMode="External" Id="rId40" /><Relationship Type="http://schemas.openxmlformats.org/officeDocument/2006/relationships/hyperlink" Target="https://www.tradingview.com/chart/Q1c5VWwD/?symbol=nutx" TargetMode="External" Id="rId41" /><Relationship Type="http://schemas.openxmlformats.org/officeDocument/2006/relationships/hyperlink" Target="https://www.tradingview.com/chart/Q1c5VWwD/?symbol=pdex" TargetMode="External" Id="rId42" /><Relationship Type="http://schemas.openxmlformats.org/officeDocument/2006/relationships/hyperlink" Target="https://www.tradingview.com/chart/Q1c5VWwD/?symbol=pntg" TargetMode="External" Id="rId43" /><Relationship Type="http://schemas.openxmlformats.org/officeDocument/2006/relationships/hyperlink" Target="https://www.tradingview.com/chart/Q1c5VWwD/?symbol=praa" TargetMode="External" Id="rId44" /><Relationship Type="http://schemas.openxmlformats.org/officeDocument/2006/relationships/hyperlink" Target="https://www.tradingview.com/chart/Q1c5VWwD/?symbol=nyse%3Apsx" TargetMode="External" Id="rId45" /><Relationship Type="http://schemas.openxmlformats.org/officeDocument/2006/relationships/hyperlink" Target="https://www.tradingview.com/chart/Q1c5VWwD/?symbol=qcom" TargetMode="External" Id="rId46" /><Relationship Type="http://schemas.openxmlformats.org/officeDocument/2006/relationships/hyperlink" Target="https://www.tradingview.com/chart/Q1c5VWwD/?symbol=qrvo" TargetMode="External" Id="rId47" /><Relationship Type="http://schemas.openxmlformats.org/officeDocument/2006/relationships/hyperlink" Target="https://www.tradingview.com/chart/Q1c5VWwD/?symbol=rushb" TargetMode="External" Id="rId48" /><Relationship Type="http://schemas.openxmlformats.org/officeDocument/2006/relationships/hyperlink" Target="https://www.tradingview.com/chart/Q1c5VWwD/?symbol=spce" TargetMode="External" Id="rId49" /><Relationship Type="http://schemas.openxmlformats.org/officeDocument/2006/relationships/hyperlink" Target="https://www.tradingview.com/chart/Q1c5VWwD/?symbol=swks" TargetMode="External" Id="rId50" /><Relationship Type="http://schemas.openxmlformats.org/officeDocument/2006/relationships/hyperlink" Target="https://www.tradingview.com/chart/Q1c5VWwD/?symbol=tars" TargetMode="External" Id="rId51" /><Relationship Type="http://schemas.openxmlformats.org/officeDocument/2006/relationships/hyperlink" Target="https://www.tradingview.com/chart/Q1c5VWwD/?symbol=nasdaq%3Ath" TargetMode="External" Id="rId52" /><Relationship Type="http://schemas.openxmlformats.org/officeDocument/2006/relationships/hyperlink" Target="https://www.tradingview.com/chart/Q1c5VWwD/?symbol=nyse%3Avlo" TargetMode="External" Id="rId53" /><Relationship Type="http://schemas.openxmlformats.org/officeDocument/2006/relationships/hyperlink" Target="https://www.tradingview.com/chart/Q1c5VWwD/?symbol=snx" TargetMode="External" Id="rId5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tradingview.com/chart/Q1c5VWwD/?symbol=btsg" TargetMode="External" Id="rId1" /><Relationship Type="http://schemas.openxmlformats.org/officeDocument/2006/relationships/hyperlink" Target="https://www.tradingview.com/chart/Q1c5VWwD/?symbol=imdx" TargetMode="External" Id="rId2" /><Relationship Type="http://schemas.openxmlformats.org/officeDocument/2006/relationships/hyperlink" Target="https://www.tradingview.com/chart/Q1c5VWwD/?symbol=ewtx" TargetMode="External" Id="rId3" /><Relationship Type="http://schemas.openxmlformats.org/officeDocument/2006/relationships/hyperlink" Target="https://www.tradingview.com/chart/Q1c5VWwD/?symbol=fate" TargetMode="External" Id="rId4" /><Relationship Type="http://schemas.openxmlformats.org/officeDocument/2006/relationships/hyperlink" Target="https://www.tradingview.com/chart/Q1c5VWwD/?symbol=iart" TargetMode="External" Id="rId5" /><Relationship Type="http://schemas.openxmlformats.org/officeDocument/2006/relationships/hyperlink" Target="https://www.tradingview.com/chart/Q1c5VWwD/?symbol=vcyt" TargetMode="External" Id="rId6" /><Relationship Type="http://schemas.openxmlformats.org/officeDocument/2006/relationships/hyperlink" Target="https://www.tradingview.com/chart/Q1c5VWwD/?symbol=agl" TargetMode="External" Id="rId7" /><Relationship Type="http://schemas.openxmlformats.org/officeDocument/2006/relationships/hyperlink" Target="https://www.tradingview.com/chart/Q1c5VWwD/?symbol=ptct" TargetMode="External" Id="rId8" /><Relationship Type="http://schemas.openxmlformats.org/officeDocument/2006/relationships/hyperlink" Target="https://www.tradingview.com/chart/Q1c5VWwD/?symbol=fenc" TargetMode="External" Id="rId9" /><Relationship Type="http://schemas.openxmlformats.org/officeDocument/2006/relationships/hyperlink" Target="https://www.tradingview.com/chart/Q1c5VWwD/?symbol=rlay" TargetMode="External" Id="rId10" /><Relationship Type="http://schemas.openxmlformats.org/officeDocument/2006/relationships/hyperlink" Target="https://www.tradingview.com/chart/Q1c5VWwD/?symbol=nrxp" TargetMode="External" Id="rId11" /><Relationship Type="http://schemas.openxmlformats.org/officeDocument/2006/relationships/hyperlink" Target="https://www.tradingview.com/chart/Q1c5VWwD/?symbol=qttb" TargetMode="External" Id="rId12" /><Relationship Type="http://schemas.openxmlformats.org/officeDocument/2006/relationships/hyperlink" Target="https://www.tradingview.com/chart/Q1c5VWwD/?symbol=legn" TargetMode="External" Id="rId13" /><Relationship Type="http://schemas.openxmlformats.org/officeDocument/2006/relationships/hyperlink" Target="https://www.tradingview.com/chart/Q1c5VWwD/?symbol=lqda" TargetMode="External" Id="rId14" /><Relationship Type="http://schemas.openxmlformats.org/officeDocument/2006/relationships/hyperlink" Target="https://www.tradingview.com/chart/Q1c5VWwD/?symbol=nrix" TargetMode="External" Id="rId15" /><Relationship Type="http://schemas.openxmlformats.org/officeDocument/2006/relationships/hyperlink" Target="https://www.tradingview.com/chart/Q1c5VWwD/?symbol=tngx" TargetMode="External" Id="rId16" /><Relationship Type="http://schemas.openxmlformats.org/officeDocument/2006/relationships/hyperlink" Target="https://www.tradingview.com/chart/Q1c5VWwD/?symbol=rnac" TargetMode="External" Id="rId17" /><Relationship Type="http://schemas.openxmlformats.org/officeDocument/2006/relationships/hyperlink" Target="https://www.tradingview.com/chart/Q1c5VWwD/?symbol=clov" TargetMode="External" Id="rId18" /><Relationship Type="http://schemas.openxmlformats.org/officeDocument/2006/relationships/hyperlink" Target="https://www.tradingview.com/chart/Q1c5VWwD/?symbol=mbx" TargetMode="External" Id="rId19" /><Relationship Type="http://schemas.openxmlformats.org/officeDocument/2006/relationships/hyperlink" Target="https://www.tradingview.com/chart/Q1c5VWwD/?symbol=anix" TargetMode="External" Id="rId20" /><Relationship Type="http://schemas.openxmlformats.org/officeDocument/2006/relationships/hyperlink" Target="https://www.tradingview.com/chart/Q1c5VWwD/?symbol=immx" TargetMode="External" Id="rId21" /><Relationship Type="http://schemas.openxmlformats.org/officeDocument/2006/relationships/hyperlink" Target="https://www.tradingview.com/chart/Q1c5VWwD/?symbol=dftx" TargetMode="External" Id="rId22" /><Relationship Type="http://schemas.openxmlformats.org/officeDocument/2006/relationships/hyperlink" Target="https://www.tradingview.com/chart/Q1c5VWwD/?symbol=rgnx" TargetMode="External" Id="rId23" /><Relationship Type="http://schemas.openxmlformats.org/officeDocument/2006/relationships/hyperlink" Target="https://www.tradingview.com/chart/Q1c5VWwD/?symbol=tnon" TargetMode="External" Id="rId24" /><Relationship Type="http://schemas.openxmlformats.org/officeDocument/2006/relationships/hyperlink" Target="https://www.tradingview.com/chart/Q1c5VWwD/?symbol=absi" TargetMode="External" Id="rId25" /><Relationship Type="http://schemas.openxmlformats.org/officeDocument/2006/relationships/hyperlink" Target="https://www.tradingview.com/chart/Q1c5VWwD/?symbol=nvct" TargetMode="External" Id="rId26" /><Relationship Type="http://schemas.openxmlformats.org/officeDocument/2006/relationships/hyperlink" Target="https://www.tradingview.com/chart/Q1c5VWwD/?symbol=bdsx" TargetMode="External" Id="rId27" /><Relationship Type="http://schemas.openxmlformats.org/officeDocument/2006/relationships/hyperlink" Target="https://www.tradingview.com/chart/Q1c5VWwD/?symbol=kymr" TargetMode="External" Id="rId28" /><Relationship Type="http://schemas.openxmlformats.org/officeDocument/2006/relationships/hyperlink" Target="https://www.tradingview.com/chart/Q1c5VWwD/?symbol=cntn" TargetMode="External" Id="rId29" /><Relationship Type="http://schemas.openxmlformats.org/officeDocument/2006/relationships/hyperlink" Target="https://www.tradingview.com/chart/Q1c5VWwD/?symbol=dtil" TargetMode="External" Id="rId30" /><Relationship Type="http://schemas.openxmlformats.org/officeDocument/2006/relationships/hyperlink" Target="https://www.tradingview.com/chart/Q1c5VWwD/?symbol=galt" TargetMode="External" Id="rId31" /><Relationship Type="http://schemas.openxmlformats.org/officeDocument/2006/relationships/hyperlink" Target="https://www.tradingview.com/chart/Q1c5VWwD/?symbol=pyxs" TargetMode="External" Id="rId32" /><Relationship Type="http://schemas.openxmlformats.org/officeDocument/2006/relationships/hyperlink" Target="https://www.tradingview.com/chart/Q1c5VWwD/?symbol=sttk" TargetMode="External" Id="rId33" /><Relationship Type="http://schemas.openxmlformats.org/officeDocument/2006/relationships/hyperlink" Target="https://www.tradingview.com/chart/Q1c5VWwD/?symbol=nasdaq%3Autmd" TargetMode="External" Id="rId34" /><Relationship Type="http://schemas.openxmlformats.org/officeDocument/2006/relationships/hyperlink" Target="https://www.tradingview.com/chart/Q1c5VWwD/?symbol=sls" TargetMode="External" Id="rId35" /><Relationship Type="http://schemas.openxmlformats.org/officeDocument/2006/relationships/hyperlink" Target="https://www.tradingview.com/chart/Q1c5VWwD/?symbol=rare" TargetMode="External" Id="rId36" /><Relationship Type="http://schemas.openxmlformats.org/officeDocument/2006/relationships/hyperlink" Target="https://www.tradingview.com/chart/Q1c5VWwD/?symbol=uncy" TargetMode="External" Id="rId37" /><Relationship Type="http://schemas.openxmlformats.org/officeDocument/2006/relationships/hyperlink" Target="https://www.tradingview.com/chart/Q1c5VWwD/?symbol=ydes" TargetMode="External" Id="rId38" /><Relationship Type="http://schemas.openxmlformats.org/officeDocument/2006/relationships/hyperlink" Target="https://www.tradingview.com/chart/Q1c5VWwD/?symbol=fhtx" TargetMode="External" Id="rId39" /><Relationship Type="http://schemas.openxmlformats.org/officeDocument/2006/relationships/hyperlink" Target="https://www.tradingview.com/chart/Q1c5VWwD/?symbol=trax" TargetMode="External" Id="rId40" /><Relationship Type="http://schemas.openxmlformats.org/officeDocument/2006/relationships/hyperlink" Target="https://www.tradingview.com/chart/Q1c5VWwD/?symbol=agen" TargetMode="External" Id="rId41" /><Relationship Type="http://schemas.openxmlformats.org/officeDocument/2006/relationships/hyperlink" Target="https://www.tradingview.com/chart/Q1c5VWwD/?symbol=cdna" TargetMode="External" Id="rId42" /><Relationship Type="http://schemas.openxmlformats.org/officeDocument/2006/relationships/hyperlink" Target="https://www.tradingview.com/chart/Q1c5VWwD/?symbol=lbrx" TargetMode="External" Id="rId43" /><Relationship Type="http://schemas.openxmlformats.org/officeDocument/2006/relationships/hyperlink" Target="https://www.tradingview.com/chart/Q1c5VWwD/?symbol=goss" TargetMode="External" Id="rId44" /><Relationship Type="http://schemas.openxmlformats.org/officeDocument/2006/relationships/hyperlink" Target="https://www.tradingview.com/chart/Q1c5VWwD/?symbol=neo" TargetMode="External" Id="rId45" /><Relationship Type="http://schemas.openxmlformats.org/officeDocument/2006/relationships/hyperlink" Target="https://www.tradingview.com/chart/Q1c5VWwD/?symbol=smti" TargetMode="External" Id="rId46" /><Relationship Type="http://schemas.openxmlformats.org/officeDocument/2006/relationships/hyperlink" Target="https://www.tradingview.com/chart/Q1c5VWwD/?symbol=itgr" TargetMode="External" Id="rId47" /><Relationship Type="http://schemas.openxmlformats.org/officeDocument/2006/relationships/hyperlink" Target="https://www.tradingview.com/chart/Q1c5VWwD/?symbol=cai" TargetMode="External" Id="rId48" /><Relationship Type="http://schemas.openxmlformats.org/officeDocument/2006/relationships/hyperlink" Target="https://www.tradingview.com/chart/Q1c5VWwD/?symbol=iova" TargetMode="External" Id="rId49" /><Relationship Type="http://schemas.openxmlformats.org/officeDocument/2006/relationships/hyperlink" Target="https://www.tradingview.com/chart/Q1c5VWwD/?symbol=sght" TargetMode="External" Id="rId50" /><Relationship Type="http://schemas.openxmlformats.org/officeDocument/2006/relationships/hyperlink" Target="https://www.tradingview.com/chart/Q1c5VWwD/?symbol=rcel" TargetMode="External" Id="rId51" /><Relationship Type="http://schemas.openxmlformats.org/officeDocument/2006/relationships/hyperlink" Target="https://www.tradingview.com/chart/Q1c5VWwD/?symbol=avah" TargetMode="External" Id="rId52" /><Relationship Type="http://schemas.openxmlformats.org/officeDocument/2006/relationships/hyperlink" Target="https://www.tradingview.com/chart/Q1c5VWwD/?symbol=eton" TargetMode="External" Id="rId53" /><Relationship Type="http://schemas.openxmlformats.org/officeDocument/2006/relationships/hyperlink" Target="https://www.tradingview.com/chart/Q1c5VWwD/?symbol=oabi" TargetMode="External" Id="rId54" /><Relationship Type="http://schemas.openxmlformats.org/officeDocument/2006/relationships/hyperlink" Target="https://www.tradingview.com/chart/Q1c5VWwD/?symbol=amlx" TargetMode="External" Id="rId55" /><Relationship Type="http://schemas.openxmlformats.org/officeDocument/2006/relationships/hyperlink" Target="https://www.tradingview.com/chart/Q1c5VWwD/?symbol=biaf" TargetMode="External" Id="rId56" /><Relationship Type="http://schemas.openxmlformats.org/officeDocument/2006/relationships/hyperlink" Target="https://www.tradingview.com/chart/Q1c5VWwD/?symbol=mrna" TargetMode="External" Id="rId57" /><Relationship Type="http://schemas.openxmlformats.org/officeDocument/2006/relationships/hyperlink" Target="https://www.tradingview.com/chart/Q1c5VWwD/?symbol=mrvi" TargetMode="External" Id="rId58" /><Relationship Type="http://schemas.openxmlformats.org/officeDocument/2006/relationships/hyperlink" Target="https://www.tradingview.com/chart/Q1c5VWwD/?symbol=cyph" TargetMode="External" Id="rId59" /><Relationship Type="http://schemas.openxmlformats.org/officeDocument/2006/relationships/hyperlink" Target="https://www.tradingview.com/chart/Q1c5VWwD/?symbol=genb" TargetMode="External" Id="rId60" /><Relationship Type="http://schemas.openxmlformats.org/officeDocument/2006/relationships/hyperlink" Target="https://www.tradingview.com/chart/Q1c5VWwD/?symbol=mmed" TargetMode="External" Id="rId61" /><Relationship Type="http://schemas.openxmlformats.org/officeDocument/2006/relationships/hyperlink" Target="https://www.tradingview.com/chart/Q1c5VWwD/?symbol=nasdaq%3Aird" TargetMode="External" Id="rId62" /><Relationship Type="http://schemas.openxmlformats.org/officeDocument/2006/relationships/hyperlink" Target="https://www.tradingview.com/chart/Q1c5VWwD/?symbol=nasdaq%3Aplse" TargetMode="External" Id="rId63" /><Relationship Type="http://schemas.openxmlformats.org/officeDocument/2006/relationships/hyperlink" Target="https://www.tradingview.com/chart/Q1c5VWwD/?symbol=nasdaq%3Attrx" TargetMode="External" Id="rId64" /><Relationship Type="http://schemas.openxmlformats.org/officeDocument/2006/relationships/hyperlink" Target="https://www.tradingview.com/chart/Q1c5VWwD/?symbol=gral" TargetMode="External" Id="rId65" /><Relationship Type="http://schemas.openxmlformats.org/officeDocument/2006/relationships/hyperlink" Target="https://www.tradingview.com/chart/Q1c5VWwD/?symbol=grml" TargetMode="External" Id="rId66" /><Relationship Type="http://schemas.openxmlformats.org/officeDocument/2006/relationships/hyperlink" Target="https://www.tradingview.com/chart/Q1c5VWwD/?symbol=srzn" TargetMode="External" Id="rId67" /><Relationship Type="http://schemas.openxmlformats.org/officeDocument/2006/relationships/hyperlink" Target="https://www.tradingview.com/chart/Q1c5VWwD/?symbol=kod" TargetMode="External" Id="rId68" /><Relationship Type="http://schemas.openxmlformats.org/officeDocument/2006/relationships/hyperlink" Target="https://www.tradingview.com/chart/Q1c5VWwD/?symbol=almu" TargetMode="External" Id="rId69" /><Relationship Type="http://schemas.openxmlformats.org/officeDocument/2006/relationships/hyperlink" Target="https://www.tradingview.com/chart/Q1c5VWwD/?symbol=watt" TargetMode="External" Id="rId70" /><Relationship Type="http://schemas.openxmlformats.org/officeDocument/2006/relationships/hyperlink" Target="https://www.tradingview.com/chart/Q1c5VWwD/?symbol=nvts" TargetMode="External" Id="rId71" /><Relationship Type="http://schemas.openxmlformats.org/officeDocument/2006/relationships/hyperlink" Target="https://www.tradingview.com/chart/Q1c5VWwD/?symbol=ceva" TargetMode="External" Id="rId72" /><Relationship Type="http://schemas.openxmlformats.org/officeDocument/2006/relationships/hyperlink" Target="https://www.tradingview.com/chart/Q1c5VWwD/?symbol=mxl" TargetMode="External" Id="rId73" /><Relationship Type="http://schemas.openxmlformats.org/officeDocument/2006/relationships/hyperlink" Target="https://www.tradingview.com/chart/Q1c5VWwD/?symbol=pdfs" TargetMode="External" Id="rId74" /><Relationship Type="http://schemas.openxmlformats.org/officeDocument/2006/relationships/hyperlink" Target="https://www.tradingview.com/chart/Q1c5VWwD/?symbol=quik" TargetMode="External" Id="rId75" /><Relationship Type="http://schemas.openxmlformats.org/officeDocument/2006/relationships/hyperlink" Target="https://www.tradingview.com/chart/Q1c5VWwD/?symbol=band" TargetMode="External" Id="rId76" /><Relationship Type="http://schemas.openxmlformats.org/officeDocument/2006/relationships/hyperlink" Target="https://www.tradingview.com/chart/Q1c5VWwD/?symbol=ichr" TargetMode="External" Id="rId77" /><Relationship Type="http://schemas.openxmlformats.org/officeDocument/2006/relationships/hyperlink" Target="https://www.tradingview.com/chart/Q1c5VWwD/?symbol=veco" TargetMode="External" Id="rId78" /><Relationship Type="http://schemas.openxmlformats.org/officeDocument/2006/relationships/hyperlink" Target="https://www.tradingview.com/chart/Q1c5VWwD/?symbol=rxt" TargetMode="External" Id="rId79" /><Relationship Type="http://schemas.openxmlformats.org/officeDocument/2006/relationships/hyperlink" Target="https://www.tradingview.com/chart/Q1c5VWwD/?symbol=inod" TargetMode="External" Id="rId80" /><Relationship Type="http://schemas.openxmlformats.org/officeDocument/2006/relationships/hyperlink" Target="https://www.tradingview.com/chart/Q1c5VWwD/?symbol=nvec" TargetMode="External" Id="rId81" /><Relationship Type="http://schemas.openxmlformats.org/officeDocument/2006/relationships/hyperlink" Target="https://www.tradingview.com/chart/Q1c5VWwD/?symbol=ambq" TargetMode="External" Id="rId82" /><Relationship Type="http://schemas.openxmlformats.org/officeDocument/2006/relationships/hyperlink" Target="https://www.tradingview.com/chart/Q1c5VWwD/?symbol=aip" TargetMode="External" Id="rId83" /><Relationship Type="http://schemas.openxmlformats.org/officeDocument/2006/relationships/hyperlink" Target="https://www.tradingview.com/chart/Q1c5VWwD/?symbol=peng" TargetMode="External" Id="rId84" /><Relationship Type="http://schemas.openxmlformats.org/officeDocument/2006/relationships/hyperlink" Target="https://www.tradingview.com/chart/Q1c5VWwD/?symbol=vpg" TargetMode="External" Id="rId85" /><Relationship Type="http://schemas.openxmlformats.org/officeDocument/2006/relationships/hyperlink" Target="https://www.tradingview.com/chart/Q1c5VWwD/?symbol=vsh" TargetMode="External" Id="rId86" /><Relationship Type="http://schemas.openxmlformats.org/officeDocument/2006/relationships/hyperlink" Target="https://www.tradingview.com/chart/Q1c5VWwD/?symbol=wolf" TargetMode="External" Id="rId87" /><Relationship Type="http://schemas.openxmlformats.org/officeDocument/2006/relationships/hyperlink" Target="https://www.tradingview.com/chart/Q1c5VWwD/?symbol=brun" TargetMode="External" Id="rId88" /><Relationship Type="http://schemas.openxmlformats.org/officeDocument/2006/relationships/hyperlink" Target="https://www.tradingview.com/chart/Q1c5VWwD/?symbol=gcts" TargetMode="External" Id="rId89" /><Relationship Type="http://schemas.openxmlformats.org/officeDocument/2006/relationships/hyperlink" Target="https://www.tradingview.com/chart/Q1c5VWwD/?symbol=ramp" TargetMode="External" Id="rId90" /><Relationship Type="http://schemas.openxmlformats.org/officeDocument/2006/relationships/hyperlink" Target="https://www.tradingview.com/chart/Q1c5VWwD/?symbol=rell" TargetMode="External" Id="rId91" /><Relationship Type="http://schemas.openxmlformats.org/officeDocument/2006/relationships/hyperlink" Target="https://www.tradingview.com/chart/Q1c5VWwD/?symbol=hlit" TargetMode="External" Id="rId92" /><Relationship Type="http://schemas.openxmlformats.org/officeDocument/2006/relationships/hyperlink" Target="https://www.tradingview.com/chart/Q1c5VWwD/?symbol=powi" TargetMode="External" Id="rId93" /><Relationship Type="http://schemas.openxmlformats.org/officeDocument/2006/relationships/hyperlink" Target="https://www.tradingview.com/chart/Q1c5VWwD/?symbol=nasdaq%3Acrsr" TargetMode="External" Id="rId94" /><Relationship Type="http://schemas.openxmlformats.org/officeDocument/2006/relationships/hyperlink" Target="https://www.tradingview.com/chart/Q1c5VWwD/?symbol=amex%3Aumac" TargetMode="External" Id="rId95" /><Relationship Type="http://schemas.openxmlformats.org/officeDocument/2006/relationships/hyperlink" Target="https://www.tradingview.com/chart/Q1c5VWwD/?symbol=svco" TargetMode="External" Id="rId96" /><Relationship Type="http://schemas.openxmlformats.org/officeDocument/2006/relationships/hyperlink" Target="https://www.tradingview.com/chart/Q1c5VWwD/?symbol=fa" TargetMode="External" Id="rId97" /><Relationship Type="http://schemas.openxmlformats.org/officeDocument/2006/relationships/hyperlink" Target="https://www.tradingview.com/chart/Q1c5VWwD/?symbol=shaz" TargetMode="External" Id="rId98" /><Relationship Type="http://schemas.openxmlformats.org/officeDocument/2006/relationships/hyperlink" Target="https://www.tradingview.com/chart/Q1c5VWwD/?symbol=alab" TargetMode="External" Id="rId99" /><Relationship Type="http://schemas.openxmlformats.org/officeDocument/2006/relationships/hyperlink" Target="https://www.tradingview.com/chart/Q1c5VWwD/?symbol=exfy" TargetMode="External" Id="rId100" /><Relationship Type="http://schemas.openxmlformats.org/officeDocument/2006/relationships/hyperlink" Target="https://www.tradingview.com/chart/Q1c5VWwD/?symbol=sstk" TargetMode="External" Id="rId101" /><Relationship Type="http://schemas.openxmlformats.org/officeDocument/2006/relationships/hyperlink" Target="https://www.tradingview.com/chart/Q1c5VWwD/?symbol=blze" TargetMode="External" Id="rId102" /><Relationship Type="http://schemas.openxmlformats.org/officeDocument/2006/relationships/hyperlink" Target="https://www.tradingview.com/chart/Q1c5VWwD/?symbol=wyy" TargetMode="External" Id="rId103" /><Relationship Type="http://schemas.openxmlformats.org/officeDocument/2006/relationships/hyperlink" Target="https://www.tradingview.com/chart/Q1c5VWwD/?symbol=vrex" TargetMode="External" Id="rId104" /><Relationship Type="http://schemas.openxmlformats.org/officeDocument/2006/relationships/hyperlink" Target="https://www.tradingview.com/chart/Q1c5VWwD/?symbol=qmco" TargetMode="External" Id="rId105" /><Relationship Type="http://schemas.openxmlformats.org/officeDocument/2006/relationships/hyperlink" Target="https://www.tradingview.com/chart/Q1c5VWwD/?symbol=daic" TargetMode="External" Id="rId106" /><Relationship Type="http://schemas.openxmlformats.org/officeDocument/2006/relationships/hyperlink" Target="https://www.tradingview.com/chart/Q1c5VWwD/?symbol=spir" TargetMode="External" Id="rId107" /><Relationship Type="http://schemas.openxmlformats.org/officeDocument/2006/relationships/hyperlink" Target="https://www.tradingview.com/chart/Q1c5VWwD/?symbol=grpn" TargetMode="External" Id="rId108" /><Relationship Type="http://schemas.openxmlformats.org/officeDocument/2006/relationships/hyperlink" Target="https://www.tradingview.com/chart/Q1c5VWwD/?symbol=ela" TargetMode="External" Id="rId109" /><Relationship Type="http://schemas.openxmlformats.org/officeDocument/2006/relationships/hyperlink" Target="https://www.tradingview.com/chart/Q1c5VWwD/?symbol=ptrn" TargetMode="External" Id="rId110" /><Relationship Type="http://schemas.openxmlformats.org/officeDocument/2006/relationships/hyperlink" Target="https://www.tradingview.com/chart/Q1c5VWwD/?symbol=dbgi" TargetMode="External" Id="rId111" /><Relationship Type="http://schemas.openxmlformats.org/officeDocument/2006/relationships/hyperlink" Target="https://www.tradingview.com/chart/Q1c5VWwD/?symbol=mov" TargetMode="External" Id="rId112" /><Relationship Type="http://schemas.openxmlformats.org/officeDocument/2006/relationships/hyperlink" Target="https://www.tradingview.com/chart/Q1c5VWwD/?symbol=bbcp" TargetMode="External" Id="rId113" /><Relationship Type="http://schemas.openxmlformats.org/officeDocument/2006/relationships/hyperlink" Target="https://www.tradingview.com/chart/Q1c5VWwD/?symbol=mpaa" TargetMode="External" Id="rId114" /><Relationship Type="http://schemas.openxmlformats.org/officeDocument/2006/relationships/hyperlink" Target="https://www.tradingview.com/chart/Q1c5VWwD/?symbol=payo" TargetMode="External" Id="rId115" /><Relationship Type="http://schemas.openxmlformats.org/officeDocument/2006/relationships/hyperlink" Target="https://www.tradingview.com/chart/Q1c5VWwD/?symbol=rtb" TargetMode="External" Id="rId116" /><Relationship Type="http://schemas.openxmlformats.org/officeDocument/2006/relationships/hyperlink" Target="https://www.tradingview.com/chart/Q1c5VWwD/?symbol=cook" TargetMode="External" Id="rId117" /><Relationship Type="http://schemas.openxmlformats.org/officeDocument/2006/relationships/hyperlink" Target="https://www.tradingview.com/chart/Q1c5VWwD/?symbol=wen" TargetMode="External" Id="rId118" /><Relationship Type="http://schemas.openxmlformats.org/officeDocument/2006/relationships/hyperlink" Target="https://www.tradingview.com/chart/Q1c5VWwD/?symbol=pay" TargetMode="External" Id="rId119" /><Relationship Type="http://schemas.openxmlformats.org/officeDocument/2006/relationships/hyperlink" Target="https://www.tradingview.com/chart/Q1c5VWwD/?symbol=irdm" TargetMode="External" Id="rId120" /><Relationship Type="http://schemas.openxmlformats.org/officeDocument/2006/relationships/hyperlink" Target="https://www.tradingview.com/chart/Q1c5VWwD/?symbol=amwl" TargetMode="External" Id="rId121" /><Relationship Type="http://schemas.openxmlformats.org/officeDocument/2006/relationships/hyperlink" Target="https://www.tradingview.com/chart/Q1c5VWwD/?symbol=dsgr" TargetMode="External" Id="rId122" /><Relationship Type="http://schemas.openxmlformats.org/officeDocument/2006/relationships/hyperlink" Target="https://www.tradingview.com/chart/Q1c5VWwD/?symbol=dfns" TargetMode="External" Id="rId123" /><Relationship Type="http://schemas.openxmlformats.org/officeDocument/2006/relationships/hyperlink" Target="https://www.tradingview.com/chart/Q1c5VWwD/?symbol=airt" TargetMode="External" Id="rId124" /><Relationship Type="http://schemas.openxmlformats.org/officeDocument/2006/relationships/hyperlink" Target="https://www.tradingview.com/chart/Q1c5VWwD/?symbol=oesx" TargetMode="External" Id="rId125" /><Relationship Type="http://schemas.openxmlformats.org/officeDocument/2006/relationships/hyperlink" Target="https://www.tradingview.com/chart/Q1c5VWwD/?symbol=aeva" TargetMode="External" Id="rId126" /><Relationship Type="http://schemas.openxmlformats.org/officeDocument/2006/relationships/hyperlink" Target="https://www.tradingview.com/chart/Q1c5VWwD/?symbol=aspn" TargetMode="External" Id="rId127" /><Relationship Type="http://schemas.openxmlformats.org/officeDocument/2006/relationships/hyperlink" Target="https://www.tradingview.com/chart/Q1c5VWwD/?symbol=hbb" TargetMode="External" Id="rId128" /><Relationship Type="http://schemas.openxmlformats.org/officeDocument/2006/relationships/hyperlink" Target="https://www.tradingview.com/chart/Q1c5VWwD/?symbol=bwmn" TargetMode="External" Id="rId129" /><Relationship Type="http://schemas.openxmlformats.org/officeDocument/2006/relationships/hyperlink" Target="https://www.tradingview.com/chart/Q1c5VWwD/?symbol=hzo" TargetMode="External" Id="rId130" /><Relationship Type="http://schemas.openxmlformats.org/officeDocument/2006/relationships/hyperlink" Target="https://www.tradingview.com/chart/Q1c5VWwD/?symbol=kplt" TargetMode="External" Id="rId131" /><Relationship Type="http://schemas.openxmlformats.org/officeDocument/2006/relationships/hyperlink" Target="https://www.tradingview.com/chart/Q1c5VWwD/?symbol=curi" TargetMode="External" Id="rId132" /><Relationship Type="http://schemas.openxmlformats.org/officeDocument/2006/relationships/hyperlink" Target="https://www.tradingview.com/chart/Q1c5VWwD/?symbol=imxi" TargetMode="External" Id="rId133" /><Relationship Type="http://schemas.openxmlformats.org/officeDocument/2006/relationships/hyperlink" Target="https://www.tradingview.com/chart/Q1c5VWwD/?symbol=tlys" TargetMode="External" Id="rId134" /><Relationship Type="http://schemas.openxmlformats.org/officeDocument/2006/relationships/hyperlink" Target="https://www.tradingview.com/chart/Q1c5VWwD/?symbol=aout" TargetMode="External" Id="rId135" /><Relationship Type="http://schemas.openxmlformats.org/officeDocument/2006/relationships/hyperlink" Target="https://www.tradingview.com/chart/Q1c5VWwD/?symbol=jill" TargetMode="External" Id="rId136" /><Relationship Type="http://schemas.openxmlformats.org/officeDocument/2006/relationships/hyperlink" Target="https://www.tradingview.com/chart/Q1c5VWwD/?symbol=acva" TargetMode="External" Id="rId137" /><Relationship Type="http://schemas.openxmlformats.org/officeDocument/2006/relationships/hyperlink" Target="https://www.tradingview.com/chart/Q1c5VWwD/?symbol=vnce" TargetMode="External" Id="rId138" /><Relationship Type="http://schemas.openxmlformats.org/officeDocument/2006/relationships/hyperlink" Target="https://www.tradingview.com/chart/Q1c5VWwD/?symbol=vra" TargetMode="External" Id="rId139" /><Relationship Type="http://schemas.openxmlformats.org/officeDocument/2006/relationships/hyperlink" Target="https://www.tradingview.com/chart/Q1c5VWwD/?symbol=prth" TargetMode="External" Id="rId140" /><Relationship Type="http://schemas.openxmlformats.org/officeDocument/2006/relationships/hyperlink" Target="https://www.tradingview.com/chart/Q1c5VWwD/?symbol=nath" TargetMode="External" Id="rId141" /><Relationship Type="http://schemas.openxmlformats.org/officeDocument/2006/relationships/hyperlink" Target="https://www.tradingview.com/chart/Q1c5VWwD/?symbol=ceco" TargetMode="External" Id="rId142" /><Relationship Type="http://schemas.openxmlformats.org/officeDocument/2006/relationships/hyperlink" Target="https://www.tradingview.com/chart/Q1c5VWwD/?symbol=intt" TargetMode="External" Id="rId143" /><Relationship Type="http://schemas.openxmlformats.org/officeDocument/2006/relationships/hyperlink" Target="https://www.tradingview.com/chart/Q1c5VWwD/?symbol=nwpx" TargetMode="External" Id="rId144" /><Relationship Type="http://schemas.openxmlformats.org/officeDocument/2006/relationships/hyperlink" Target="https://www.tradingview.com/chart/Q1c5VWwD/?symbol=fstr" TargetMode="External" Id="rId145" /><Relationship Type="http://schemas.openxmlformats.org/officeDocument/2006/relationships/hyperlink" Target="https://www.tradingview.com/chart/Q1c5VWwD/?symbol=strl" TargetMode="External" Id="rId146" /><Relationship Type="http://schemas.openxmlformats.org/officeDocument/2006/relationships/hyperlink" Target="https://www.tradingview.com/chart/Q1c5VWwD/?symbol=evc" TargetMode="External" Id="rId147" /><Relationship Type="http://schemas.openxmlformats.org/officeDocument/2006/relationships/hyperlink" Target="https://www.tradingview.com/chart/Q1c5VWwD/?symbol=oust" TargetMode="External" Id="rId148" /><Relationship Type="http://schemas.openxmlformats.org/officeDocument/2006/relationships/hyperlink" Target="https://www.tradingview.com/chart/Q1c5VWwD/?symbol=mnts" TargetMode="External" Id="rId149" /><Relationship Type="http://schemas.openxmlformats.org/officeDocument/2006/relationships/hyperlink" Target="https://www.tradingview.com/chart/Q1c5VWwD/?symbol=chrn" TargetMode="External" Id="rId150" /><Relationship Type="http://schemas.openxmlformats.org/officeDocument/2006/relationships/hyperlink" Target="https://www.tradingview.com/chart/Q1c5VWwD/?symbol=airj" TargetMode="External" Id="rId151" /><Relationship Type="http://schemas.openxmlformats.org/officeDocument/2006/relationships/hyperlink" Target="https://www.tradingview.com/chart/Q1c5VWwD/?symbol=mec" TargetMode="External" Id="rId152" /><Relationship Type="http://schemas.openxmlformats.org/officeDocument/2006/relationships/hyperlink" Target="https://www.tradingview.com/chart/Q1c5VWwD/?symbol=occ" TargetMode="External" Id="rId153" /><Relationship Type="http://schemas.openxmlformats.org/officeDocument/2006/relationships/hyperlink" Target="https://www.tradingview.com/chart/Q1c5VWwD/?symbol=frd" TargetMode="External" Id="rId154" /><Relationship Type="http://schemas.openxmlformats.org/officeDocument/2006/relationships/hyperlink" Target="https://www.tradingview.com/chart/Q1c5VWwD/?symbol=swbi" TargetMode="External" Id="rId155" /><Relationship Type="http://schemas.openxmlformats.org/officeDocument/2006/relationships/hyperlink" Target="https://www.tradingview.com/chart/Q1c5VWwD/?symbol=cdnl" TargetMode="External" Id="rId156" /><Relationship Type="http://schemas.openxmlformats.org/officeDocument/2006/relationships/hyperlink" Target="https://www.tradingview.com/chart/Q1c5VWwD/?symbol=nnbr" TargetMode="External" Id="rId157" /><Relationship Type="http://schemas.openxmlformats.org/officeDocument/2006/relationships/hyperlink" Target="https://www.tradingview.com/chart/Q1c5VWwD/?symbol=mye" TargetMode="External" Id="rId158" /><Relationship Type="http://schemas.openxmlformats.org/officeDocument/2006/relationships/hyperlink" Target="https://www.tradingview.com/chart/Q1c5VWwD/?symbol=lcid" TargetMode="External" Id="rId159" /><Relationship Type="http://schemas.openxmlformats.org/officeDocument/2006/relationships/hyperlink" Target="https://www.tradingview.com/chart/Q1c5VWwD/?symbol=prpo" TargetMode="External" Id="rId160" /><Relationship Type="http://schemas.openxmlformats.org/officeDocument/2006/relationships/hyperlink" Target="https://www.tradingview.com/chart/Q1c5VWwD/?symbol=pesi" TargetMode="External" Id="rId161" /><Relationship Type="http://schemas.openxmlformats.org/officeDocument/2006/relationships/hyperlink" Target="https://www.tradingview.com/chart/Q1c5VWwD/?symbol=nwl" TargetMode="External" Id="rId162" /><Relationship Type="http://schemas.openxmlformats.org/officeDocument/2006/relationships/hyperlink" Target="https://www.tradingview.com/chart/Q1c5VWwD/?symbol=ftk" TargetMode="External" Id="rId163" /><Relationship Type="http://schemas.openxmlformats.org/officeDocument/2006/relationships/hyperlink" Target="https://www.tradingview.com/chart/Q1c5VWwD/?symbol=krt" TargetMode="External" Id="rId164" /><Relationship Type="http://schemas.openxmlformats.org/officeDocument/2006/relationships/hyperlink" Target="https://www.tradingview.com/chart/Q1c5VWwD/?symbol=mtw" TargetMode="External" Id="rId165" /><Relationship Type="http://schemas.openxmlformats.org/officeDocument/2006/relationships/hyperlink" Target="https://www.tradingview.com/chart/Q1c5VWwD/?symbol=feim" TargetMode="External" Id="rId166" /><Relationship Type="http://schemas.openxmlformats.org/officeDocument/2006/relationships/hyperlink" Target="https://www.tradingview.com/chart/Q1c5VWwD/?symbol=amex%3Arlgt" TargetMode="External" Id="rId167" /><Relationship Type="http://schemas.openxmlformats.org/officeDocument/2006/relationships/hyperlink" Target="https://www.tradingview.com/chart/Q1c5VWwD/?symbol=rgr" TargetMode="External" Id="rId168" /><Relationship Type="http://schemas.openxmlformats.org/officeDocument/2006/relationships/hyperlink" Target="https://www.tradingview.com/chart/Q1c5VWwD/?symbol=wyfi" TargetMode="External" Id="rId169" /><Relationship Type="http://schemas.openxmlformats.org/officeDocument/2006/relationships/hyperlink" Target="https://www.tradingview.com/chart/Q1c5VWwD/?symbol=bcbp" TargetMode="External" Id="rId170" /><Relationship Type="http://schemas.openxmlformats.org/officeDocument/2006/relationships/hyperlink" Target="https://www.tradingview.com/chart/Q1c5VWwD/?symbol=zsqr" TargetMode="External" Id="rId171" /><Relationship Type="http://schemas.openxmlformats.org/officeDocument/2006/relationships/hyperlink" Target="https://www.tradingview.com/chart/Q1c5VWwD/?symbol=fnlc" TargetMode="External" Id="rId172" /><Relationship Type="http://schemas.openxmlformats.org/officeDocument/2006/relationships/hyperlink" Target="https://www.tradingview.com/chart/Q1c5VWwD/?symbol=fwdi" TargetMode="External" Id="rId173" /><Relationship Type="http://schemas.openxmlformats.org/officeDocument/2006/relationships/hyperlink" Target="https://www.tradingview.com/chart/Q1c5VWwD/?symbol=tcbk" TargetMode="External" Id="rId174" /><Relationship Type="http://schemas.openxmlformats.org/officeDocument/2006/relationships/hyperlink" Target="https://www.tradingview.com/chart/Q1c5VWwD/?symbol=saft" TargetMode="External" Id="rId175" /><Relationship Type="http://schemas.openxmlformats.org/officeDocument/2006/relationships/hyperlink" Target="https://www.tradingview.com/chart/Q1c5VWwD/?symbol=bow" TargetMode="External" Id="rId176" /><Relationship Type="http://schemas.openxmlformats.org/officeDocument/2006/relationships/hyperlink" Target="https://www.tradingview.com/chart/Q1c5VWwD/?symbol=life" TargetMode="External" Id="rId177" /><Relationship Type="http://schemas.openxmlformats.org/officeDocument/2006/relationships/hyperlink" Target="https://www.tradingview.com/chart/Q1c5VWwD/?symbol=brbs" TargetMode="External" Id="rId178" /><Relationship Type="http://schemas.openxmlformats.org/officeDocument/2006/relationships/hyperlink" Target="https://www.tradingview.com/chart/Q1c5VWwD/?symbol=nasdaq%3Apurr" TargetMode="External" Id="rId179" /><Relationship Type="http://schemas.openxmlformats.org/officeDocument/2006/relationships/hyperlink" Target="https://www.tradingview.com/chart/Q1c5VWwD/?symbol=nasdaq%3Absvn" TargetMode="External" Id="rId180" /><Relationship Type="http://schemas.openxmlformats.org/officeDocument/2006/relationships/hyperlink" Target="https://www.tradingview.com/chart/Q1c5VWwD/?symbol=nasdaq%3Agemi" TargetMode="External" Id="rId181" /><Relationship Type="http://schemas.openxmlformats.org/officeDocument/2006/relationships/hyperlink" Target="https://www.tradingview.com/chart/Q1c5VWwD/?symbol=flnc" TargetMode="External" Id="rId182" /><Relationship Type="http://schemas.openxmlformats.org/officeDocument/2006/relationships/hyperlink" Target="https://www.tradingview.com/chart/Q1c5VWwD/?symbol=apps" TargetMode="External" Id="rId183" /><Relationship Type="http://schemas.openxmlformats.org/officeDocument/2006/relationships/hyperlink" Target="https://www.tradingview.com/chart/Q1c5VWwD/?symbol=neov" TargetMode="External" Id="rId184" /><Relationship Type="http://schemas.openxmlformats.org/officeDocument/2006/relationships/hyperlink" Target="https://www.tradingview.com/chart/Q1c5VWwD/?symbol=atkr" TargetMode="External" Id="rId185" /><Relationship Type="http://schemas.openxmlformats.org/officeDocument/2006/relationships/hyperlink" Target="https://www.tradingview.com/chart/Q1c5VWwD/?symbol=chpt" TargetMode="External" Id="rId186" /><Relationship Type="http://schemas.openxmlformats.org/officeDocument/2006/relationships/hyperlink" Target="https://www.tradingview.com/chart/Q1c5VWwD/?symbol=extr" TargetMode="External" Id="rId187" /><Relationship Type="http://schemas.openxmlformats.org/officeDocument/2006/relationships/hyperlink" Target="https://www.tradingview.com/chart/Q1c5VWwD/?symbol=cxdo" TargetMode="External" Id="rId188" /><Relationship Type="http://schemas.openxmlformats.org/officeDocument/2006/relationships/hyperlink" Target="https://www.tradingview.com/chart/Q1c5VWwD/?symbol=ampg" TargetMode="External" Id="rId189" /><Relationship Type="http://schemas.openxmlformats.org/officeDocument/2006/relationships/hyperlink" Target="https://www.tradingview.com/chart/Q1c5VWwD/?symbol=atex" TargetMode="External" Id="rId190" /><Relationship Type="http://schemas.openxmlformats.org/officeDocument/2006/relationships/hyperlink" Target="https://www.tradingview.com/chart/Q1c5VWwD/?symbol=roku" TargetMode="External" Id="rId191" /><Relationship Type="http://schemas.openxmlformats.org/officeDocument/2006/relationships/hyperlink" Target="https://www.tradingview.com/chart/Q1c5VWwD/?symbol=intg" TargetMode="External" Id="rId192" /><Relationship Type="http://schemas.openxmlformats.org/officeDocument/2006/relationships/hyperlink" Target="https://www.tradingview.com/chart/Q1c5VWwD/?symbol=acre" TargetMode="External" Id="rId193" /><Relationship Type="http://schemas.openxmlformats.org/officeDocument/2006/relationships/hyperlink" Target="https://www.tradingview.com/chart/Q1c5VWwD/?symbol=nyse%3Acsr" TargetMode="External" Id="rId194" /><Relationship Type="http://schemas.openxmlformats.org/officeDocument/2006/relationships/hyperlink" Target="https://www.tradingview.com/chart/Q1c5VWwD/?symbol=hhh" TargetMode="External" Id="rId195" /><Relationship Type="http://schemas.openxmlformats.org/officeDocument/2006/relationships/hyperlink" Target="https://www.tradingview.com/chart/Q1c5VWwD/?symbol=fizz" TargetMode="External" Id="rId196" /><Relationship Type="http://schemas.openxmlformats.org/officeDocument/2006/relationships/hyperlink" Target="https://www.tradingview.com/chart/Q1c5VWwD/?symbol=utz" TargetMode="External" Id="rId197" /><Relationship Type="http://schemas.openxmlformats.org/officeDocument/2006/relationships/hyperlink" Target="https://www.tradingview.com/chart/Q1c5VWwD/?symbol=bnc" TargetMode="External" Id="rId198" /><Relationship Type="http://schemas.openxmlformats.org/officeDocument/2006/relationships/hyperlink" Target="https://www.tradingview.com/chart/Q1c5VWwD/?symbol=clfd" TargetMode="External" Id="rId199" /><Relationship Type="http://schemas.openxmlformats.org/officeDocument/2006/relationships/hyperlink" Target="https://www.tradingview.com/chart/Q1c5VWwD/?symbol=mntk" TargetMode="External" Id="rId200" /><Relationship Type="http://schemas.openxmlformats.org/officeDocument/2006/relationships/hyperlink" Target="https://www.tradingview.com/chart/Q1c5VWwD/?symbol=fcel" TargetMode="External" Id="rId201" /><Relationship Type="http://schemas.openxmlformats.org/officeDocument/2006/relationships/hyperlink" Target="https://www.tradingview.com/chart/Q1c5VWwD/?symbol=glnd" TargetMode="External" Id="rId202" /><Relationship Type="http://schemas.openxmlformats.org/officeDocument/2006/relationships/hyperlink" Target="https://www.tradingview.com/chart/Q1c5VWwD/?symbol=nucl" TargetMode="External" Id="rId203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tradingview.com/chart/Q1c5VWwD/?symbol=nasdaq%3Apurr" TargetMode="External" Id="rId1" /><Relationship Type="http://schemas.openxmlformats.org/officeDocument/2006/relationships/hyperlink" Target="https://www.tradingview.com/chart/Q1c5VWwD/?symbol=nasdaq%3Aplse" TargetMode="External" Id="rId2" /><Relationship Type="http://schemas.openxmlformats.org/officeDocument/2006/relationships/hyperlink" Target="https://www.tradingview.com/chart/Q1c5VWwD/?symbol=amex%3Arlgt" TargetMode="External" Id="rId3" /><Relationship Type="http://schemas.openxmlformats.org/officeDocument/2006/relationships/hyperlink" Target="https://www.tradingview.com/chart/Q1c5VWwD/?symbol=nyse%3Acsr" TargetMode="External" Id="rId4" /><Relationship Type="http://schemas.openxmlformats.org/officeDocument/2006/relationships/hyperlink" Target="https://www.tradingview.com/chart/Q1c5VWwD/?symbol=nasdaq%3Absvn" TargetMode="External" Id="rId5" /><Relationship Type="http://schemas.openxmlformats.org/officeDocument/2006/relationships/hyperlink" Target="https://www.tradingview.com/chart/Q1c5VWwD/?symbol=nasdaq%3Acrsr" TargetMode="External" Id="rId6" /><Relationship Type="http://schemas.openxmlformats.org/officeDocument/2006/relationships/hyperlink" Target="https://www.tradingview.com/chart/Q1c5VWwD/?symbol=nasdaq%3Acmrc" TargetMode="External" Id="rId7" /><Relationship Type="http://schemas.openxmlformats.org/officeDocument/2006/relationships/hyperlink" Target="https://www.tradingview.com/chart/Q1c5VWwD/?symbol=nasdaq%3Aomer" TargetMode="External" Id="rId8" /><Relationship Type="http://schemas.openxmlformats.org/officeDocument/2006/relationships/hyperlink" Target="https://www.tradingview.com/chart/Q1c5VWwD/?symbol=nyse%3Ahae" TargetMode="External" Id="rId9" /><Relationship Type="http://schemas.openxmlformats.org/officeDocument/2006/relationships/hyperlink" Target="https://www.tradingview.com/chart/Q1c5VWwD/?symbol=nasdaq%3Aasst" TargetMode="External" Id="rId10" /><Relationship Type="http://schemas.openxmlformats.org/officeDocument/2006/relationships/hyperlink" Target="https://www.tradingview.com/chart/Q1c5VWwD/?symbol=nasdaq%3Agemi" TargetMode="External" Id="rId11" /><Relationship Type="http://schemas.openxmlformats.org/officeDocument/2006/relationships/hyperlink" Target="https://www.tradingview.com/chart/Q1c5VWwD/?symbol=amex%3Aumac" TargetMode="External" Id="rId12" /><Relationship Type="http://schemas.openxmlformats.org/officeDocument/2006/relationships/hyperlink" Target="https://www.tradingview.com/chart/Q1c5VWwD/?symbol=nasdaq%3Autmd" TargetMode="External" Id="rId13" /><Relationship Type="http://schemas.openxmlformats.org/officeDocument/2006/relationships/hyperlink" Target="https://www.tradingview.com/chart/Q1c5VWwD/?symbol=nyse%3Arng" TargetMode="External" Id="rId14" /><Relationship Type="http://schemas.openxmlformats.org/officeDocument/2006/relationships/hyperlink" Target="https://www.tradingview.com/chart/Q1c5VWwD/?symbol=nasdaq%3Aaso" TargetMode="External" Id="rId15" /><Relationship Type="http://schemas.openxmlformats.org/officeDocument/2006/relationships/hyperlink" Target="https://www.tradingview.com/chart/Q1c5VWwD/?symbol=nasdaq%3Abvs" TargetMode="External" Id="rId16" /><Relationship Type="http://schemas.openxmlformats.org/officeDocument/2006/relationships/hyperlink" Target="https://www.tradingview.com/chart/Q1c5VWwD/?symbol=nasdaq%3Abbnx" TargetMode="External" Id="rId17" /><Relationship Type="http://schemas.openxmlformats.org/officeDocument/2006/relationships/hyperlink" Target="https://www.tradingview.com/chart/Q1c5VWwD/?symbol=nasdaq%3Apkoh" TargetMode="External" Id="rId18" /><Relationship Type="http://schemas.openxmlformats.org/officeDocument/2006/relationships/hyperlink" Target="https://www.tradingview.com/chart/Q1c5VWwD/?symbol=nyse%3Akn" TargetMode="External" Id="rId19" /><Relationship Type="http://schemas.openxmlformats.org/officeDocument/2006/relationships/hyperlink" Target="https://www.tradingview.com/chart/Q1c5VWwD/?symbol=nasdaq%3Aflxs" TargetMode="External" Id="rId20" /><Relationship Type="http://schemas.openxmlformats.org/officeDocument/2006/relationships/hyperlink" Target="https://www.tradingview.com/chart/Q1c5VWwD/?symbol=nyse%3Aavtr" TargetMode="External" Id="rId21" /><Relationship Type="http://schemas.openxmlformats.org/officeDocument/2006/relationships/hyperlink" Target="https://www.tradingview.com/chart/Q1c5VWwD/?symbol=nasdaq%3Aamba" TargetMode="External" Id="rId22" /><Relationship Type="http://schemas.openxmlformats.org/officeDocument/2006/relationships/hyperlink" Target="https://www.tradingview.com/chart/Q1c5VWwD/?symbol=nasdaq%3Aird" TargetMode="External" Id="rId23" /><Relationship Type="http://schemas.openxmlformats.org/officeDocument/2006/relationships/hyperlink" Target="https://www.tradingview.com/chart/Q1c5VWwD/?symbol=nasdaq%3Attrx" TargetMode="External" Id="rId24" /><Relationship Type="http://schemas.openxmlformats.org/officeDocument/2006/relationships/hyperlink" Target="https://www.tradingview.com/chart/Q1c5VWwD/?symbol=nyse%3Adell" TargetMode="External" Id="rId25" /><Relationship Type="http://schemas.openxmlformats.org/officeDocument/2006/relationships/hyperlink" Target="https://www.tradingview.com/chart/Q1c5VWwD/?symbol=nasdaq%3Atitn" TargetMode="External" Id="rId26" /><Relationship Type="http://schemas.openxmlformats.org/officeDocument/2006/relationships/hyperlink" Target="https://www.tradingview.com/chart/Q1c5VWwD/?symbol=nyse%3Aestc" TargetMode="External" Id="rId27" /><Relationship Type="http://schemas.openxmlformats.org/officeDocument/2006/relationships/hyperlink" Target="https://www.tradingview.com/chart/Q1c5VWwD/?symbol=nasdaq%3Afivn" TargetMode="External" Id="rId28" /><Relationship Type="http://schemas.openxmlformats.org/officeDocument/2006/relationships/hyperlink" Target="https://www.tradingview.com/chart/Q1c5VWwD/?symbol=nyse%3Adhx" TargetMode="External" Id="rId29" /><Relationship Type="http://schemas.openxmlformats.org/officeDocument/2006/relationships/hyperlink" Target="https://www.tradingview.com/chart/Q1c5VWwD/?symbol=nyse%3Avlo" TargetMode="External" Id="rId30" /><Relationship Type="http://schemas.openxmlformats.org/officeDocument/2006/relationships/hyperlink" Target="https://www.tradingview.com/chart/Q1c5VWwD/?symbol=nyse%3Asnow" TargetMode="External" Id="rId31" /><Relationship Type="http://schemas.openxmlformats.org/officeDocument/2006/relationships/hyperlink" Target="https://www.tradingview.com/chart/Q1c5VWwD/?symbol=nyse%3Ampc" TargetMode="External" Id="rId32" /><Relationship Type="http://schemas.openxmlformats.org/officeDocument/2006/relationships/hyperlink" Target="https://www.tradingview.com/chart/Q1c5VWwD/?symbol=nasdaq%3Akgei" TargetMode="External" Id="rId33" /><Relationship Type="http://schemas.openxmlformats.org/officeDocument/2006/relationships/hyperlink" Target="https://www.tradingview.com/chart/Q1c5VWwD/?symbol=nyse%3Aibta" TargetMode="External" Id="rId34" /><Relationship Type="http://schemas.openxmlformats.org/officeDocument/2006/relationships/hyperlink" Target="https://www.tradingview.com/chart/Q1c5VWwD/?symbol=nasdaq%3Aelmt" TargetMode="External" Id="rId35" /><Relationship Type="http://schemas.openxmlformats.org/officeDocument/2006/relationships/hyperlink" Target="https://www.tradingview.com/chart/Q1c5VWwD/?symbol=nyse%3Alpg" TargetMode="External" Id="rId36" /><Relationship Type="http://schemas.openxmlformats.org/officeDocument/2006/relationships/hyperlink" Target="https://www.tradingview.com/chart/Q1c5VWwD/?symbol=amex%3Adc" TargetMode="External" Id="rId37" /><Relationship Type="http://schemas.openxmlformats.org/officeDocument/2006/relationships/hyperlink" Target="https://www.tradingview.com/chart/Q1c5VWwD/?symbol=nyse%3Abby" TargetMode="External" Id="rId38" /><Relationship Type="http://schemas.openxmlformats.org/officeDocument/2006/relationships/hyperlink" Target="https://www.tradingview.com/chart/Q1c5VWwD/?symbol=nasdaq%3Ath" TargetMode="External" Id="rId39" /><Relationship Type="http://schemas.openxmlformats.org/officeDocument/2006/relationships/hyperlink" Target="https://www.tradingview.com/chart/Q1c5VWwD/?symbol=nyse%3Adino" TargetMode="External" Id="rId40" /><Relationship Type="http://schemas.openxmlformats.org/officeDocument/2006/relationships/hyperlink" Target="https://www.tradingview.com/chart/Q1c5VWwD/?symbol=nyse%3Apsx" TargetMode="External" Id="rId4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tradingview.com/chart/Q1c5VWwD/?symbol=nasdaq%3Aird" TargetMode="External" Id="rId1" /><Relationship Type="http://schemas.openxmlformats.org/officeDocument/2006/relationships/hyperlink" Target="https://www.tradingview.com/chart/Q1c5VWwD/?symbol=nasdaq%3Attrx" TargetMode="External" Id="rId2" /><Relationship Type="http://schemas.openxmlformats.org/officeDocument/2006/relationships/hyperlink" Target="https://www.tradingview.com/chart/Q1c5VWwD/?symbol=nyse%3Adell" TargetMode="External" Id="rId3" /><Relationship Type="http://schemas.openxmlformats.org/officeDocument/2006/relationships/hyperlink" Target="https://www.tradingview.com/chart/Q1c5VWwD/?symbol=nasdaq%3Aplse" TargetMode="External" Id="rId4" /><Relationship Type="http://schemas.openxmlformats.org/officeDocument/2006/relationships/hyperlink" Target="https://www.tradingview.com/chart/Q1c5VWwD/?symbol=nasdaq%3Atitn" TargetMode="External" Id="rId5" /><Relationship Type="http://schemas.openxmlformats.org/officeDocument/2006/relationships/hyperlink" Target="https://www.tradingview.com/chart/Q1c5VWwD/?symbol=nyse%3Aestc" TargetMode="External" Id="rId6" /><Relationship Type="http://schemas.openxmlformats.org/officeDocument/2006/relationships/hyperlink" Target="https://www.tradingview.com/chart/Q1c5VWwD/?symbol=nasdaq%3Afivn" TargetMode="External" Id="rId7" /><Relationship Type="http://schemas.openxmlformats.org/officeDocument/2006/relationships/hyperlink" Target="https://www.tradingview.com/chart/Q1c5VWwD/?symbol=nyse%3Adhx" TargetMode="External" Id="rId8" /><Relationship Type="http://schemas.openxmlformats.org/officeDocument/2006/relationships/hyperlink" Target="https://www.tradingview.com/chart/Q1c5VWwD/?symbol=nyse%3Avlo" TargetMode="External" Id="rId9" /><Relationship Type="http://schemas.openxmlformats.org/officeDocument/2006/relationships/hyperlink" Target="https://www.tradingview.com/chart/Q1c5VWwD/?symbol=nasdaq%3Apurr" TargetMode="External" Id="rId10" /><Relationship Type="http://schemas.openxmlformats.org/officeDocument/2006/relationships/hyperlink" Target="https://www.tradingview.com/chart/Q1c5VWwD/?symbol=nyse%3Asnow" TargetMode="External" Id="rId11" /><Relationship Type="http://schemas.openxmlformats.org/officeDocument/2006/relationships/hyperlink" Target="https://www.tradingview.com/chart/Q1c5VWwD/?symbol=nyse%3Ampc" TargetMode="External" Id="rId12" /><Relationship Type="http://schemas.openxmlformats.org/officeDocument/2006/relationships/hyperlink" Target="https://www.tradingview.com/chart/Q1c5VWwD/?symbol=nasdaq%3Akgei" TargetMode="External" Id="rId13" /><Relationship Type="http://schemas.openxmlformats.org/officeDocument/2006/relationships/hyperlink" Target="https://www.tradingview.com/chart/Q1c5VWwD/?symbol=nyse%3Aibta" TargetMode="External" Id="rId14" /><Relationship Type="http://schemas.openxmlformats.org/officeDocument/2006/relationships/hyperlink" Target="https://www.tradingview.com/chart/Q1c5VWwD/?symbol=nasdaq%3Aelmt" TargetMode="External" Id="rId15" /><Relationship Type="http://schemas.openxmlformats.org/officeDocument/2006/relationships/hyperlink" Target="https://www.tradingview.com/chart/Q1c5VWwD/?symbol=nyse%3Alpg" TargetMode="External" Id="rId16" /><Relationship Type="http://schemas.openxmlformats.org/officeDocument/2006/relationships/hyperlink" Target="https://www.tradingview.com/chart/Q1c5VWwD/?symbol=amex%3Adc" TargetMode="External" Id="rId17" /><Relationship Type="http://schemas.openxmlformats.org/officeDocument/2006/relationships/hyperlink" Target="https://www.tradingview.com/chart/Q1c5VWwD/?symbol=nyse%3Abby" TargetMode="External" Id="rId18" /><Relationship Type="http://schemas.openxmlformats.org/officeDocument/2006/relationships/hyperlink" Target="https://www.tradingview.com/chart/Q1c5VWwD/?symbol=nasdaq%3Ath" TargetMode="External" Id="rId19" /><Relationship Type="http://schemas.openxmlformats.org/officeDocument/2006/relationships/hyperlink" Target="https://www.tradingview.com/chart/Q1c5VWwD/?symbol=nyse%3Adino" TargetMode="External" Id="rId20" /><Relationship Type="http://schemas.openxmlformats.org/officeDocument/2006/relationships/hyperlink" Target="https://www.tradingview.com/chart/Q1c5VWwD/?symbol=nyse%3Apsx" TargetMode="External" Id="rId2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tradingview.com/chart/Q1c5VWwD/?symbol=amex%3Arlgt" TargetMode="External" Id="rId1" /><Relationship Type="http://schemas.openxmlformats.org/officeDocument/2006/relationships/hyperlink" Target="https://www.tradingview.com/chart/Q1c5VWwD/?symbol=nyse%3Acsr" TargetMode="External" Id="rId2" /><Relationship Type="http://schemas.openxmlformats.org/officeDocument/2006/relationships/hyperlink" Target="https://www.tradingview.com/chart/Q1c5VWwD/?symbol=nasdaq%3Absvn" TargetMode="External" Id="rId3" /><Relationship Type="http://schemas.openxmlformats.org/officeDocument/2006/relationships/hyperlink" Target="https://www.tradingview.com/chart/Q1c5VWwD/?symbol=nasdaq%3Acrsr" TargetMode="External" Id="rId4" /><Relationship Type="http://schemas.openxmlformats.org/officeDocument/2006/relationships/hyperlink" Target="https://www.tradingview.com/chart/Q1c5VWwD/?symbol=nasdaq%3Acmrc" TargetMode="External" Id="rId5" /><Relationship Type="http://schemas.openxmlformats.org/officeDocument/2006/relationships/hyperlink" Target="https://www.tradingview.com/chart/Q1c5VWwD/?symbol=nasdaq%3Aomer" TargetMode="External" Id="rId6" /><Relationship Type="http://schemas.openxmlformats.org/officeDocument/2006/relationships/hyperlink" Target="https://www.tradingview.com/chart/Q1c5VWwD/?symbol=nasdaq%3Aasst" TargetMode="External" Id="rId7" /><Relationship Type="http://schemas.openxmlformats.org/officeDocument/2006/relationships/hyperlink" Target="https://www.tradingview.com/chart/Q1c5VWwD/?symbol=nasdaq%3Apurr" TargetMode="External" Id="rId8" /><Relationship Type="http://schemas.openxmlformats.org/officeDocument/2006/relationships/hyperlink" Target="https://www.tradingview.com/chart/Q1c5VWwD/?symbol=nyse%3Arng" TargetMode="External" Id="rId9" /><Relationship Type="http://schemas.openxmlformats.org/officeDocument/2006/relationships/hyperlink" Target="https://www.tradingview.com/chart/Q1c5VWwD/?symbol=nasdaq%3Aaso" TargetMode="External" Id="rId10" /><Relationship Type="http://schemas.openxmlformats.org/officeDocument/2006/relationships/hyperlink" Target="https://www.tradingview.com/chart/Q1c5VWwD/?symbol=nasdaq%3Aplse" TargetMode="External" Id="rId11" /><Relationship Type="http://schemas.openxmlformats.org/officeDocument/2006/relationships/hyperlink" Target="https://www.tradingview.com/chart/Q1c5VWwD/?symbol=nasdaq%3Abbnx" TargetMode="External" Id="rId12" /><Relationship Type="http://schemas.openxmlformats.org/officeDocument/2006/relationships/hyperlink" Target="https://www.tradingview.com/chart/Q1c5VWwD/?symbol=nasdaq%3Apkoh" TargetMode="External" Id="rId13" /><Relationship Type="http://schemas.openxmlformats.org/officeDocument/2006/relationships/hyperlink" Target="https://www.tradingview.com/chart/Q1c5VWwD/?symbol=nyse%3Aavtr" TargetMode="External" Id="rId14" /><Relationship Type="http://schemas.openxmlformats.org/officeDocument/2006/relationships/hyperlink" Target="https://www.tradingview.com/chart/Q1c5VWwD/?symbol=nyse%3Ahae" TargetMode="External" Id="rId15" /><Relationship Type="http://schemas.openxmlformats.org/officeDocument/2006/relationships/hyperlink" Target="https://www.tradingview.com/chart/Q1c5VWwD/?symbol=nasdaq%3Agemi" TargetMode="External" Id="rId16" /><Relationship Type="http://schemas.openxmlformats.org/officeDocument/2006/relationships/hyperlink" Target="https://www.tradingview.com/chart/Q1c5VWwD/?symbol=amex%3Aumac" TargetMode="External" Id="rId17" /><Relationship Type="http://schemas.openxmlformats.org/officeDocument/2006/relationships/hyperlink" Target="https://www.tradingview.com/chart/Q1c5VWwD/?symbol=nasdaq%3Autmd" TargetMode="External" Id="rId18" /><Relationship Type="http://schemas.openxmlformats.org/officeDocument/2006/relationships/hyperlink" Target="https://www.tradingview.com/chart/Q1c5VWwD/?symbol=nasdaq%3Abvs" TargetMode="External" Id="rId19" /><Relationship Type="http://schemas.openxmlformats.org/officeDocument/2006/relationships/hyperlink" Target="https://www.tradingview.com/chart/Q1c5VWwD/?symbol=nyse%3Akn" TargetMode="External" Id="rId20" /><Relationship Type="http://schemas.openxmlformats.org/officeDocument/2006/relationships/hyperlink" Target="https://www.tradingview.com/chart/Q1c5VWwD/?symbol=nasdaq%3Aflxs" TargetMode="External" Id="rId21" /><Relationship Type="http://schemas.openxmlformats.org/officeDocument/2006/relationships/hyperlink" Target="https://www.tradingview.com/chart/Q1c5VWwD/?symbol=nasdaq%3Aamba" TargetMode="External" Id="rId22" /><Relationship Type="http://schemas.openxmlformats.org/officeDocument/2006/relationships/hyperlink" Target="https://www.tradingview.com/chart/Q1c5VWwD/?symbol=amwl" TargetMode="External" Id="rId23" /><Relationship Type="http://schemas.openxmlformats.org/officeDocument/2006/relationships/hyperlink" Target="https://www.tradingview.com/chart/Q1c5VWwD/?symbol=nasdaq%3Aird" TargetMode="External" Id="rId24" /><Relationship Type="http://schemas.openxmlformats.org/officeDocument/2006/relationships/hyperlink" Target="https://www.tradingview.com/chart/Q1c5VWwD/?symbol=nyse%3Aestc" TargetMode="External" Id="rId25" /><Relationship Type="http://schemas.openxmlformats.org/officeDocument/2006/relationships/hyperlink" Target="https://www.tradingview.com/chart/Q1c5VWwD/?symbol=docs" TargetMode="External" Id="rId26" /><Relationship Type="http://schemas.openxmlformats.org/officeDocument/2006/relationships/hyperlink" Target="https://www.tradingview.com/chart/Q1c5VWwD/?symbol=ftk" TargetMode="External" Id="rId27" /><Relationship Type="http://schemas.openxmlformats.org/officeDocument/2006/relationships/hyperlink" Target="https://www.tradingview.com/chart/Q1c5VWwD/?symbol=agco" TargetMode="External" Id="rId28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tradingview.com/chart/Q1c5VWwD/?symbol=amex%3Arlgt" TargetMode="External" Id="rId1" /><Relationship Type="http://schemas.openxmlformats.org/officeDocument/2006/relationships/hyperlink" Target="https://www.tradingview.com/chart/Q1c5VWwD/?symbol=nyse%3Acsr" TargetMode="External" Id="rId2" /><Relationship Type="http://schemas.openxmlformats.org/officeDocument/2006/relationships/hyperlink" Target="https://www.tradingview.com/chart/Q1c5VWwD/?symbol=nasdaq%3Absvn" TargetMode="External" Id="rId3" /><Relationship Type="http://schemas.openxmlformats.org/officeDocument/2006/relationships/hyperlink" Target="https://www.tradingview.com/chart/Q1c5VWwD/?symbol=nasdaq%3Absvn" TargetMode="External" Id="rId4" /><Relationship Type="http://schemas.openxmlformats.org/officeDocument/2006/relationships/hyperlink" Target="https://www.tradingview.com/chart/Q1c5VWwD/?symbol=nasdaq%3Acrsr" TargetMode="External" Id="rId5" /><Relationship Type="http://schemas.openxmlformats.org/officeDocument/2006/relationships/hyperlink" Target="https://www.tradingview.com/chart/Q1c5VWwD/?symbol=nasdaq%3Acmrc" TargetMode="External" Id="rId6" /><Relationship Type="http://schemas.openxmlformats.org/officeDocument/2006/relationships/hyperlink" Target="https://www.tradingview.com/chart/Q1c5VWwD/?symbol=nasdaq%3Aasst" TargetMode="External" Id="rId7" /><Relationship Type="http://schemas.openxmlformats.org/officeDocument/2006/relationships/hyperlink" Target="https://www.tradingview.com/chart/Q1c5VWwD/?symbol=nasdaq%3Aasst" TargetMode="External" Id="rId8" /><Relationship Type="http://schemas.openxmlformats.org/officeDocument/2006/relationships/hyperlink" Target="https://www.tradingview.com/chart/Q1c5VWwD/?symbol=nasdaq%3Agemi" TargetMode="External" Id="rId9" /><Relationship Type="http://schemas.openxmlformats.org/officeDocument/2006/relationships/hyperlink" Target="https://www.tradingview.com/chart/Q1c5VWwD/?symbol=nasdaq%3Agemi" TargetMode="External" Id="rId10" /><Relationship Type="http://schemas.openxmlformats.org/officeDocument/2006/relationships/hyperlink" Target="https://www.tradingview.com/chart/Q1c5VWwD/?symbol=amex%3Aumac" TargetMode="External" Id="rId11" /><Relationship Type="http://schemas.openxmlformats.org/officeDocument/2006/relationships/hyperlink" Target="https://www.tradingview.com/chart/Q1c5VWwD/?symbol=amex%3Aumac" TargetMode="External" Id="rId12" /><Relationship Type="http://schemas.openxmlformats.org/officeDocument/2006/relationships/hyperlink" Target="https://www.tradingview.com/chart/Q1c5VWwD/?symbol=nasdaq%3Apurr" TargetMode="External" Id="rId13" /><Relationship Type="http://schemas.openxmlformats.org/officeDocument/2006/relationships/hyperlink" Target="https://www.tradingview.com/chart/Q1c5VWwD/?symbol=nasdaq%3Apurr" TargetMode="External" Id="rId14" /><Relationship Type="http://schemas.openxmlformats.org/officeDocument/2006/relationships/hyperlink" Target="https://www.tradingview.com/chart/Q1c5VWwD/?symbol=nasdaq%3Apurr" TargetMode="External" Id="rId15" /><Relationship Type="http://schemas.openxmlformats.org/officeDocument/2006/relationships/hyperlink" Target="https://www.tradingview.com/chart/Q1c5VWwD/?symbol=nasdaq%3Autmd" TargetMode="External" Id="rId16" /><Relationship Type="http://schemas.openxmlformats.org/officeDocument/2006/relationships/hyperlink" Target="https://www.tradingview.com/chart/Q1c5VWwD/?symbol=nasdaq%3Autmd" TargetMode="External" Id="rId17" /><Relationship Type="http://schemas.openxmlformats.org/officeDocument/2006/relationships/hyperlink" Target="https://www.tradingview.com/chart/Q1c5VWwD/?symbol=nasdaq%3Abvs" TargetMode="External" Id="rId18" /><Relationship Type="http://schemas.openxmlformats.org/officeDocument/2006/relationships/hyperlink" Target="https://www.tradingview.com/chart/Q1c5VWwD/?symbol=nasdaq%3Aplse" TargetMode="External" Id="rId19" /><Relationship Type="http://schemas.openxmlformats.org/officeDocument/2006/relationships/hyperlink" Target="https://www.tradingview.com/chart/Q1c5VWwD/?symbol=nasdaq%3Abbnx" TargetMode="External" Id="rId20" /><Relationship Type="http://schemas.openxmlformats.org/officeDocument/2006/relationships/hyperlink" Target="https://www.tradingview.com/chart/Q1c5VWwD/?symbol=nasdaq%3Apkoh" TargetMode="External" Id="rId21" /><Relationship Type="http://schemas.openxmlformats.org/officeDocument/2006/relationships/hyperlink" Target="https://www.tradingview.com/chart/Q1c5VWwD/?symbol=nasdaq%3Apkoh" TargetMode="External" Id="rId22" /><Relationship Type="http://schemas.openxmlformats.org/officeDocument/2006/relationships/hyperlink" Target="https://www.tradingview.com/chart/Q1c5VWwD/?symbol=nasdaq%3Apkoh" TargetMode="External" Id="rId23" /><Relationship Type="http://schemas.openxmlformats.org/officeDocument/2006/relationships/hyperlink" Target="https://www.tradingview.com/chart/Q1c5VWwD/?symbol=nasdaq%3Aamba" TargetMode="External" Id="rId24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tradingview.com/chart/Q1c5VWwD/?symbol=amex%3Arlgt" TargetMode="External" Id="rId1" /><Relationship Type="http://schemas.openxmlformats.org/officeDocument/2006/relationships/hyperlink" Target="https://www.tradingview.com/chart/Q1c5VWwD/?symbol=nyse%3Acsr" TargetMode="External" Id="rId2" /><Relationship Type="http://schemas.openxmlformats.org/officeDocument/2006/relationships/hyperlink" Target="https://www.tradingview.com/chart/Q1c5VWwD/?symbol=nasdaq%3Absvn" TargetMode="External" Id="rId3" /><Relationship Type="http://schemas.openxmlformats.org/officeDocument/2006/relationships/hyperlink" Target="https://www.tradingview.com/chart/Q1c5VWwD/?symbol=nasdaq%3Acrsr" TargetMode="External" Id="rId4" /><Relationship Type="http://schemas.openxmlformats.org/officeDocument/2006/relationships/hyperlink" Target="https://www.tradingview.com/chart/Q1c5VWwD/?symbol=nasdaq%3Acmrc" TargetMode="External" Id="rId5" /><Relationship Type="http://schemas.openxmlformats.org/officeDocument/2006/relationships/hyperlink" Target="https://www.tradingview.com/chart/Q1c5VWwD/?symbol=nasdaq%3Aomer" TargetMode="External" Id="rId6" /><Relationship Type="http://schemas.openxmlformats.org/officeDocument/2006/relationships/hyperlink" Target="https://www.tradingview.com/chart/Q1c5VWwD/?symbol=nyse%3Ahae" TargetMode="External" Id="rId7" /><Relationship Type="http://schemas.openxmlformats.org/officeDocument/2006/relationships/hyperlink" Target="https://www.tradingview.com/chart/Q1c5VWwD/?symbol=nasdaq%3Aasst" TargetMode="External" Id="rId8" /><Relationship Type="http://schemas.openxmlformats.org/officeDocument/2006/relationships/hyperlink" Target="https://www.tradingview.com/chart/Q1c5VWwD/?symbol=nasdaq%3Agemi" TargetMode="External" Id="rId9" /><Relationship Type="http://schemas.openxmlformats.org/officeDocument/2006/relationships/hyperlink" Target="https://www.tradingview.com/chart/Q1c5VWwD/?symbol=amex%3Aumac" TargetMode="External" Id="rId10" /><Relationship Type="http://schemas.openxmlformats.org/officeDocument/2006/relationships/hyperlink" Target="https://www.tradingview.com/chart/Q1c5VWwD/?symbol=nasdaq%3Apurr" TargetMode="External" Id="rId11" /><Relationship Type="http://schemas.openxmlformats.org/officeDocument/2006/relationships/hyperlink" Target="https://www.tradingview.com/chart/Q1c5VWwD/?symbol=nasdaq%3Autmd" TargetMode="External" Id="rId12" /><Relationship Type="http://schemas.openxmlformats.org/officeDocument/2006/relationships/hyperlink" Target="https://www.tradingview.com/chart/Q1c5VWwD/?symbol=nyse%3Arng" TargetMode="External" Id="rId13" /><Relationship Type="http://schemas.openxmlformats.org/officeDocument/2006/relationships/hyperlink" Target="https://www.tradingview.com/chart/Q1c5VWwD/?symbol=nasdaq%3Aaso" TargetMode="External" Id="rId14" /><Relationship Type="http://schemas.openxmlformats.org/officeDocument/2006/relationships/hyperlink" Target="https://www.tradingview.com/chart/Q1c5VWwD/?symbol=nasdaq%3Abvs" TargetMode="External" Id="rId15" /><Relationship Type="http://schemas.openxmlformats.org/officeDocument/2006/relationships/hyperlink" Target="https://www.tradingview.com/chart/Q1c5VWwD/?symbol=nasdaq%3Aplse" TargetMode="External" Id="rId16" /><Relationship Type="http://schemas.openxmlformats.org/officeDocument/2006/relationships/hyperlink" Target="https://www.tradingview.com/chart/Q1c5VWwD/?symbol=nasdaq%3Abbnx" TargetMode="External" Id="rId17" /><Relationship Type="http://schemas.openxmlformats.org/officeDocument/2006/relationships/hyperlink" Target="https://www.tradingview.com/chart/Q1c5VWwD/?symbol=nasdaq%3Apkoh" TargetMode="External" Id="rId18" /><Relationship Type="http://schemas.openxmlformats.org/officeDocument/2006/relationships/hyperlink" Target="https://www.tradingview.com/chart/Q1c5VWwD/?symbol=nyse%3Akn" TargetMode="External" Id="rId19" /><Relationship Type="http://schemas.openxmlformats.org/officeDocument/2006/relationships/hyperlink" Target="https://www.tradingview.com/chart/Q1c5VWwD/?symbol=nasdaq%3Aflxs" TargetMode="External" Id="rId20" /><Relationship Type="http://schemas.openxmlformats.org/officeDocument/2006/relationships/hyperlink" Target="https://www.tradingview.com/chart/Q1c5VWwD/?symbol=nyse%3Aavtr" TargetMode="External" Id="rId21" /><Relationship Type="http://schemas.openxmlformats.org/officeDocument/2006/relationships/hyperlink" Target="https://www.tradingview.com/chart/Q1c5VWwD/?symbol=nasdaq%3Aamba" TargetMode="External" Id="rId22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tradingview.com/chart/Q1c5VWwD/?symbol=amex%3Arlgt" TargetMode="External" Id="rId1" /><Relationship Type="http://schemas.openxmlformats.org/officeDocument/2006/relationships/hyperlink" Target="https://www.benzinga.com/quote/RLGT" TargetMode="External" Id="rId2" /><Relationship Type="http://schemas.openxmlformats.org/officeDocument/2006/relationships/hyperlink" Target="https://www.tradingview.com/chart/Q1c5VWwD/?symbol=nyse%3Acsr" TargetMode="External" Id="rId3" /><Relationship Type="http://schemas.openxmlformats.org/officeDocument/2006/relationships/hyperlink" Target="https://www.stocktitan.net/sec-filings/CSR/8-k-centerspace-reports-material-event-e33b27466930.html" TargetMode="External" Id="rId4" /><Relationship Type="http://schemas.openxmlformats.org/officeDocument/2006/relationships/hyperlink" Target="https://www.tradingview.com/chart/Q1c5VWwD/?symbol=nasdaq%3Absvn" TargetMode="External" Id="rId5" /><Relationship Type="http://schemas.openxmlformats.org/officeDocument/2006/relationships/hyperlink" Target="https://www.stocktitan.net/overview/BSVN/" TargetMode="External" Id="rId6" /><Relationship Type="http://schemas.openxmlformats.org/officeDocument/2006/relationships/hyperlink" Target="https://www.tradingview.com/chart/Q1c5VWwD/?symbol=nasdaq%3Acrsr" TargetMode="External" Id="rId7" /><Relationship Type="http://schemas.openxmlformats.org/officeDocument/2006/relationships/hyperlink" Target="https://www.fool.com/investing/2026/05/28/corsair-gaming-stock-takes-off-after-unveiling-new/" TargetMode="External" Id="rId8" /><Relationship Type="http://schemas.openxmlformats.org/officeDocument/2006/relationships/hyperlink" Target="https://www.tradingview.com/chart/Q1c5VWwD/?symbol=nasdaq%3Acmrc" TargetMode="External" Id="rId9" /><Relationship Type="http://schemas.openxmlformats.org/officeDocument/2006/relationships/hyperlink" Target="https://www.investing.com/news/stock-market-news/commercecom-stock-jumps-8-on-profitability-plan-93CH-4895934" TargetMode="External" Id="rId10" /><Relationship Type="http://schemas.openxmlformats.org/officeDocument/2006/relationships/hyperlink" Target="https://www.tradingview.com/chart/Q1c5VWwD/?symbol=nasdaq%3Aomer" TargetMode="External" Id="rId11" /><Relationship Type="http://schemas.openxmlformats.org/officeDocument/2006/relationships/hyperlink" Target="https://www.gurufocus.com/news/9031316/omeros-corp-omer-shares-surge-15-on-q2-boost-pricetosales-valuation-raises-growth-expectations" TargetMode="External" Id="rId12" /><Relationship Type="http://schemas.openxmlformats.org/officeDocument/2006/relationships/hyperlink" Target="https://www.tradingview.com/chart/Q1c5VWwD/?symbol=nyse%3Ahae" TargetMode="External" Id="rId13" /><Relationship Type="http://schemas.openxmlformats.org/officeDocument/2006/relationships/hyperlink" Target="https://www.sec.gov/Archives/edgar/data/0000313143/000031314326000135/hae-20260818.htm" TargetMode="External" Id="rId14" /><Relationship Type="http://schemas.openxmlformats.org/officeDocument/2006/relationships/hyperlink" Target="https://www.tradingview.com/chart/Q1c5VWwD/?symbol=nasdaq%3Aasst" TargetMode="External" Id="rId15" /><Relationship Type="http://schemas.openxmlformats.org/officeDocument/2006/relationships/hyperlink" Target="https://www.investing.com/news/stock-market-news/why-is-strive-stock-surging-over-8-today-93CH-4871604" TargetMode="External" Id="rId16" /><Relationship Type="http://schemas.openxmlformats.org/officeDocument/2006/relationships/hyperlink" Target="https://www.tradingview.com/chart/Q1c5VWwD/?symbol=nasdaq%3Agemi" TargetMode="External" Id="rId17" /><Relationship Type="http://schemas.openxmlformats.org/officeDocument/2006/relationships/hyperlink" Target="https://www.fool.com/investing/2026/09/18/why-gemini-space-station-stock-jumped-312-today/" TargetMode="External" Id="rId18" /><Relationship Type="http://schemas.openxmlformats.org/officeDocument/2006/relationships/hyperlink" Target="https://www.tradingview.com/chart/Q1c5VWwD/?symbol=amex%3Aumac" TargetMode="External" Id="rId19" /><Relationship Type="http://schemas.openxmlformats.org/officeDocument/2006/relationships/hyperlink" Target="https://www.fool.com/investing/2026/05/28/why-unusual-machines-stock-is-having-a-massive-bul/" TargetMode="External" Id="rId20" /><Relationship Type="http://schemas.openxmlformats.org/officeDocument/2006/relationships/hyperlink" Target="https://www.tradingview.com/chart/Q1c5VWwD/?symbol=nasdaq%3Apurr" TargetMode="External" Id="rId21" /><Relationship Type="http://schemas.openxmlformats.org/officeDocument/2006/relationships/hyperlink" Target="https://www.gurufocus.com/news/9096248/hyperliquid-strategies-inc-purr-shows-mixed-signals-amid-rising-options-optimism" TargetMode="External" Id="rId22" /><Relationship Type="http://schemas.openxmlformats.org/officeDocument/2006/relationships/hyperlink" Target="https://www.tradingview.com/chart/Q1c5VWwD/?symbol=nasdaq%3Autmd" TargetMode="External" Id="rId23" /><Relationship Type="http://schemas.openxmlformats.org/officeDocument/2006/relationships/hyperlink" Target="https://www.macrotrends.net/stocks/charts/UTMD/utah-medical-products/stock-price-history" TargetMode="External" Id="rId24" /><Relationship Type="http://schemas.openxmlformats.org/officeDocument/2006/relationships/hyperlink" Target="https://www.tradingview.com/chart/Q1c5VWwD/?symbol=nyse%3Arng" TargetMode="External" Id="rId25" /><Relationship Type="http://schemas.openxmlformats.org/officeDocument/2006/relationships/hyperlink" Target="https://www.tikr.com/blog/rng-ringcentral-nyse-stock-skyrockets-after-reporting-strong-cash-flow-and-artificial-intelligence-momentum" TargetMode="External" Id="rId26" /><Relationship Type="http://schemas.openxmlformats.org/officeDocument/2006/relationships/hyperlink" Target="https://www.tradingview.com/chart/Q1c5VWwD/?symbol=nasdaq%3Aaso" TargetMode="External" Id="rId27" /><Relationship Type="http://schemas.openxmlformats.org/officeDocument/2006/relationships/hyperlink" Target="https://www.investing.com/news/company-news/academy-sports-q2-2026-slides-eps-beats-on-margin-gains-shares-jump-93CH-4894101" TargetMode="External" Id="rId28" /><Relationship Type="http://schemas.openxmlformats.org/officeDocument/2006/relationships/hyperlink" Target="https://www.tradingview.com/chart/Q1c5VWwD/?symbol=nasdaq%3Abvs" TargetMode="External" Id="rId29" /><Relationship Type="http://schemas.openxmlformats.org/officeDocument/2006/relationships/hyperlink" Target="https://simplywall.st/stocks/us/healthcare/nasdaq-bvs/bioventus/news/bioventus-bvs-stock-jumps-on-profit-strength-as-growth-risks/amp" TargetMode="External" Id="rId30" /><Relationship Type="http://schemas.openxmlformats.org/officeDocument/2006/relationships/hyperlink" Target="https://www.tradingview.com/chart/Q1c5VWwD/?symbol=nasdaq%3Aplse" TargetMode="External" Id="rId31" /><Relationship Type="http://schemas.openxmlformats.org/officeDocument/2006/relationships/hyperlink" Target="https://www.stocktitan.net/overview/PLSE/" TargetMode="External" Id="rId32" /><Relationship Type="http://schemas.openxmlformats.org/officeDocument/2006/relationships/hyperlink" Target="https://www.tradingview.com/chart/Q1c5VWwD/?symbol=nasdaq%3Abbnx" TargetMode="External" Id="rId33" /><Relationship Type="http://schemas.openxmlformats.org/officeDocument/2006/relationships/hyperlink" Target="https://finance.yahoo.com/markets/stocks/articles/beta-bionics-inc-bbnx-surges-102100393.html" TargetMode="External" Id="rId34" /><Relationship Type="http://schemas.openxmlformats.org/officeDocument/2006/relationships/hyperlink" Target="https://www.tradingview.com/chart/Q1c5VWwD/?symbol=nasdaq%3Apkoh" TargetMode="External" Id="rId35" /><Relationship Type="http://schemas.openxmlformats.org/officeDocument/2006/relationships/hyperlink" Target="https://www.sec.gov/Archives/edgar/data/0000076282/000007628226000025/pkoh20260630-ex991earnings.htm" TargetMode="External" Id="rId36" /><Relationship Type="http://schemas.openxmlformats.org/officeDocument/2006/relationships/hyperlink" Target="https://www.tradingview.com/chart/Q1c5VWwD/?symbol=nyse%3Akn" TargetMode="External" Id="rId37" /><Relationship Type="http://schemas.openxmlformats.org/officeDocument/2006/relationships/hyperlink" Target="https://www.marketbeat.com/instant-alerts/knowles-nysekn-releases-earnings-results-beats-estimates-by-003-eps-2026-07-23/" TargetMode="External" Id="rId38" /><Relationship Type="http://schemas.openxmlformats.org/officeDocument/2006/relationships/hyperlink" Target="https://www.tradingview.com/chart/Q1c5VWwD/?symbol=nasdaq%3Aflxs" TargetMode="External" Id="rId39" /><Relationship Type="http://schemas.openxmlformats.org/officeDocument/2006/relationships/hyperlink" Target="https://simplywall.st/stocks/us/consumer-durables/nasdaq-flxs/flexsteel-industries/news/flexsteel-flxs-stock-jumps-as-margin-gains-outrun-cautious-o" TargetMode="External" Id="rId40" /><Relationship Type="http://schemas.openxmlformats.org/officeDocument/2006/relationships/hyperlink" Target="https://www.tradingview.com/chart/Q1c5VWwD/?symbol=nyse%3Aavtr" TargetMode="External" Id="rId41" /><Relationship Type="http://schemas.openxmlformats.org/officeDocument/2006/relationships/hyperlink" Target="https://www.investing.com/news/company-news/avantor-q2-2026-presentation-vwr-returns-to-growth-shares-surge-93CH-4820448" TargetMode="External" Id="rId42" /><Relationship Type="http://schemas.openxmlformats.org/officeDocument/2006/relationships/hyperlink" Target="https://www.tradingview.com/chart/Q1c5VWwD/?symbol=nasdaq%3Aamba" TargetMode="External" Id="rId43" /><Relationship Type="http://schemas.openxmlformats.org/officeDocument/2006/relationships/hyperlink" Target="https://www.gurufocus.com/news/8939101/ambarella-amba-sees-significant-228-surge-in-stock-price?mobile=true" TargetMode="External" Id="rId44" /><Relationship Type="http://schemas.openxmlformats.org/officeDocument/2006/relationships/hyperlink" Target="https://krmg.com/2026/09/29/how-major-us-stock-indexes-fared-tuesday-9-29-2026/" TargetMode="External" Id="rId45" /><Relationship Type="http://schemas.openxmlformats.org/officeDocument/2006/relationships/hyperlink" Target="https://www.cnbc.com/2026/09/28/stock-market-today-live-updates.html" TargetMode="External" Id="rId46" /><Relationship Type="http://schemas.openxmlformats.org/officeDocument/2006/relationships/hyperlink" Target="https://krmg.com/2026/09/30/how-major-us-stock-indexes-fared-wednesday-9-30-2026/" TargetMode="Externa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A1" s="1" t="inlineStr">
        <is>
          <t>R23.00 更新重點</t>
        </is>
      </c>
    </row>
    <row r="3" ht="45" customHeight="1">
      <c r="A3" s="2" t="n">
        <v>1</v>
      </c>
      <c r="B3" s="3" t="inlineStr">
        <is>
          <t>篩選條件按你嘅四點更新：① 有熱錢及消息驅動（高位前 60 日內有一日 ≥+8% 或跳空 ≥+5%、成交量 ≥3× 50 日均量；升浪期成交額 ≥ 前 60 日 2 倍）② 曾有 10MA 上升（近 30 日內通過 R1–R20 嘅 10MA 測試：10 日升 ≥5%、最後三值遞升、10 步升 ≥7 步）③ 回落到 20MA（MA20 向上、高位 2–25 日前、回調 3–30%、高位時高過 MA20 ≥8%、收市喺 MA20 ±3% 兼近 3 日觸及）④ 波幅減低（ATR5 ≤ 0.9× ATR20 兼 ≤ 0.7× 升浪期 ATR）。細節見「篩選規則」頁。</t>
        </is>
      </c>
    </row>
    <row r="4" ht="18" customHeight="1">
      <c r="A4" s="2" t="n">
        <v>2</v>
      </c>
      <c r="B4" s="3" t="inlineStr">
        <is>
          <t>數據更新至 2026-09-30 收市（254 個交易日，2025-09-26 起）。</t>
        </is>
      </c>
    </row>
    <row r="5" ht="18" customHeight="1">
      <c r="A5" s="2" t="n">
        <v>3</v>
      </c>
      <c r="B5" s="3" t="inlineStr">
        <is>
          <t>合資格 2,762 隻 → 第一梯隊 3 隻（RLGT、CSR、BSVN）；每個門檻放寬一級嘅第二梯隊 19 隻。分頁改為 大型／中型／小型。</t>
        </is>
      </c>
    </row>
    <row r="6" ht="18" customHeight="1">
      <c r="A6" s="2" t="n">
        <v>4</v>
      </c>
      <c r="B6" s="3" t="inlineStr">
        <is>
          <t>評分改為 熱錢分數 0.25 + 10MA分數 0.20 + 回調質素 0.30 + 波幅收窄 0.25（每項 0–100，公式喺總表）。</t>
        </is>
      </c>
    </row>
    <row r="7" ht="18" customHeight="1">
      <c r="A7" s="2" t="n">
        <v>5</v>
      </c>
      <c r="B7" s="3" t="inlineStr">
        <is>
          <t>R22 向前測試（2 日）：中位數 +0.69%，大市 -1.02%；2 隻 R22 股喺新條件下仍上榜。</t>
        </is>
      </c>
    </row>
    <row r="8" ht="18" customHeight="1">
      <c r="A8" s="2" t="n">
        <v>6</v>
      </c>
      <c r="B8" s="3" t="inlineStr">
        <is>
          <t>逐隻查咗事件日當日嘅新聞（催化劑頁有來源）：CSR 係全換股併購目標；3 隻係加密貨幣庫存股；UMAC 係傳聞；AMBA 係分析員推介。</t>
        </is>
      </c>
    </row>
    <row r="9" ht="18" customHeight="1">
      <c r="A9" s="2" t="n">
        <v>7</v>
      </c>
      <c r="B9" s="3" t="inlineStr">
        <is>
          <t>容器重設令 Nasdaq 序列檔消失：上市日期改由保存嘅審計檔提供，加 SPAC 空殼期偵測；兩源核對只剩收市後快照。</t>
        </is>
      </c>
    </row>
    <row r="10" ht="18" customHeight="1">
      <c r="A10" s="2" t="n">
        <v>8</v>
      </c>
      <c r="B10" s="3" t="inlineStr">
        <is>
          <t>獨立重寫嘅篩選程式對兩個梯隊共 22 隻 0 差異。所有代號連 TradingView；可推導欄位全部係公式。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8" customWidth="1" min="3" max="3"/>
    <col width="26" customWidth="1" min="4" max="4"/>
    <col width="7" customWidth="1" min="5" max="5"/>
    <col width="9" customWidth="1" min="6" max="6"/>
    <col width="24" customWidth="1" min="7" max="7"/>
    <col width="9" customWidth="1" min="8" max="8"/>
    <col width="6" customWidth="1" min="9" max="9"/>
    <col width="9" customWidth="1" min="10" max="10"/>
    <col width="9" customWidth="1" min="11" max="11"/>
    <col width="7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9" customWidth="1" min="18" max="18"/>
    <col width="9" customWidth="1" min="19" max="19"/>
    <col width="7" customWidth="1" min="20" max="20"/>
    <col width="9" customWidth="1" min="21" max="21"/>
    <col width="10" customWidth="1" min="22" max="22"/>
    <col width="7" customWidth="1" min="23" max="23"/>
    <col width="7" customWidth="1" min="24" max="24"/>
    <col width="10" customWidth="1" min="25" max="25"/>
    <col width="6" customWidth="1" min="26" max="26"/>
    <col width="7" customWidth="1" min="27" max="27"/>
    <col width="8" customWidth="1" min="28" max="28"/>
    <col width="8" customWidth="1" min="29" max="29"/>
    <col width="10" customWidth="1" min="30" max="30"/>
    <col width="7" customWidth="1" min="31" max="31"/>
    <col width="7" customWidth="1" min="32" max="32"/>
    <col width="8" customWidth="1" min="33" max="33"/>
    <col width="6" customWidth="1" min="34" max="34"/>
    <col width="11" customWidth="1" min="35" max="35"/>
    <col width="11" customWidth="1" min="36" max="36"/>
    <col width="7" customWidth="1" min="37" max="37"/>
    <col width="10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7" customWidth="1" min="59" max="59"/>
    <col width="7" customWidth="1" min="60" max="60"/>
    <col width="7" customWidth="1" min="61" max="61"/>
    <col width="7" customWidth="1" min="62" max="62"/>
    <col width="8" customWidth="1" min="63" max="63"/>
    <col width="22" customWidth="1" min="64" max="64"/>
    <col width="7" customWidth="1" min="65" max="65"/>
    <col width="8" customWidth="1" min="66" max="66"/>
    <col width="40" customWidth="1" min="67" max="67"/>
    <col width="8" customWidth="1" min="68" max="68"/>
  </cols>
  <sheetData>
    <row r="1" ht="42" customHeight="1">
      <c r="A1" s="4" t="inlineStr">
        <is>
          <t>梯隊</t>
        </is>
      </c>
      <c r="B1" s="4" t="inlineStr">
        <is>
          <t>排名</t>
        </is>
      </c>
      <c r="C1" s="4" t="inlineStr">
        <is>
          <t>代號</t>
        </is>
      </c>
      <c r="D1" s="4" t="inlineStr">
        <is>
          <t>公司</t>
        </is>
      </c>
      <c r="E1" s="4" t="inlineStr">
        <is>
          <t>交易所</t>
        </is>
      </c>
      <c r="F1" s="4" t="inlineStr">
        <is>
          <t>板塊</t>
        </is>
      </c>
      <c r="G1" s="4" t="inlineStr">
        <is>
          <t>行業</t>
        </is>
      </c>
      <c r="H1" s="4" t="inlineStr">
        <is>
          <t>市值(十億美元)</t>
        </is>
      </c>
      <c r="I1" s="4" t="inlineStr">
        <is>
          <t>市值組</t>
        </is>
      </c>
      <c r="J1" s="4" t="inlineStr">
        <is>
          <t>收市價</t>
        </is>
      </c>
      <c r="K1" s="4" t="inlineStr">
        <is>
          <t>前收</t>
        </is>
      </c>
      <c r="L1" s="4" t="inlineStr">
        <is>
          <t>當日%</t>
        </is>
      </c>
      <c r="M1" s="4" t="inlineStr">
        <is>
          <t>當日高</t>
        </is>
      </c>
      <c r="N1" s="4" t="inlineStr">
        <is>
          <t>當日低</t>
        </is>
      </c>
      <c r="O1" s="4" t="inlineStr">
        <is>
          <t>MA10</t>
        </is>
      </c>
      <c r="P1" s="4" t="inlineStr">
        <is>
          <t>MA20</t>
        </is>
      </c>
      <c r="Q1" s="4" t="inlineStr">
        <is>
          <t>距MA20%</t>
        </is>
      </c>
      <c r="R1" s="4" t="inlineStr">
        <is>
          <t>MA50</t>
        </is>
      </c>
      <c r="S1" s="4" t="inlineStr">
        <is>
          <t>MA20（5日前）</t>
        </is>
      </c>
      <c r="T1" s="4" t="inlineStr">
        <is>
          <t>MA20 5日斜率%</t>
        </is>
      </c>
      <c r="U1" s="4" t="inlineStr">
        <is>
          <t>63日最高收市</t>
        </is>
      </c>
      <c r="V1" s="4" t="inlineStr">
        <is>
          <t>高位日期</t>
        </is>
      </c>
      <c r="W1" s="4" t="inlineStr">
        <is>
          <t>高位至今（交易日）</t>
        </is>
      </c>
      <c r="X1" s="4" t="inlineStr">
        <is>
          <t>距高位%</t>
        </is>
      </c>
      <c r="Y1" s="4" t="inlineStr">
        <is>
          <t>升浪起點</t>
        </is>
      </c>
      <c r="Z1" s="4" t="inlineStr">
        <is>
          <t>升浪日數</t>
        </is>
      </c>
      <c r="AA1" s="4" t="inlineStr">
        <is>
          <t>升浪幅度%</t>
        </is>
      </c>
      <c r="AB1" s="4" t="inlineStr">
        <is>
          <t>高位時高過MA20%</t>
        </is>
      </c>
      <c r="AC1" s="4" t="inlineStr">
        <is>
          <t>近3日最低價距MA20%</t>
        </is>
      </c>
      <c r="AD1" s="4" t="inlineStr">
        <is>
          <t>事件日</t>
        </is>
      </c>
      <c r="AE1" s="4" t="inlineStr">
        <is>
          <t>事件日升幅</t>
        </is>
      </c>
      <c r="AF1" s="4" t="inlineStr">
        <is>
          <t>事件日跳空</t>
        </is>
      </c>
      <c r="AG1" s="4" t="inlineStr">
        <is>
          <t>事件日量比（×50日均量）</t>
        </is>
      </c>
      <c r="AH1" s="4" t="inlineStr">
        <is>
          <t>事件日數目</t>
        </is>
      </c>
      <c r="AI1" s="4" t="inlineStr">
        <is>
          <t>升浪成交額（日均）</t>
        </is>
      </c>
      <c r="AJ1" s="4" t="inlineStr">
        <is>
          <t>升浪前60日成交額（日均）</t>
        </is>
      </c>
      <c r="AK1" s="4" t="inlineStr">
        <is>
          <t>升浪成交額比</t>
        </is>
      </c>
      <c r="AL1" s="4" t="inlineStr">
        <is>
          <t>10MA上升日期</t>
        </is>
      </c>
      <c r="AM1" s="4" t="inlineStr">
        <is>
          <t>MA10 10日升幅</t>
        </is>
      </c>
      <c r="AN1" s="4" t="inlineStr">
        <is>
          <t>MA10上升步比例</t>
        </is>
      </c>
      <c r="AO1" s="4" t="inlineStr">
        <is>
          <t>回調量比</t>
        </is>
      </c>
      <c r="AP1" s="4" t="inlineStr">
        <is>
          <t>ATR5%</t>
        </is>
      </c>
      <c r="AQ1" s="4" t="inlineStr">
        <is>
          <t>ATR20%</t>
        </is>
      </c>
      <c r="AR1" s="4" t="inlineStr">
        <is>
          <t>升浪期ATR%</t>
        </is>
      </c>
      <c r="AS1" s="4" t="inlineStr">
        <is>
          <t>ATR5/ATR20</t>
        </is>
      </c>
      <c r="AT1" s="4" t="inlineStr">
        <is>
          <t>ATR5/升浪ATR</t>
        </is>
      </c>
      <c r="AU1" s="4" t="inlineStr">
        <is>
          <t>成交額分</t>
        </is>
      </c>
      <c r="AV1" s="4" t="inlineStr">
        <is>
          <t>事件量分</t>
        </is>
      </c>
      <c r="AW1" s="4" t="inlineStr">
        <is>
          <t>升浪分</t>
        </is>
      </c>
      <c r="AX1" s="4" t="inlineStr">
        <is>
          <t>10MA升幅分</t>
        </is>
      </c>
      <c r="AY1" s="4" t="inlineStr">
        <is>
          <t>10MA步分</t>
        </is>
      </c>
      <c r="AZ1" s="4" t="inlineStr">
        <is>
          <t>量縮</t>
        </is>
      </c>
      <c r="BA1" s="4" t="inlineStr">
        <is>
          <t>貼近MA20</t>
        </is>
      </c>
      <c r="BB1" s="4" t="inlineStr">
        <is>
          <t>MA20斜率分</t>
        </is>
      </c>
      <c r="BC1" s="4" t="inlineStr">
        <is>
          <t>回調深度分</t>
        </is>
      </c>
      <c r="BD1" s="4" t="inlineStr">
        <is>
          <t>企穩</t>
        </is>
      </c>
      <c r="BE1" s="4" t="inlineStr">
        <is>
          <t>短期收窄</t>
        </is>
      </c>
      <c r="BF1" s="4" t="inlineStr">
        <is>
          <t>對升浪收窄</t>
        </is>
      </c>
      <c r="BG1" s="4" t="inlineStr">
        <is>
          <t>熱錢分數</t>
        </is>
      </c>
      <c r="BH1" s="4" t="inlineStr">
        <is>
          <t>10MA分數</t>
        </is>
      </c>
      <c r="BI1" s="4" t="inlineStr">
        <is>
          <t>回調質素</t>
        </is>
      </c>
      <c r="BJ1" s="4" t="inlineStr">
        <is>
          <t>波幅收窄</t>
        </is>
      </c>
      <c r="BK1" s="4" t="inlineStr">
        <is>
          <t>綜合分數</t>
        </is>
      </c>
      <c r="BL1" s="4" t="inlineStr">
        <is>
          <t>唔過嘅條件（梯隊2）</t>
        </is>
      </c>
      <c r="BM1" s="4" t="inlineStr">
        <is>
          <t>R22 排名</t>
        </is>
      </c>
      <c r="BN1" s="4" t="inlineStr">
        <is>
          <t>門檻測試留低</t>
        </is>
      </c>
      <c r="BO1" s="4" t="inlineStr">
        <is>
          <t>審視標記</t>
        </is>
      </c>
      <c r="BP1" s="4" t="inlineStr">
        <is>
          <t>兩源最大差%</t>
        </is>
      </c>
    </row>
    <row r="2">
      <c r="A2" s="5" t="n">
        <v>1</v>
      </c>
      <c r="B2" s="6">
        <f>COUNTIFS($A$2:$A$23,A2,$BK$2:$BK$23,"&gt;"&amp;BK2)+1</f>
        <v/>
      </c>
      <c r="C2" s="7" t="inlineStr">
        <is>
          <t>RLGT</t>
        </is>
      </c>
      <c r="D2" s="8" t="inlineStr">
        <is>
          <t>Radiant Logistics Inc.</t>
        </is>
      </c>
      <c r="E2" s="2" t="inlineStr">
        <is>
          <t>AMEX</t>
        </is>
      </c>
      <c r="F2" s="2" t="inlineStr">
        <is>
          <t>工業</t>
        </is>
      </c>
      <c r="G2" s="2" t="inlineStr">
        <is>
          <t>Integrated Freight &amp; Logistics</t>
        </is>
      </c>
      <c r="H2" s="9" t="n">
        <v>0.412</v>
      </c>
      <c r="I2" s="2" t="inlineStr">
        <is>
          <t>小型</t>
        </is>
      </c>
      <c r="J2" s="10" t="n">
        <v>8.69</v>
      </c>
      <c r="K2" s="10" t="n">
        <v>8.779999999999999</v>
      </c>
      <c r="L2" s="11">
        <f>J2/K2-1</f>
        <v/>
      </c>
      <c r="M2" s="10" t="n">
        <v>8.85</v>
      </c>
      <c r="N2" s="10" t="n">
        <v>8.65</v>
      </c>
      <c r="O2" s="10" t="n">
        <v>8.689000000000011</v>
      </c>
      <c r="P2" s="10" t="n">
        <v>8.599500000000011</v>
      </c>
      <c r="Q2" s="11">
        <f>J2/P2-1</f>
        <v/>
      </c>
      <c r="R2" s="10" t="n">
        <v>8.585000000000004</v>
      </c>
      <c r="S2" s="10" t="n">
        <v>8.571500000000015</v>
      </c>
      <c r="T2" s="11">
        <f>P2/S2-1</f>
        <v/>
      </c>
      <c r="U2" s="10" t="n">
        <v>9.81</v>
      </c>
      <c r="V2" s="2" t="inlineStr">
        <is>
          <t>2026-09-15</t>
        </is>
      </c>
      <c r="W2" s="12" t="n">
        <v>11</v>
      </c>
      <c r="X2" s="13">
        <f>J2/U2-1</f>
        <v/>
      </c>
      <c r="Y2" s="2" t="inlineStr">
        <is>
          <t>2026-09-11</t>
        </is>
      </c>
      <c r="Z2" s="12" t="n">
        <v>2</v>
      </c>
      <c r="AA2" s="14" t="n">
        <v>0.2066420664206641</v>
      </c>
      <c r="AB2" s="15" t="n">
        <v>0.1517464044614005</v>
      </c>
      <c r="AC2" s="16" t="n">
        <v>-0.009045812664138397</v>
      </c>
      <c r="AD2" s="2" t="inlineStr">
        <is>
          <t>2026-09-15</t>
        </is>
      </c>
      <c r="AE2" s="15" t="n">
        <v>0.194884287454324</v>
      </c>
      <c r="AF2" s="15" t="n">
        <v>0.1510353227771009</v>
      </c>
      <c r="AG2" s="17" t="n">
        <v>23.12534487265124</v>
      </c>
      <c r="AH2" s="12" t="n">
        <v>1</v>
      </c>
      <c r="AI2" s="18" t="n">
        <v>8238108.6</v>
      </c>
      <c r="AJ2" s="18" t="n">
        <v>1211309.466666667</v>
      </c>
      <c r="AK2" s="19">
        <f>AI2/AJ2</f>
        <v/>
      </c>
      <c r="AL2" s="2" t="inlineStr">
        <is>
          <t>2026-09-28</t>
        </is>
      </c>
      <c r="AM2" s="15" t="n">
        <v>0.06396049144784044</v>
      </c>
      <c r="AN2" s="14" t="n">
        <v>1</v>
      </c>
      <c r="AO2" s="9" t="n">
        <v>0.8807384464411665</v>
      </c>
      <c r="AP2" s="16" t="n">
        <v>0.02217462740179011</v>
      </c>
      <c r="AQ2" s="16" t="n">
        <v>0.0415438908383195</v>
      </c>
      <c r="AR2" s="16" t="n">
        <v>0.06895232359709531</v>
      </c>
      <c r="AS2" s="19">
        <f>AP2/AQ2</f>
        <v/>
      </c>
      <c r="AT2" s="19">
        <f>AP2/AR2</f>
        <v/>
      </c>
      <c r="AU2" s="19">
        <f>MAX(0,MIN(1,(AK2-2)/4))</f>
        <v/>
      </c>
      <c r="AV2" s="19">
        <f>MAX(0,MIN(1,(AG2-3)/7))</f>
        <v/>
      </c>
      <c r="AW2" s="19">
        <f>MAX(0,MIN(1,(AA2-0.25)/0.75))</f>
        <v/>
      </c>
      <c r="AX2" s="19">
        <f>MAX(0,MIN(1,(AM2-0.05)/0.2))</f>
        <v/>
      </c>
      <c r="AY2" s="19">
        <f>MAX(0,MIN(1,(AN2-0.7)/0.3))</f>
        <v/>
      </c>
      <c r="AZ2" s="19">
        <f>MAX(0,MIN(1,(AO2-1.2)/(0.6-1.2)))</f>
        <v/>
      </c>
      <c r="BA2" s="19">
        <f>MAX(0,MIN(1,(ABS(Q2)-0.03)/(0-0.03)))</f>
        <v/>
      </c>
      <c r="BB2" s="19">
        <f>MAX(0,MIN(1,T2/0.03))</f>
        <v/>
      </c>
      <c r="BC2" s="19">
        <f>MAX(0,MIN(1,(-X2-0.3)/(0.15-0.3)))</f>
        <v/>
      </c>
      <c r="BD2" s="19">
        <f>0.5*IF(M2&gt;N2,(J2-N2)/(M2-N2),0.5)+0.5*(J2&gt;=P2)</f>
        <v/>
      </c>
      <c r="BE2" s="19">
        <f>MAX(0,MIN(1,(AS2-0.9)/(0.5-0.9)))</f>
        <v/>
      </c>
      <c r="BF2" s="19">
        <f>MAX(0,MIN(1,(AT2-0.7)/(0.3-0.7)))</f>
        <v/>
      </c>
      <c r="BG2" s="20">
        <f>100*(0.4*AU2+0.3*AV2+0.3*AW2)</f>
        <v/>
      </c>
      <c r="BH2" s="20">
        <f>100*(0.5*AX2+0.5*AY2)</f>
        <v/>
      </c>
      <c r="BI2" s="20">
        <f>100*(0.3*AZ2+0.25*BA2+0.2*BB2+0.1*BC2+0.15*BD2)</f>
        <v/>
      </c>
      <c r="BJ2" s="20">
        <f>100*(0.5*BE2+0.5*BF2)</f>
        <v/>
      </c>
      <c r="BK2" s="21">
        <f>0.25*BG2+0.2*BH2+0.3*BI2+0.25*BJ2</f>
        <v/>
      </c>
      <c r="BL2" s="3" t="inlineStr"/>
      <c r="BM2" s="6" t="n"/>
      <c r="BN2" s="2" t="inlineStr">
        <is>
          <t>25/26</t>
        </is>
      </c>
      <c r="BO2" s="22" t="inlineStr">
        <is>
          <t>20 日成交額中位數只有 $1.7M（股票池下限 $1M），入市出市都會有滑價</t>
        </is>
      </c>
      <c r="BP2" s="23" t="n">
        <v>0</v>
      </c>
    </row>
    <row r="3">
      <c r="A3" s="5" t="n">
        <v>1</v>
      </c>
      <c r="B3" s="6">
        <f>COUNTIFS($A$2:$A$23,A3,$BK$2:$BK$23,"&gt;"&amp;BK3)+1</f>
        <v/>
      </c>
      <c r="C3" s="7" t="inlineStr">
        <is>
          <t>CSR</t>
        </is>
      </c>
      <c r="D3" s="8" t="inlineStr">
        <is>
          <t>D/B/A Centerspace</t>
        </is>
      </c>
      <c r="E3" s="2" t="inlineStr">
        <is>
          <t>NYSE</t>
        </is>
      </c>
      <c r="F3" s="2" t="inlineStr">
        <is>
          <t>房地產</t>
        </is>
      </c>
      <c r="G3" s="2" t="inlineStr">
        <is>
          <t>Real Estate Investment Trusts</t>
        </is>
      </c>
      <c r="H3" s="9" t="n">
        <v>0.926</v>
      </c>
      <c r="I3" s="2" t="inlineStr">
        <is>
          <t>小型</t>
        </is>
      </c>
      <c r="J3" s="10" t="n">
        <v>54.4</v>
      </c>
      <c r="K3" s="10" t="n">
        <v>55.13</v>
      </c>
      <c r="L3" s="11">
        <f>J3/K3-1</f>
        <v/>
      </c>
      <c r="M3" s="10" t="n">
        <v>55.06</v>
      </c>
      <c r="N3" s="10" t="n">
        <v>54.36</v>
      </c>
      <c r="O3" s="10" t="n">
        <v>55.48900000000013</v>
      </c>
      <c r="P3" s="10" t="n">
        <v>55.61650000000018</v>
      </c>
      <c r="Q3" s="11">
        <f>J3/P3-1</f>
        <v/>
      </c>
      <c r="R3" s="10" t="n">
        <v>55.1482</v>
      </c>
      <c r="S3" s="10" t="n">
        <v>55.00000000000009</v>
      </c>
      <c r="T3" s="11">
        <f>P3/S3-1</f>
        <v/>
      </c>
      <c r="U3" s="10" t="n">
        <v>58.62</v>
      </c>
      <c r="V3" s="2" t="inlineStr">
        <is>
          <t>2026-09-14</t>
        </is>
      </c>
      <c r="W3" s="12" t="n">
        <v>12</v>
      </c>
      <c r="X3" s="13">
        <f>J3/U3-1</f>
        <v/>
      </c>
      <c r="Y3" s="2" t="inlineStr">
        <is>
          <t>2026-09-01</t>
        </is>
      </c>
      <c r="Z3" s="12" t="n">
        <v>8</v>
      </c>
      <c r="AA3" s="14" t="n">
        <v>0.1189158236304637</v>
      </c>
      <c r="AB3" s="15" t="n">
        <v>0.08082195569404593</v>
      </c>
      <c r="AC3" s="16" t="n">
        <v>-0.02259221633867969</v>
      </c>
      <c r="AD3" s="2" t="inlineStr">
        <is>
          <t>2026-09-09</t>
        </is>
      </c>
      <c r="AE3" s="15" t="n">
        <v>0.0882185543540126</v>
      </c>
      <c r="AF3" s="15" t="n">
        <v>0.09732498577120086</v>
      </c>
      <c r="AG3" s="17" t="n">
        <v>15.21883927117716</v>
      </c>
      <c r="AH3" s="12" t="n">
        <v>1</v>
      </c>
      <c r="AI3" s="18" t="n">
        <v>27747487.11111111</v>
      </c>
      <c r="AJ3" s="18" t="n">
        <v>9206314.800000001</v>
      </c>
      <c r="AK3" s="19">
        <f>AI3/AJ3</f>
        <v/>
      </c>
      <c r="AL3" s="2" t="inlineStr">
        <is>
          <t>2026-09-22</t>
        </is>
      </c>
      <c r="AM3" s="15" t="n">
        <v>0.0810590708509471</v>
      </c>
      <c r="AN3" s="14" t="n">
        <v>1</v>
      </c>
      <c r="AO3" s="9" t="n">
        <v>1.197838736492103</v>
      </c>
      <c r="AP3" s="16" t="n">
        <v>0.01759974634691274</v>
      </c>
      <c r="AQ3" s="16" t="n">
        <v>0.02478994659478438</v>
      </c>
      <c r="AR3" s="16" t="n">
        <v>0.0348556504209173</v>
      </c>
      <c r="AS3" s="19">
        <f>AP3/AQ3</f>
        <v/>
      </c>
      <c r="AT3" s="19">
        <f>AP3/AR3</f>
        <v/>
      </c>
      <c r="AU3" s="19">
        <f>MAX(0,MIN(1,(AK3-2)/4))</f>
        <v/>
      </c>
      <c r="AV3" s="19">
        <f>MAX(0,MIN(1,(AG3-3)/7))</f>
        <v/>
      </c>
      <c r="AW3" s="19">
        <f>MAX(0,MIN(1,(AA3-0.25)/0.75))</f>
        <v/>
      </c>
      <c r="AX3" s="19">
        <f>MAX(0,MIN(1,(AM3-0.05)/0.2))</f>
        <v/>
      </c>
      <c r="AY3" s="19">
        <f>MAX(0,MIN(1,(AN3-0.7)/0.3))</f>
        <v/>
      </c>
      <c r="AZ3" s="19">
        <f>MAX(0,MIN(1,(AO3-1.2)/(0.6-1.2)))</f>
        <v/>
      </c>
      <c r="BA3" s="19">
        <f>MAX(0,MIN(1,(ABS(Q3)-0.03)/(0-0.03)))</f>
        <v/>
      </c>
      <c r="BB3" s="19">
        <f>MAX(0,MIN(1,T3/0.03))</f>
        <v/>
      </c>
      <c r="BC3" s="19">
        <f>MAX(0,MIN(1,(-X3-0.3)/(0.15-0.3)))</f>
        <v/>
      </c>
      <c r="BD3" s="19">
        <f>0.5*IF(M3&gt;N3,(J3-N3)/(M3-N3),0.5)+0.5*(J3&gt;=P3)</f>
        <v/>
      </c>
      <c r="BE3" s="19">
        <f>MAX(0,MIN(1,(AS3-0.9)/(0.5-0.9)))</f>
        <v/>
      </c>
      <c r="BF3" s="19">
        <f>MAX(0,MIN(1,(AT3-0.7)/(0.3-0.7)))</f>
        <v/>
      </c>
      <c r="BG3" s="20">
        <f>100*(0.4*AU3+0.3*AV3+0.3*AW3)</f>
        <v/>
      </c>
      <c r="BH3" s="20">
        <f>100*(0.5*AX3+0.5*AY3)</f>
        <v/>
      </c>
      <c r="BI3" s="20">
        <f>100*(0.3*AZ3+0.25*BA3+0.2*BB3+0.1*BC3+0.15*BD3)</f>
        <v/>
      </c>
      <c r="BJ3" s="20">
        <f>100*(0.5*BE3+0.5*BF3)</f>
        <v/>
      </c>
      <c r="BK3" s="21">
        <f>0.25*BG3+0.2*BH3+0.3*BI3+0.25*BJ3</f>
        <v/>
      </c>
      <c r="BL3" s="3" t="inlineStr"/>
      <c r="BM3" s="6" t="n"/>
      <c r="BN3" s="2" t="inlineStr">
        <is>
          <t>24/26</t>
        </is>
      </c>
      <c r="BO3" s="22" t="inlineStr">
        <is>
          <t>全換股併購目標：09-09 起每股 CSR = 3.800 股 IRT，股價跟收購方 IRT 走。升浪係併購溢價、回調係 IRT 跌，唔係資金追入後嘅回調；交割前基本上冇自己嘅走勢</t>
        </is>
      </c>
      <c r="BP3" s="23" t="n">
        <v>0</v>
      </c>
    </row>
    <row r="4">
      <c r="A4" s="5" t="n">
        <v>1</v>
      </c>
      <c r="B4" s="6">
        <f>COUNTIFS($A$2:$A$23,A4,$BK$2:$BK$23,"&gt;"&amp;BK4)+1</f>
        <v/>
      </c>
      <c r="C4" s="7" t="inlineStr">
        <is>
          <t>BSVN</t>
        </is>
      </c>
      <c r="D4" s="8" t="inlineStr">
        <is>
          <t>Bank7 Corp. Common stock</t>
        </is>
      </c>
      <c r="E4" s="2" t="inlineStr">
        <is>
          <t>NASDAQ</t>
        </is>
      </c>
      <c r="F4" s="2" t="inlineStr">
        <is>
          <t>金融</t>
        </is>
      </c>
      <c r="G4" s="2" t="inlineStr">
        <is>
          <t>Major Banks</t>
        </is>
      </c>
      <c r="H4" s="9" t="n">
        <v>0.527</v>
      </c>
      <c r="I4" s="2" t="inlineStr">
        <is>
          <t>小型</t>
        </is>
      </c>
      <c r="J4" s="10" t="n">
        <v>54.53</v>
      </c>
      <c r="K4" s="10" t="n">
        <v>55.28</v>
      </c>
      <c r="L4" s="11">
        <f>J4/K4-1</f>
        <v/>
      </c>
      <c r="M4" s="10" t="n">
        <v>55.62</v>
      </c>
      <c r="N4" s="10" t="n">
        <v>54.53</v>
      </c>
      <c r="O4" s="10" t="n">
        <v>54.92600000000039</v>
      </c>
      <c r="P4" s="10" t="n">
        <v>54.74950000000017</v>
      </c>
      <c r="Q4" s="11">
        <f>J4/P4-1</f>
        <v/>
      </c>
      <c r="R4" s="10" t="n">
        <v>52.52680000000012</v>
      </c>
      <c r="S4" s="10" t="n">
        <v>53.85700000000006</v>
      </c>
      <c r="T4" s="11">
        <f>P4/S4-1</f>
        <v/>
      </c>
      <c r="U4" s="10" t="n">
        <v>57.43</v>
      </c>
      <c r="V4" s="2" t="inlineStr">
        <is>
          <t>2026-09-04</t>
        </is>
      </c>
      <c r="W4" s="12" t="n">
        <v>17</v>
      </c>
      <c r="X4" s="13">
        <f>J4/U4-1</f>
        <v/>
      </c>
      <c r="Y4" s="2" t="inlineStr">
        <is>
          <t>2026-06-08</t>
        </is>
      </c>
      <c r="Z4" s="12" t="n">
        <v>62</v>
      </c>
      <c r="AA4" s="14" t="n">
        <v>0.2773576512455516</v>
      </c>
      <c r="AB4" s="15" t="n">
        <v>0.1015526848308705</v>
      </c>
      <c r="AC4" s="16" t="n">
        <v>-0.004009169033510229</v>
      </c>
      <c r="AD4" s="2" t="inlineStr">
        <is>
          <t>2026-09-04</t>
        </is>
      </c>
      <c r="AE4" s="15" t="n">
        <v>0.09494756911344138</v>
      </c>
      <c r="AF4" s="15" t="n">
        <v>0.03431839847473772</v>
      </c>
      <c r="AG4" s="17" t="n">
        <v>3.087071240105541</v>
      </c>
      <c r="AH4" s="12" t="n">
        <v>1</v>
      </c>
      <c r="AI4" s="18" t="n">
        <v>1750458.492063492</v>
      </c>
      <c r="AJ4" s="18" t="n">
        <v>510658.9666666667</v>
      </c>
      <c r="AK4" s="19">
        <f>AI4/AJ4</f>
        <v/>
      </c>
      <c r="AL4" s="2" t="inlineStr">
        <is>
          <t>2026-09-18</t>
        </is>
      </c>
      <c r="AM4" s="15" t="n">
        <v>0.0577811129069441</v>
      </c>
      <c r="AN4" s="14" t="n">
        <v>1</v>
      </c>
      <c r="AO4" s="9" t="n">
        <v>1.284517814695733</v>
      </c>
      <c r="AP4" s="16" t="n">
        <v>0.01863658394283519</v>
      </c>
      <c r="AQ4" s="16" t="n">
        <v>0.02881882684919911</v>
      </c>
      <c r="AR4" s="16" t="n">
        <v>0.02979592880132571</v>
      </c>
      <c r="AS4" s="19">
        <f>AP4/AQ4</f>
        <v/>
      </c>
      <c r="AT4" s="19">
        <f>AP4/AR4</f>
        <v/>
      </c>
      <c r="AU4" s="19">
        <f>MAX(0,MIN(1,(AK4-2)/4))</f>
        <v/>
      </c>
      <c r="AV4" s="19">
        <f>MAX(0,MIN(1,(AG4-3)/7))</f>
        <v/>
      </c>
      <c r="AW4" s="19">
        <f>MAX(0,MIN(1,(AA4-0.25)/0.75))</f>
        <v/>
      </c>
      <c r="AX4" s="19">
        <f>MAX(0,MIN(1,(AM4-0.05)/0.2))</f>
        <v/>
      </c>
      <c r="AY4" s="19">
        <f>MAX(0,MIN(1,(AN4-0.7)/0.3))</f>
        <v/>
      </c>
      <c r="AZ4" s="19">
        <f>MAX(0,MIN(1,(AO4-1.2)/(0.6-1.2)))</f>
        <v/>
      </c>
      <c r="BA4" s="19">
        <f>MAX(0,MIN(1,(ABS(Q4)-0.03)/(0-0.03)))</f>
        <v/>
      </c>
      <c r="BB4" s="19">
        <f>MAX(0,MIN(1,T4/0.03))</f>
        <v/>
      </c>
      <c r="BC4" s="19">
        <f>MAX(0,MIN(1,(-X4-0.3)/(0.15-0.3)))</f>
        <v/>
      </c>
      <c r="BD4" s="19">
        <f>0.5*IF(M4&gt;N4,(J4-N4)/(M4-N4),0.5)+0.5*(J4&gt;=P4)</f>
        <v/>
      </c>
      <c r="BE4" s="19">
        <f>MAX(0,MIN(1,(AS4-0.9)/(0.5-0.9)))</f>
        <v/>
      </c>
      <c r="BF4" s="19">
        <f>MAX(0,MIN(1,(AT4-0.7)/(0.3-0.7)))</f>
        <v/>
      </c>
      <c r="BG4" s="20">
        <f>100*(0.4*AU4+0.3*AV4+0.3*AW4)</f>
        <v/>
      </c>
      <c r="BH4" s="20">
        <f>100*(0.5*AX4+0.5*AY4)</f>
        <v/>
      </c>
      <c r="BI4" s="20">
        <f>100*(0.3*AZ4+0.25*BA4+0.2*BB4+0.1*BC4+0.15*BD4)</f>
        <v/>
      </c>
      <c r="BJ4" s="20">
        <f>100*(0.5*BE4+0.5*BF4)</f>
        <v/>
      </c>
      <c r="BK4" s="21">
        <f>0.25*BG4+0.2*BH4+0.3*BI4+0.25*BJ4</f>
        <v/>
      </c>
      <c r="BL4" s="3" t="inlineStr"/>
      <c r="BM4" s="6" t="n"/>
      <c r="BN4" s="2" t="inlineStr">
        <is>
          <t>22/26</t>
        </is>
      </c>
      <c r="BO4" s="22" t="inlineStr">
        <is>
          <t>今日放量（2.1× 50日均量）收喺 20MA 下面；20 日成交額中位數只有 $2.6M（股票池下限 $1M），入市出市都會有滑價</t>
        </is>
      </c>
      <c r="BP4" s="23" t="n">
        <v>0</v>
      </c>
    </row>
    <row r="5">
      <c r="A5" s="24" t="n">
        <v>2</v>
      </c>
      <c r="B5" s="25">
        <f>COUNTIFS($A$2:$A$23,A5,$BK$2:$BK$23,"&gt;"&amp;BK5)+1</f>
        <v/>
      </c>
      <c r="C5" s="7" t="inlineStr">
        <is>
          <t>CRSR</t>
        </is>
      </c>
      <c r="D5" s="8" t="inlineStr">
        <is>
          <t>Corsair Gaming Inc.</t>
        </is>
      </c>
      <c r="E5" s="2" t="inlineStr">
        <is>
          <t>NASDAQ</t>
        </is>
      </c>
      <c r="F5" s="2" t="inlineStr">
        <is>
          <t>科技</t>
        </is>
      </c>
      <c r="G5" s="2" t="inlineStr">
        <is>
          <t>Computer peripheral equipment</t>
        </is>
      </c>
      <c r="H5" s="9" t="n">
        <v>1.456</v>
      </c>
      <c r="I5" s="2" t="inlineStr">
        <is>
          <t>小型</t>
        </is>
      </c>
      <c r="J5" s="10" t="n">
        <v>13.5</v>
      </c>
      <c r="K5" s="10" t="n">
        <v>13.46</v>
      </c>
      <c r="L5" s="11">
        <f>J5/K5-1</f>
        <v/>
      </c>
      <c r="M5" s="10" t="n">
        <v>13.72</v>
      </c>
      <c r="N5" s="10" t="n">
        <v>13.38</v>
      </c>
      <c r="O5" s="10" t="n">
        <v>13.51800000000001</v>
      </c>
      <c r="P5" s="10" t="n">
        <v>13.15099999999999</v>
      </c>
      <c r="Q5" s="11">
        <f>J5/P5-1</f>
        <v/>
      </c>
      <c r="R5" s="10" t="n">
        <v>12.20529999999999</v>
      </c>
      <c r="S5" s="10" t="n">
        <v>12.74699999999998</v>
      </c>
      <c r="T5" s="11">
        <f>P5/S5-1</f>
        <v/>
      </c>
      <c r="U5" s="10" t="n">
        <v>14.35</v>
      </c>
      <c r="V5" s="2" t="inlineStr">
        <is>
          <t>2026-08-07</t>
        </is>
      </c>
      <c r="W5" s="12" t="n">
        <v>37</v>
      </c>
      <c r="X5" s="13">
        <f>J5/U5-1</f>
        <v/>
      </c>
      <c r="Y5" s="2" t="inlineStr">
        <is>
          <t>2026-05-19</t>
        </is>
      </c>
      <c r="Z5" s="12" t="n">
        <v>55</v>
      </c>
      <c r="AA5" s="14" t="n">
        <v>1.13859910581222</v>
      </c>
      <c r="AB5" s="15" t="n">
        <v>0.375278529841629</v>
      </c>
      <c r="AC5" s="16" t="n">
        <v>0.01720355617134395</v>
      </c>
      <c r="AD5" s="2" t="inlineStr">
        <is>
          <t>2026-05-28</t>
        </is>
      </c>
      <c r="AE5" s="15" t="n">
        <v>0.2169042769857432</v>
      </c>
      <c r="AF5" s="15" t="n">
        <v>0.1293279022403258</v>
      </c>
      <c r="AG5" s="17" t="n">
        <v>18.56118700794942</v>
      </c>
      <c r="AH5" s="12" t="n">
        <v>3</v>
      </c>
      <c r="AI5" s="18" t="n">
        <v>30175268.3125</v>
      </c>
      <c r="AJ5" s="18" t="n">
        <v>8025177.166666667</v>
      </c>
      <c r="AK5" s="19">
        <f>AI5/AJ5</f>
        <v/>
      </c>
      <c r="AL5" s="2" t="inlineStr">
        <is>
          <t>2026-08-18</t>
        </is>
      </c>
      <c r="AM5" s="15" t="n">
        <v>0.1966630326586758</v>
      </c>
      <c r="AN5" s="14" t="n">
        <v>1</v>
      </c>
      <c r="AO5" s="9" t="n">
        <v>0.6939661186265677</v>
      </c>
      <c r="AP5" s="16" t="n">
        <v>0.03365525061032916</v>
      </c>
      <c r="AQ5" s="16" t="n">
        <v>0.04398502169099392</v>
      </c>
      <c r="AR5" s="16" t="n">
        <v>0.08428015090827487</v>
      </c>
      <c r="AS5" s="19">
        <f>AP5/AQ5</f>
        <v/>
      </c>
      <c r="AT5" s="19">
        <f>AP5/AR5</f>
        <v/>
      </c>
      <c r="AU5" s="19">
        <f>MAX(0,MIN(1,(AK5-2)/4))</f>
        <v/>
      </c>
      <c r="AV5" s="19">
        <f>MAX(0,MIN(1,(AG5-3)/7))</f>
        <v/>
      </c>
      <c r="AW5" s="19">
        <f>MAX(0,MIN(1,(AA5-0.25)/0.75))</f>
        <v/>
      </c>
      <c r="AX5" s="19">
        <f>MAX(0,MIN(1,(AM5-0.05)/0.2))</f>
        <v/>
      </c>
      <c r="AY5" s="19">
        <f>MAX(0,MIN(1,(AN5-0.7)/0.3))</f>
        <v/>
      </c>
      <c r="AZ5" s="19">
        <f>MAX(0,MIN(1,(AO5-1.2)/(0.6-1.2)))</f>
        <v/>
      </c>
      <c r="BA5" s="19">
        <f>MAX(0,MIN(1,(ABS(Q5)-0.03)/(0-0.03)))</f>
        <v/>
      </c>
      <c r="BB5" s="19">
        <f>MAX(0,MIN(1,T5/0.03))</f>
        <v/>
      </c>
      <c r="BC5" s="19">
        <f>MAX(0,MIN(1,(-X5-0.3)/(0.15-0.3)))</f>
        <v/>
      </c>
      <c r="BD5" s="19">
        <f>0.5*IF(M5&gt;N5,(J5-N5)/(M5-N5),0.5)+0.5*(J5&gt;=P5)</f>
        <v/>
      </c>
      <c r="BE5" s="19">
        <f>MAX(0,MIN(1,(AS5-0.9)/(0.5-0.9)))</f>
        <v/>
      </c>
      <c r="BF5" s="19">
        <f>MAX(0,MIN(1,(AT5-0.7)/(0.3-0.7)))</f>
        <v/>
      </c>
      <c r="BG5" s="20">
        <f>100*(0.4*AU5+0.3*AV5+0.3*AW5)</f>
        <v/>
      </c>
      <c r="BH5" s="20">
        <f>100*(0.5*AX5+0.5*AY5)</f>
        <v/>
      </c>
      <c r="BI5" s="20">
        <f>100*(0.3*AZ5+0.25*BA5+0.2*BB5+0.1*BC5+0.15*BD5)</f>
        <v/>
      </c>
      <c r="BJ5" s="20">
        <f>100*(0.5*BE5+0.5*BF5)</f>
        <v/>
      </c>
      <c r="BK5" s="21">
        <f>0.25*BG5+0.2*BH5+0.3*BI5+0.25*BJ5</f>
        <v/>
      </c>
      <c r="BL5" s="3" t="inlineStr">
        <is>
          <t>C3 回落20MA：高位喺 37 日前；近 3 日最低價距 MA20 +1.7%</t>
        </is>
      </c>
      <c r="BM5" s="6" t="n"/>
      <c r="BN5" s="2" t="inlineStr"/>
      <c r="BO5" s="22" t="inlineStr">
        <is>
          <t>疑似釘價：10 日收市區間只有 2.1%，之前有單日 +35%</t>
        </is>
      </c>
      <c r="BP5" s="23" t="n">
        <v>0</v>
      </c>
    </row>
    <row r="6">
      <c r="A6" s="24" t="n">
        <v>2</v>
      </c>
      <c r="B6" s="25">
        <f>COUNTIFS($A$2:$A$23,A6,$BK$2:$BK$23,"&gt;"&amp;BK6)+1</f>
        <v/>
      </c>
      <c r="C6" s="7" t="inlineStr">
        <is>
          <t>CMRC</t>
        </is>
      </c>
      <c r="D6" s="8" t="inlineStr">
        <is>
          <t>Commerce.com Inc. Series 1</t>
        </is>
      </c>
      <c r="E6" s="2" t="inlineStr">
        <is>
          <t>NASDAQ</t>
        </is>
      </c>
      <c r="F6" s="2" t="inlineStr">
        <is>
          <t>科技</t>
        </is>
      </c>
      <c r="G6" s="2" t="inlineStr">
        <is>
          <t>Computer Software: Prepackaged Software</t>
        </is>
      </c>
      <c r="H6" s="9" t="n">
        <v>0.258</v>
      </c>
      <c r="I6" s="2" t="inlineStr">
        <is>
          <t>小型</t>
        </is>
      </c>
      <c r="J6" s="10" t="n">
        <v>3.16</v>
      </c>
      <c r="K6" s="10" t="n">
        <v>3.11</v>
      </c>
      <c r="L6" s="11">
        <f>J6/K6-1</f>
        <v/>
      </c>
      <c r="M6" s="10" t="n">
        <v>3.235</v>
      </c>
      <c r="N6" s="10" t="n">
        <v>3.08</v>
      </c>
      <c r="O6" s="10" t="n">
        <v>3.252499999999998</v>
      </c>
      <c r="P6" s="10" t="n">
        <v>3.124000000000001</v>
      </c>
      <c r="Q6" s="11">
        <f>J6/P6-1</f>
        <v/>
      </c>
      <c r="R6" s="10" t="n">
        <v>2.773300000000004</v>
      </c>
      <c r="S6" s="10" t="n">
        <v>2.925750000000005</v>
      </c>
      <c r="T6" s="11">
        <f>P6/S6-1</f>
        <v/>
      </c>
      <c r="U6" s="10" t="n">
        <v>3.64</v>
      </c>
      <c r="V6" s="2" t="inlineStr">
        <is>
          <t>2026-09-14</t>
        </is>
      </c>
      <c r="W6" s="12" t="n">
        <v>12</v>
      </c>
      <c r="X6" s="13">
        <f>J6/U6-1</f>
        <v/>
      </c>
      <c r="Y6" s="2" t="inlineStr">
        <is>
          <t>2026-08-17</t>
        </is>
      </c>
      <c r="Z6" s="12" t="n">
        <v>19</v>
      </c>
      <c r="AA6" s="14" t="n">
        <v>0.766990291262136</v>
      </c>
      <c r="AB6" s="15" t="n">
        <v>0.4515003489183507</v>
      </c>
      <c r="AC6" s="16" t="n">
        <v>-0.01408450704225384</v>
      </c>
      <c r="AD6" s="2" t="inlineStr">
        <is>
          <t>2026-09-10</t>
        </is>
      </c>
      <c r="AE6" s="15" t="n">
        <v>0.1846153846153846</v>
      </c>
      <c r="AF6" s="15" t="n">
        <v>0.1153846153846154</v>
      </c>
      <c r="AG6" s="17" t="n">
        <v>4.404051401859772</v>
      </c>
      <c r="AH6" s="12" t="n">
        <v>3</v>
      </c>
      <c r="AI6" s="18" t="n">
        <v>3783023.125</v>
      </c>
      <c r="AJ6" s="18" t="n">
        <v>2192366.491666667</v>
      </c>
      <c r="AK6" s="19">
        <f>AI6/AJ6</f>
        <v/>
      </c>
      <c r="AL6" s="2" t="inlineStr">
        <is>
          <t>2026-09-23</t>
        </is>
      </c>
      <c r="AM6" s="15" t="n">
        <v>0.3786585365853679</v>
      </c>
      <c r="AN6" s="14" t="n">
        <v>1</v>
      </c>
      <c r="AO6" s="9" t="n">
        <v>0.483463961727096</v>
      </c>
      <c r="AP6" s="16" t="n">
        <v>0.04419818754019612</v>
      </c>
      <c r="AQ6" s="16" t="n">
        <v>0.06897978181577276</v>
      </c>
      <c r="AR6" s="16" t="n">
        <v>0.085745533085497</v>
      </c>
      <c r="AS6" s="19">
        <f>AP6/AQ6</f>
        <v/>
      </c>
      <c r="AT6" s="19">
        <f>AP6/AR6</f>
        <v/>
      </c>
      <c r="AU6" s="19">
        <f>MAX(0,MIN(1,(AK6-2)/4))</f>
        <v/>
      </c>
      <c r="AV6" s="19">
        <f>MAX(0,MIN(1,(AG6-3)/7))</f>
        <v/>
      </c>
      <c r="AW6" s="19">
        <f>MAX(0,MIN(1,(AA6-0.25)/0.75))</f>
        <v/>
      </c>
      <c r="AX6" s="19">
        <f>MAX(0,MIN(1,(AM6-0.05)/0.2))</f>
        <v/>
      </c>
      <c r="AY6" s="19">
        <f>MAX(0,MIN(1,(AN6-0.7)/0.3))</f>
        <v/>
      </c>
      <c r="AZ6" s="19">
        <f>MAX(0,MIN(1,(AO6-1.2)/(0.6-1.2)))</f>
        <v/>
      </c>
      <c r="BA6" s="19">
        <f>MAX(0,MIN(1,(ABS(Q6)-0.03)/(0-0.03)))</f>
        <v/>
      </c>
      <c r="BB6" s="19">
        <f>MAX(0,MIN(1,T6/0.03))</f>
        <v/>
      </c>
      <c r="BC6" s="19">
        <f>MAX(0,MIN(1,(-X6-0.3)/(0.15-0.3)))</f>
        <v/>
      </c>
      <c r="BD6" s="19">
        <f>0.5*IF(M6&gt;N6,(J6-N6)/(M6-N6),0.5)+0.5*(J6&gt;=P6)</f>
        <v/>
      </c>
      <c r="BE6" s="19">
        <f>MAX(0,MIN(1,(AS6-0.9)/(0.5-0.9)))</f>
        <v/>
      </c>
      <c r="BF6" s="19">
        <f>MAX(0,MIN(1,(AT6-0.7)/(0.3-0.7)))</f>
        <v/>
      </c>
      <c r="BG6" s="20">
        <f>100*(0.4*AU6+0.3*AV6+0.3*AW6)</f>
        <v/>
      </c>
      <c r="BH6" s="20">
        <f>100*(0.5*AX6+0.5*AY6)</f>
        <v/>
      </c>
      <c r="BI6" s="20">
        <f>100*(0.3*AZ6+0.25*BA6+0.2*BB6+0.1*BC6+0.15*BD6)</f>
        <v/>
      </c>
      <c r="BJ6" s="20">
        <f>100*(0.5*BE6+0.5*BF6)</f>
        <v/>
      </c>
      <c r="BK6" s="21">
        <f>0.25*BG6+0.2*BH6+0.3*BI6+0.25*BJ6</f>
        <v/>
      </c>
      <c r="BL6" s="3" t="inlineStr">
        <is>
          <t>C1b 熱錢：升浪成交額係之前 60 日嘅 1.73×（要 ≥2.0×）</t>
        </is>
      </c>
      <c r="BM6" s="6" t="n"/>
      <c r="BN6" s="2" t="inlineStr"/>
      <c r="BO6" s="22" t="inlineStr">
        <is>
          <t>20 日成交額中位數只有 $2.2M（股票池下限 $1M），入市出市都會有滑價</t>
        </is>
      </c>
      <c r="BP6" s="23" t="n">
        <v>0</v>
      </c>
    </row>
    <row r="7">
      <c r="A7" s="24" t="n">
        <v>2</v>
      </c>
      <c r="B7" s="25">
        <f>COUNTIFS($A$2:$A$23,A7,$BK$2:$BK$23,"&gt;"&amp;BK7)+1</f>
        <v/>
      </c>
      <c r="C7" s="26" t="inlineStr">
        <is>
          <t>OMER</t>
        </is>
      </c>
      <c r="D7" s="8" t="inlineStr">
        <is>
          <t>Omeros Corporation</t>
        </is>
      </c>
      <c r="E7" s="2" t="inlineStr">
        <is>
          <t>NASDAQ</t>
        </is>
      </c>
      <c r="F7" s="2" t="inlineStr">
        <is>
          <t>醫療保健</t>
        </is>
      </c>
      <c r="G7" s="2" t="inlineStr">
        <is>
          <t>Biotechnology: Pharmaceutical Preparations</t>
        </is>
      </c>
      <c r="H7" s="9" t="n">
        <v>1.393</v>
      </c>
      <c r="I7" s="2" t="inlineStr">
        <is>
          <t>小型</t>
        </is>
      </c>
      <c r="J7" s="10" t="n">
        <v>19.04</v>
      </c>
      <c r="K7" s="10" t="n">
        <v>19.25</v>
      </c>
      <c r="L7" s="11">
        <f>J7/K7-1</f>
        <v/>
      </c>
      <c r="M7" s="10" t="n">
        <v>19.4</v>
      </c>
      <c r="N7" s="10" t="n">
        <v>19.02</v>
      </c>
      <c r="O7" s="10" t="n">
        <v>19.45299999999993</v>
      </c>
      <c r="P7" s="10" t="n">
        <v>18.93999999999999</v>
      </c>
      <c r="Q7" s="11">
        <f>J7/P7-1</f>
        <v/>
      </c>
      <c r="R7" s="10" t="n">
        <v>16.59700000000002</v>
      </c>
      <c r="S7" s="10" t="n">
        <v>18.72449999999999</v>
      </c>
      <c r="T7" s="11">
        <f>P7/S7-1</f>
        <v/>
      </c>
      <c r="U7" s="10" t="n">
        <v>21.05</v>
      </c>
      <c r="V7" s="2" t="inlineStr">
        <is>
          <t>2026-09-22</t>
        </is>
      </c>
      <c r="W7" s="12" t="n">
        <v>6</v>
      </c>
      <c r="X7" s="13">
        <f>J7/U7-1</f>
        <v/>
      </c>
      <c r="Y7" s="2" t="inlineStr">
        <is>
          <t>2026-06-26</t>
        </is>
      </c>
      <c r="Z7" s="12" t="n">
        <v>60</v>
      </c>
      <c r="AA7" s="14" t="n">
        <v>1.427912341407151</v>
      </c>
      <c r="AB7" s="15" t="n">
        <v>0.1285955553172662</v>
      </c>
      <c r="AC7" s="16" t="n">
        <v>0.003936487807456146</v>
      </c>
      <c r="AD7" s="2" t="inlineStr">
        <is>
          <t>2026-08-13</t>
        </is>
      </c>
      <c r="AE7" s="15" t="n">
        <v>0.2654996353026988</v>
      </c>
      <c r="AF7" s="15" t="n">
        <v>0.2144420131291027</v>
      </c>
      <c r="AG7" s="17" t="n">
        <v>7.071050479385224</v>
      </c>
      <c r="AH7" s="12" t="n">
        <v>2</v>
      </c>
      <c r="AI7" s="18" t="n">
        <v>29218303.70491803</v>
      </c>
      <c r="AJ7" s="18" t="n">
        <v>18980137.8</v>
      </c>
      <c r="AK7" s="19">
        <f>AI7/AJ7</f>
        <v/>
      </c>
      <c r="AL7" s="2" t="inlineStr">
        <is>
          <t>2026-08-26</t>
        </is>
      </c>
      <c r="AM7" s="15" t="n">
        <v>0.4096711798839479</v>
      </c>
      <c r="AN7" s="14" t="n">
        <v>1</v>
      </c>
      <c r="AO7" s="9" t="n">
        <v>0.6626025805813723</v>
      </c>
      <c r="AP7" s="16" t="n">
        <v>0.03528929271145591</v>
      </c>
      <c r="AQ7" s="16" t="n">
        <v>0.04698834581134253</v>
      </c>
      <c r="AR7" s="16" t="n">
        <v>0.06307939361808405</v>
      </c>
      <c r="AS7" s="19">
        <f>AP7/AQ7</f>
        <v/>
      </c>
      <c r="AT7" s="19">
        <f>AP7/AR7</f>
        <v/>
      </c>
      <c r="AU7" s="19">
        <f>MAX(0,MIN(1,(AK7-2)/4))</f>
        <v/>
      </c>
      <c r="AV7" s="19">
        <f>MAX(0,MIN(1,(AG7-3)/7))</f>
        <v/>
      </c>
      <c r="AW7" s="19">
        <f>MAX(0,MIN(1,(AA7-0.25)/0.75))</f>
        <v/>
      </c>
      <c r="AX7" s="19">
        <f>MAX(0,MIN(1,(AM7-0.05)/0.2))</f>
        <v/>
      </c>
      <c r="AY7" s="19">
        <f>MAX(0,MIN(1,(AN7-0.7)/0.3))</f>
        <v/>
      </c>
      <c r="AZ7" s="19">
        <f>MAX(0,MIN(1,(AO7-1.2)/(0.6-1.2)))</f>
        <v/>
      </c>
      <c r="BA7" s="19">
        <f>MAX(0,MIN(1,(ABS(Q7)-0.03)/(0-0.03)))</f>
        <v/>
      </c>
      <c r="BB7" s="19">
        <f>MAX(0,MIN(1,T7/0.03))</f>
        <v/>
      </c>
      <c r="BC7" s="19">
        <f>MAX(0,MIN(1,(-X7-0.3)/(0.15-0.3)))</f>
        <v/>
      </c>
      <c r="BD7" s="19">
        <f>0.5*IF(M7&gt;N7,(J7-N7)/(M7-N7),0.5)+0.5*(J7&gt;=P7)</f>
        <v/>
      </c>
      <c r="BE7" s="19">
        <f>MAX(0,MIN(1,(AS7-0.9)/(0.5-0.9)))</f>
        <v/>
      </c>
      <c r="BF7" s="19">
        <f>MAX(0,MIN(1,(AT7-0.7)/(0.3-0.7)))</f>
        <v/>
      </c>
      <c r="BG7" s="20">
        <f>100*(0.4*AU7+0.3*AV7+0.3*AW7)</f>
        <v/>
      </c>
      <c r="BH7" s="20">
        <f>100*(0.5*AX7+0.5*AY7)</f>
        <v/>
      </c>
      <c r="BI7" s="20">
        <f>100*(0.3*AZ7+0.25*BA7+0.2*BB7+0.1*BC7+0.15*BD7)</f>
        <v/>
      </c>
      <c r="BJ7" s="20">
        <f>100*(0.5*BE7+0.5*BF7)</f>
        <v/>
      </c>
      <c r="BK7" s="21">
        <f>0.25*BG7+0.2*BH7+0.3*BI7+0.25*BJ7</f>
        <v/>
      </c>
      <c r="BL7" s="3" t="inlineStr">
        <is>
          <t>C1b 熱錢：升浪成交額係之前 60 日嘅 1.54×（要 ≥2.0×）</t>
        </is>
      </c>
      <c r="BM7" s="6" t="n"/>
      <c r="BN7" s="2" t="inlineStr"/>
      <c r="BO7" s="3" t="inlineStr"/>
      <c r="BP7" s="23" t="n">
        <v>0</v>
      </c>
    </row>
    <row r="8">
      <c r="A8" s="24" t="n">
        <v>2</v>
      </c>
      <c r="B8" s="25">
        <f>COUNTIFS($A$2:$A$23,A8,$BK$2:$BK$23,"&gt;"&amp;BK8)+1</f>
        <v/>
      </c>
      <c r="C8" s="26" t="inlineStr">
        <is>
          <t>HAE</t>
        </is>
      </c>
      <c r="D8" s="8" t="inlineStr">
        <is>
          <t>Haemonetics Corporation</t>
        </is>
      </c>
      <c r="E8" s="2" t="inlineStr">
        <is>
          <t>NYSE</t>
        </is>
      </c>
      <c r="F8" s="2" t="inlineStr">
        <is>
          <t>醫療保健</t>
        </is>
      </c>
      <c r="G8" s="2" t="inlineStr">
        <is>
          <t>Medical/Dental Instruments</t>
        </is>
      </c>
      <c r="H8" s="9" t="n">
        <v>4.814</v>
      </c>
      <c r="I8" s="2" t="inlineStr">
        <is>
          <t>中型</t>
        </is>
      </c>
      <c r="J8" s="10" t="n">
        <v>105.3</v>
      </c>
      <c r="K8" s="10" t="n">
        <v>105.8</v>
      </c>
      <c r="L8" s="11">
        <f>J8/K8-1</f>
        <v/>
      </c>
      <c r="M8" s="10" t="n">
        <v>105.78</v>
      </c>
      <c r="N8" s="10" t="n">
        <v>103.54</v>
      </c>
      <c r="O8" s="10" t="n">
        <v>106.8259999999998</v>
      </c>
      <c r="P8" s="10" t="n">
        <v>105.2725</v>
      </c>
      <c r="Q8" s="11">
        <f>J8/P8-1</f>
        <v/>
      </c>
      <c r="R8" s="10" t="n">
        <v>97.81039999999997</v>
      </c>
      <c r="S8" s="10" t="n">
        <v>104.892</v>
      </c>
      <c r="T8" s="11">
        <f>P8/S8-1</f>
        <v/>
      </c>
      <c r="U8" s="10" t="n">
        <v>108.8</v>
      </c>
      <c r="V8" s="2" t="inlineStr">
        <is>
          <t>2026-08-21</t>
        </is>
      </c>
      <c r="W8" s="12" t="n">
        <v>27</v>
      </c>
      <c r="X8" s="13">
        <f>J8/U8-1</f>
        <v/>
      </c>
      <c r="Y8" s="2" t="inlineStr">
        <is>
          <t>2026-05-21</t>
        </is>
      </c>
      <c r="Z8" s="12" t="n">
        <v>63</v>
      </c>
      <c r="AA8" s="14" t="n">
        <v>0.7565385857281239</v>
      </c>
      <c r="AB8" s="15" t="n">
        <v>0.1998500187476568</v>
      </c>
      <c r="AC8" s="16" t="n">
        <v>-0.0164572894155639</v>
      </c>
      <c r="AD8" s="2" t="inlineStr">
        <is>
          <t>2026-08-18</t>
        </is>
      </c>
      <c r="AE8" s="15" t="n">
        <v>0.1592998781433479</v>
      </c>
      <c r="AF8" s="15" t="n">
        <v>0.1354824415641964</v>
      </c>
      <c r="AG8" s="17" t="n">
        <v>2.78259987783119</v>
      </c>
      <c r="AH8" s="12" t="n">
        <v>1</v>
      </c>
      <c r="AI8" s="18" t="n">
        <v>70451531.640625</v>
      </c>
      <c r="AJ8" s="18" t="n">
        <v>45639026.76666667</v>
      </c>
      <c r="AK8" s="19">
        <f>AI8/AJ8</f>
        <v/>
      </c>
      <c r="AL8" s="2" t="inlineStr">
        <is>
          <t>2026-08-31</t>
        </is>
      </c>
      <c r="AM8" s="15" t="n">
        <v>0.2128383762493427</v>
      </c>
      <c r="AN8" s="14" t="n">
        <v>1</v>
      </c>
      <c r="AO8" s="9" t="n">
        <v>0.6360850446038062</v>
      </c>
      <c r="AP8" s="16" t="n">
        <v>0.01911747268840414</v>
      </c>
      <c r="AQ8" s="16" t="n">
        <v>0.0244226881191562</v>
      </c>
      <c r="AR8" s="16" t="n">
        <v>0.03970502263212945</v>
      </c>
      <c r="AS8" s="19">
        <f>AP8/AQ8</f>
        <v/>
      </c>
      <c r="AT8" s="19">
        <f>AP8/AR8</f>
        <v/>
      </c>
      <c r="AU8" s="19">
        <f>MAX(0,MIN(1,(AK8-2)/4))</f>
        <v/>
      </c>
      <c r="AV8" s="19">
        <f>MAX(0,MIN(1,(AG8-3)/7))</f>
        <v/>
      </c>
      <c r="AW8" s="19">
        <f>MAX(0,MIN(1,(AA8-0.25)/0.75))</f>
        <v/>
      </c>
      <c r="AX8" s="19">
        <f>MAX(0,MIN(1,(AM8-0.05)/0.2))</f>
        <v/>
      </c>
      <c r="AY8" s="19">
        <f>MAX(0,MIN(1,(AN8-0.7)/0.3))</f>
        <v/>
      </c>
      <c r="AZ8" s="19">
        <f>MAX(0,MIN(1,(AO8-1.2)/(0.6-1.2)))</f>
        <v/>
      </c>
      <c r="BA8" s="19">
        <f>MAX(0,MIN(1,(ABS(Q8)-0.03)/(0-0.03)))</f>
        <v/>
      </c>
      <c r="BB8" s="19">
        <f>MAX(0,MIN(1,T8/0.03))</f>
        <v/>
      </c>
      <c r="BC8" s="19">
        <f>MAX(0,MIN(1,(-X8-0.3)/(0.15-0.3)))</f>
        <v/>
      </c>
      <c r="BD8" s="19">
        <f>0.5*IF(M8&gt;N8,(J8-N8)/(M8-N8),0.5)+0.5*(J8&gt;=P8)</f>
        <v/>
      </c>
      <c r="BE8" s="19">
        <f>MAX(0,MIN(1,(AS8-0.9)/(0.5-0.9)))</f>
        <v/>
      </c>
      <c r="BF8" s="19">
        <f>MAX(0,MIN(1,(AT8-0.7)/(0.3-0.7)))</f>
        <v/>
      </c>
      <c r="BG8" s="20">
        <f>100*(0.4*AU8+0.3*AV8+0.3*AW8)</f>
        <v/>
      </c>
      <c r="BH8" s="20">
        <f>100*(0.5*AX8+0.5*AY8)</f>
        <v/>
      </c>
      <c r="BI8" s="20">
        <f>100*(0.3*AZ8+0.25*BA8+0.2*BB8+0.1*BC8+0.15*BD8)</f>
        <v/>
      </c>
      <c r="BJ8" s="20">
        <f>100*(0.5*BE8+0.5*BF8)</f>
        <v/>
      </c>
      <c r="BK8" s="21">
        <f>0.25*BG8+0.2*BH8+0.3*BI8+0.25*BJ8</f>
        <v/>
      </c>
      <c r="BL8" s="3" t="inlineStr">
        <is>
          <t>C1a 事件日：高位前 60 日最大量日只有 2.8× 50日均量（當日 +15.9%）；要 ≥3× 兼當日 ≥+8% 或開市跳空 ≥+5%；C1b 熱錢：升浪成交額係之前 60 日嘅 1.54×（要 ≥2.0×）；C3 回落20MA：高位喺 27 日前</t>
        </is>
      </c>
      <c r="BM8" s="6" t="n"/>
      <c r="BN8" s="2" t="inlineStr"/>
      <c r="BO8" s="3" t="inlineStr"/>
      <c r="BP8" s="23" t="n">
        <v>0</v>
      </c>
    </row>
    <row r="9">
      <c r="A9" s="24" t="n">
        <v>2</v>
      </c>
      <c r="B9" s="25">
        <f>COUNTIFS($A$2:$A$23,A9,$BK$2:$BK$23,"&gt;"&amp;BK9)+1</f>
        <v/>
      </c>
      <c r="C9" s="7" t="inlineStr">
        <is>
          <t>ASST</t>
        </is>
      </c>
      <c r="D9" s="8" t="inlineStr">
        <is>
          <t>Strive Inc. Class A</t>
        </is>
      </c>
      <c r="E9" s="2" t="inlineStr">
        <is>
          <t>NASDAQ</t>
        </is>
      </c>
      <c r="F9" s="2" t="inlineStr">
        <is>
          <t>金融</t>
        </is>
      </c>
      <c r="G9" s="2" t="inlineStr">
        <is>
          <t>Finance: Consumer Services</t>
        </is>
      </c>
      <c r="H9" s="9" t="n">
        <v>2.843</v>
      </c>
      <c r="I9" s="2" t="inlineStr">
        <is>
          <t>中型</t>
        </is>
      </c>
      <c r="J9" s="10" t="n">
        <v>29.41</v>
      </c>
      <c r="K9" s="10" t="n">
        <v>29.31</v>
      </c>
      <c r="L9" s="11">
        <f>J9/K9-1</f>
        <v/>
      </c>
      <c r="M9" s="10" t="n">
        <v>30.54</v>
      </c>
      <c r="N9" s="10" t="n">
        <v>28.96</v>
      </c>
      <c r="O9" s="10" t="n">
        <v>29.41399999999994</v>
      </c>
      <c r="P9" s="10" t="n">
        <v>28.23999999999992</v>
      </c>
      <c r="Q9" s="11">
        <f>J9/P9-1</f>
        <v/>
      </c>
      <c r="R9" s="10" t="n">
        <v>20.27829999999996</v>
      </c>
      <c r="S9" s="10" t="n">
        <v>26.61399999999992</v>
      </c>
      <c r="T9" s="11">
        <f>P9/S9-1</f>
        <v/>
      </c>
      <c r="U9" s="10" t="n">
        <v>30.33</v>
      </c>
      <c r="V9" s="2" t="inlineStr">
        <is>
          <t>2026-09-21</t>
        </is>
      </c>
      <c r="W9" s="12" t="n">
        <v>7</v>
      </c>
      <c r="X9" s="13">
        <f>J9/U9-1</f>
        <v/>
      </c>
      <c r="Y9" s="2" t="inlineStr">
        <is>
          <t>2026-06-30</t>
        </is>
      </c>
      <c r="Z9" s="12" t="n">
        <v>57</v>
      </c>
      <c r="AA9" s="14" t="n">
        <v>1.780018331805683</v>
      </c>
      <c r="AB9" s="15" t="n">
        <v>0.1777268667728074</v>
      </c>
      <c r="AC9" s="16" t="n">
        <v>0.02468760614240795</v>
      </c>
      <c r="AD9" s="2" t="inlineStr">
        <is>
          <t>2026-08-21</t>
        </is>
      </c>
      <c r="AE9" s="15" t="n">
        <v>0.12957222566646</v>
      </c>
      <c r="AF9" s="15" t="n">
        <v>0.09485430874147549</v>
      </c>
      <c r="AG9" s="17" t="n">
        <v>3.942673274728376</v>
      </c>
      <c r="AH9" s="12" t="n">
        <v>10</v>
      </c>
      <c r="AI9" s="18" t="n">
        <v>133646979.2672414</v>
      </c>
      <c r="AJ9" s="18" t="n">
        <v>67550215.075</v>
      </c>
      <c r="AK9" s="19">
        <f>AI9/AJ9</f>
        <v/>
      </c>
      <c r="AL9" s="2" t="inlineStr">
        <is>
          <t>2026-09-03</t>
        </is>
      </c>
      <c r="AM9" s="15" t="n">
        <v>0.7090784827429062</v>
      </c>
      <c r="AN9" s="14" t="n">
        <v>1</v>
      </c>
      <c r="AO9" s="9" t="n">
        <v>0.5241383109620757</v>
      </c>
      <c r="AP9" s="16" t="n">
        <v>0.05299096319390406</v>
      </c>
      <c r="AQ9" s="16" t="n">
        <v>0.07220347071117508</v>
      </c>
      <c r="AR9" s="16" t="n">
        <v>0.08177565375914107</v>
      </c>
      <c r="AS9" s="19">
        <f>AP9/AQ9</f>
        <v/>
      </c>
      <c r="AT9" s="19">
        <f>AP9/AR9</f>
        <v/>
      </c>
      <c r="AU9" s="19">
        <f>MAX(0,MIN(1,(AK9-2)/4))</f>
        <v/>
      </c>
      <c r="AV9" s="19">
        <f>MAX(0,MIN(1,(AG9-3)/7))</f>
        <v/>
      </c>
      <c r="AW9" s="19">
        <f>MAX(0,MIN(1,(AA9-0.25)/0.75))</f>
        <v/>
      </c>
      <c r="AX9" s="19">
        <f>MAX(0,MIN(1,(AM9-0.05)/0.2))</f>
        <v/>
      </c>
      <c r="AY9" s="19">
        <f>MAX(0,MIN(1,(AN9-0.7)/0.3))</f>
        <v/>
      </c>
      <c r="AZ9" s="19">
        <f>MAX(0,MIN(1,(AO9-1.2)/(0.6-1.2)))</f>
        <v/>
      </c>
      <c r="BA9" s="19">
        <f>MAX(0,MIN(1,(ABS(Q9)-0.03)/(0-0.03)))</f>
        <v/>
      </c>
      <c r="BB9" s="19">
        <f>MAX(0,MIN(1,T9/0.03))</f>
        <v/>
      </c>
      <c r="BC9" s="19">
        <f>MAX(0,MIN(1,(-X9-0.3)/(0.15-0.3)))</f>
        <v/>
      </c>
      <c r="BD9" s="19">
        <f>0.5*IF(M9&gt;N9,(J9-N9)/(M9-N9),0.5)+0.5*(J9&gt;=P9)</f>
        <v/>
      </c>
      <c r="BE9" s="19">
        <f>MAX(0,MIN(1,(AS9-0.9)/(0.5-0.9)))</f>
        <v/>
      </c>
      <c r="BF9" s="19">
        <f>MAX(0,MIN(1,(AT9-0.7)/(0.3-0.7)))</f>
        <v/>
      </c>
      <c r="BG9" s="20">
        <f>100*(0.4*AU9+0.3*AV9+0.3*AW9)</f>
        <v/>
      </c>
      <c r="BH9" s="20">
        <f>100*(0.5*AX9+0.5*AY9)</f>
        <v/>
      </c>
      <c r="BI9" s="20">
        <f>100*(0.3*AZ9+0.25*BA9+0.2*BB9+0.1*BC9+0.15*BD9)</f>
        <v/>
      </c>
      <c r="BJ9" s="20">
        <f>100*(0.5*BE9+0.5*BF9)</f>
        <v/>
      </c>
      <c r="BK9" s="21">
        <f>0.25*BG9+0.2*BH9+0.3*BI9+0.25*BJ9</f>
        <v/>
      </c>
      <c r="BL9" s="3" t="inlineStr">
        <is>
          <t>C1b 熱錢：升浪成交額係之前 60 日嘅 1.98×（要 ≥2.0×）；C3 回落20MA：收市距 MA20 +4.1%；近 3 日最低價距 MA20 +2.5%</t>
        </is>
      </c>
      <c r="BM9" s="6" t="n"/>
      <c r="BN9" s="2" t="inlineStr"/>
      <c r="BO9" s="22" t="inlineStr">
        <is>
          <t>比特幣庫存公司，股價跟比特幣走；同名單入面 GEMI、PURR 同向（21 日相關系數中位數 +0.66，名單其餘 +0.08）：當一個交易睇</t>
        </is>
      </c>
      <c r="BP9" s="23" t="n">
        <v>0</v>
      </c>
    </row>
    <row r="10">
      <c r="A10" s="24" t="n">
        <v>2</v>
      </c>
      <c r="B10" s="25">
        <f>COUNTIFS($A$2:$A$23,A10,$BK$2:$BK$23,"&gt;"&amp;BK10)+1</f>
        <v/>
      </c>
      <c r="C10" s="7" t="inlineStr">
        <is>
          <t>GEMI</t>
        </is>
      </c>
      <c r="D10" s="8" t="inlineStr">
        <is>
          <t>Gemini Space Station Inc. Class A</t>
        </is>
      </c>
      <c r="E10" s="2" t="inlineStr">
        <is>
          <t>NASDAQ</t>
        </is>
      </c>
      <c r="F10" s="2" t="inlineStr">
        <is>
          <t>金融</t>
        </is>
      </c>
      <c r="G10" s="2" t="inlineStr">
        <is>
          <t>Finance: Consumer Services</t>
        </is>
      </c>
      <c r="H10" s="9" t="n">
        <v>0.6860000000000001</v>
      </c>
      <c r="I10" s="2" t="inlineStr">
        <is>
          <t>小型</t>
        </is>
      </c>
      <c r="J10" s="10" t="n">
        <v>5.16</v>
      </c>
      <c r="K10" s="10" t="n">
        <v>5.29</v>
      </c>
      <c r="L10" s="11">
        <f>J10/K10-1</f>
        <v/>
      </c>
      <c r="M10" s="10" t="n">
        <v>5.548</v>
      </c>
      <c r="N10" s="10" t="n">
        <v>5.12</v>
      </c>
      <c r="O10" s="10" t="n">
        <v>5.464999999999918</v>
      </c>
      <c r="P10" s="10" t="n">
        <v>4.989249999999936</v>
      </c>
      <c r="Q10" s="11">
        <f>J10/P10-1</f>
        <v/>
      </c>
      <c r="R10" s="10" t="n">
        <v>4.50699999999998</v>
      </c>
      <c r="S10" s="10" t="n">
        <v>4.757749999999954</v>
      </c>
      <c r="T10" s="11">
        <f>P10/S10-1</f>
        <v/>
      </c>
      <c r="U10" s="10" t="n">
        <v>5.99</v>
      </c>
      <c r="V10" s="2" t="inlineStr">
        <is>
          <t>2026-09-21</t>
        </is>
      </c>
      <c r="W10" s="12" t="n">
        <v>7</v>
      </c>
      <c r="X10" s="13">
        <f>J10/U10-1</f>
        <v/>
      </c>
      <c r="Y10" s="2" t="inlineStr">
        <is>
          <t>2026-08-18</t>
        </is>
      </c>
      <c r="Z10" s="12" t="n">
        <v>23</v>
      </c>
      <c r="AA10" s="14" t="n">
        <v>0.692090395480226</v>
      </c>
      <c r="AB10" s="15" t="n">
        <v>0.2961860968352821</v>
      </c>
      <c r="AC10" s="16" t="n">
        <v>0.02620634363883667</v>
      </c>
      <c r="AD10" s="2" t="inlineStr">
        <is>
          <t>2026-09-18</t>
        </is>
      </c>
      <c r="AE10" s="15" t="n">
        <v>0.3115124153498872</v>
      </c>
      <c r="AF10" s="15" t="n">
        <v>0.03160270880361193</v>
      </c>
      <c r="AG10" s="17" t="n">
        <v>7.809492096329839</v>
      </c>
      <c r="AH10" s="12" t="n">
        <v>5</v>
      </c>
      <c r="AI10" s="18" t="n">
        <v>16181145.29166667</v>
      </c>
      <c r="AJ10" s="18" t="n">
        <v>7145468.7</v>
      </c>
      <c r="AK10" s="19">
        <f>AI10/AJ10</f>
        <v/>
      </c>
      <c r="AL10" s="2" t="inlineStr">
        <is>
          <t>2026-09-29</t>
        </is>
      </c>
      <c r="AM10" s="15" t="n">
        <v>0.1896265100299106</v>
      </c>
      <c r="AN10" s="14" t="n">
        <v>1</v>
      </c>
      <c r="AO10" s="9" t="n">
        <v>0.7414882810237212</v>
      </c>
      <c r="AP10" s="16" t="n">
        <v>0.06728011425860636</v>
      </c>
      <c r="AQ10" s="16" t="n">
        <v>0.09396709083321229</v>
      </c>
      <c r="AR10" s="16" t="n">
        <v>0.1098987973215118</v>
      </c>
      <c r="AS10" s="19">
        <f>AP10/AQ10</f>
        <v/>
      </c>
      <c r="AT10" s="19">
        <f>AP10/AR10</f>
        <v/>
      </c>
      <c r="AU10" s="19">
        <f>MAX(0,MIN(1,(AK10-2)/4))</f>
        <v/>
      </c>
      <c r="AV10" s="19">
        <f>MAX(0,MIN(1,(AG10-3)/7))</f>
        <v/>
      </c>
      <c r="AW10" s="19">
        <f>MAX(0,MIN(1,(AA10-0.25)/0.75))</f>
        <v/>
      </c>
      <c r="AX10" s="19">
        <f>MAX(0,MIN(1,(AM10-0.05)/0.2))</f>
        <v/>
      </c>
      <c r="AY10" s="19">
        <f>MAX(0,MIN(1,(AN10-0.7)/0.3))</f>
        <v/>
      </c>
      <c r="AZ10" s="19">
        <f>MAX(0,MIN(1,(AO10-1.2)/(0.6-1.2)))</f>
        <v/>
      </c>
      <c r="BA10" s="19">
        <f>MAX(0,MIN(1,(ABS(Q10)-0.03)/(0-0.03)))</f>
        <v/>
      </c>
      <c r="BB10" s="19">
        <f>MAX(0,MIN(1,T10/0.03))</f>
        <v/>
      </c>
      <c r="BC10" s="19">
        <f>MAX(0,MIN(1,(-X10-0.3)/(0.15-0.3)))</f>
        <v/>
      </c>
      <c r="BD10" s="19">
        <f>0.5*IF(M10&gt;N10,(J10-N10)/(M10-N10),0.5)+0.5*(J10&gt;=P10)</f>
        <v/>
      </c>
      <c r="BE10" s="19">
        <f>MAX(0,MIN(1,(AS10-0.9)/(0.5-0.9)))</f>
        <v/>
      </c>
      <c r="BF10" s="19">
        <f>MAX(0,MIN(1,(AT10-0.7)/(0.3-0.7)))</f>
        <v/>
      </c>
      <c r="BG10" s="20">
        <f>100*(0.4*AU10+0.3*AV10+0.3*AW10)</f>
        <v/>
      </c>
      <c r="BH10" s="20">
        <f>100*(0.5*AX10+0.5*AY10)</f>
        <v/>
      </c>
      <c r="BI10" s="20">
        <f>100*(0.3*AZ10+0.25*BA10+0.2*BB10+0.1*BC10+0.15*BD10)</f>
        <v/>
      </c>
      <c r="BJ10" s="20">
        <f>100*(0.5*BE10+0.5*BF10)</f>
        <v/>
      </c>
      <c r="BK10" s="21">
        <f>0.25*BG10+0.2*BH10+0.3*BI10+0.25*BJ10</f>
        <v/>
      </c>
      <c r="BL10" s="3" t="inlineStr">
        <is>
          <t>C3 回落20MA：收市距 MA20 +3.4%；近 3 日最低價距 MA20 +2.6%</t>
        </is>
      </c>
      <c r="BM10" s="6" t="n"/>
      <c r="BN10" s="2" t="inlineStr"/>
      <c r="BO10" s="22" t="inlineStr">
        <is>
          <t>09-18 +31% 係加密板塊因 SEC 代幣化豁免同升；一年跌 76%，升浪係低位反彈而非趨勢；同名單入面 ASST、PURR 同向（21 日相關系數中位數 +0.66，名單其餘 +0.08）：當一個交易睇</t>
        </is>
      </c>
      <c r="BP10" s="23" t="n">
        <v>0</v>
      </c>
    </row>
    <row r="11">
      <c r="A11" s="24" t="n">
        <v>2</v>
      </c>
      <c r="B11" s="25">
        <f>COUNTIFS($A$2:$A$23,A11,$BK$2:$BK$23,"&gt;"&amp;BK11)+1</f>
        <v/>
      </c>
      <c r="C11" s="7" t="inlineStr">
        <is>
          <t>UMAC</t>
        </is>
      </c>
      <c r="D11" s="8" t="inlineStr">
        <is>
          <t>Unusual Machines Inc.</t>
        </is>
      </c>
      <c r="E11" s="2" t="inlineStr">
        <is>
          <t>AMEX</t>
        </is>
      </c>
      <c r="F11" s="2" t="inlineStr">
        <is>
          <t>科技</t>
        </is>
      </c>
      <c r="G11" s="2" t="inlineStr">
        <is>
          <t>Radio And Television Broadcasting And Communications Equipment</t>
        </is>
      </c>
      <c r="H11" s="9" t="n">
        <v>1.246</v>
      </c>
      <c r="I11" s="2" t="inlineStr">
        <is>
          <t>小型</t>
        </is>
      </c>
      <c r="J11" s="10" t="n">
        <v>24.48</v>
      </c>
      <c r="K11" s="10" t="n">
        <v>24.94</v>
      </c>
      <c r="L11" s="11">
        <f>J11/K11-1</f>
        <v/>
      </c>
      <c r="M11" s="10" t="n">
        <v>25.78</v>
      </c>
      <c r="N11" s="10" t="n">
        <v>24.471</v>
      </c>
      <c r="O11" s="10" t="n">
        <v>23.93899999999994</v>
      </c>
      <c r="P11" s="10" t="n">
        <v>23.7845</v>
      </c>
      <c r="Q11" s="11">
        <f>J11/P11-1</f>
        <v/>
      </c>
      <c r="R11" s="10" t="n">
        <v>24.29600000000001</v>
      </c>
      <c r="S11" s="10" t="n">
        <v>23.74100000000003</v>
      </c>
      <c r="T11" s="11">
        <f>P11/S11-1</f>
        <v/>
      </c>
      <c r="U11" s="10" t="n">
        <v>34.06</v>
      </c>
      <c r="V11" s="2" t="inlineStr">
        <is>
          <t>2026-08-14</t>
        </is>
      </c>
      <c r="W11" s="12" t="n">
        <v>32</v>
      </c>
      <c r="X11" s="13">
        <f>J11/U11-1</f>
        <v/>
      </c>
      <c r="Y11" s="2" t="inlineStr">
        <is>
          <t>2026-05-19</t>
        </is>
      </c>
      <c r="Z11" s="12" t="n">
        <v>60</v>
      </c>
      <c r="AA11" s="14" t="n">
        <v>1.493411420204978</v>
      </c>
      <c r="AB11" s="15" t="n">
        <v>0.467565762543894</v>
      </c>
      <c r="AC11" s="16" t="n">
        <v>-0.01225163460928302</v>
      </c>
      <c r="AD11" s="2" t="inlineStr">
        <is>
          <t>2026-05-28</t>
        </is>
      </c>
      <c r="AE11" s="15" t="n">
        <v>0.5719596388741373</v>
      </c>
      <c r="AF11" s="15" t="n">
        <v>0.3276686139139673</v>
      </c>
      <c r="AG11" s="17" t="n">
        <v>10.64185418718781</v>
      </c>
      <c r="AH11" s="12" t="n">
        <v>4</v>
      </c>
      <c r="AI11" s="18" t="n">
        <v>153044859.8196721</v>
      </c>
      <c r="AJ11" s="18" t="n">
        <v>71336481.5</v>
      </c>
      <c r="AK11" s="19">
        <f>AI11/AJ11</f>
        <v/>
      </c>
      <c r="AL11" s="2" t="inlineStr">
        <is>
          <t>2026-08-18</t>
        </is>
      </c>
      <c r="AM11" s="15" t="n">
        <v>0.3265315852204966</v>
      </c>
      <c r="AN11" s="14" t="n">
        <v>1</v>
      </c>
      <c r="AO11" s="9" t="n">
        <v>0.7360685906917547</v>
      </c>
      <c r="AP11" s="16" t="n">
        <v>0.0622173299712617</v>
      </c>
      <c r="AQ11" s="16" t="n">
        <v>0.06876610531348318</v>
      </c>
      <c r="AR11" s="16" t="n">
        <v>0.1346293512250986</v>
      </c>
      <c r="AS11" s="19">
        <f>AP11/AQ11</f>
        <v/>
      </c>
      <c r="AT11" s="19">
        <f>AP11/AR11</f>
        <v/>
      </c>
      <c r="AU11" s="19">
        <f>MAX(0,MIN(1,(AK11-2)/4))</f>
        <v/>
      </c>
      <c r="AV11" s="19">
        <f>MAX(0,MIN(1,(AG11-3)/7))</f>
        <v/>
      </c>
      <c r="AW11" s="19">
        <f>MAX(0,MIN(1,(AA11-0.25)/0.75))</f>
        <v/>
      </c>
      <c r="AX11" s="19">
        <f>MAX(0,MIN(1,(AM11-0.05)/0.2))</f>
        <v/>
      </c>
      <c r="AY11" s="19">
        <f>MAX(0,MIN(1,(AN11-0.7)/0.3))</f>
        <v/>
      </c>
      <c r="AZ11" s="19">
        <f>MAX(0,MIN(1,(AO11-1.2)/(0.6-1.2)))</f>
        <v/>
      </c>
      <c r="BA11" s="19">
        <f>MAX(0,MIN(1,(ABS(Q11)-0.03)/(0-0.03)))</f>
        <v/>
      </c>
      <c r="BB11" s="19">
        <f>MAX(0,MIN(1,T11/0.03))</f>
        <v/>
      </c>
      <c r="BC11" s="19">
        <f>MAX(0,MIN(1,(-X11-0.3)/(0.15-0.3)))</f>
        <v/>
      </c>
      <c r="BD11" s="19">
        <f>0.5*IF(M11&gt;N11,(J11-N11)/(M11-N11),0.5)+0.5*(J11&gt;=P11)</f>
        <v/>
      </c>
      <c r="BE11" s="19">
        <f>MAX(0,MIN(1,(AS11-0.9)/(0.5-0.9)))</f>
        <v/>
      </c>
      <c r="BF11" s="19">
        <f>MAX(0,MIN(1,(AT11-0.7)/(0.3-0.7)))</f>
        <v/>
      </c>
      <c r="BG11" s="20">
        <f>100*(0.4*AU11+0.3*AV11+0.3*AW11)</f>
        <v/>
      </c>
      <c r="BH11" s="20">
        <f>100*(0.5*AX11+0.5*AY11)</f>
        <v/>
      </c>
      <c r="BI11" s="20">
        <f>100*(0.3*AZ11+0.25*BA11+0.2*BB11+0.1*BC11+0.15*BD11)</f>
        <v/>
      </c>
      <c r="BJ11" s="20">
        <f>100*(0.5*BE11+0.5*BF11)</f>
        <v/>
      </c>
      <c r="BK11" s="21">
        <f>0.25*BG11+0.2*BH11+0.3*BI11+0.25*BJ11</f>
        <v/>
      </c>
      <c r="BL11" s="3" t="inlineStr">
        <is>
          <t>C3 回落20MA：高位喺 32 日前；C4 波幅減低：ATR5/ATR20 0.90（要 ≤0.9）；ATR5 係升浪期 ATR 嘅 0.46×（要 ≤0.7）</t>
        </is>
      </c>
      <c r="BM11" s="6" t="n"/>
      <c r="BN11" s="2" t="inlineStr"/>
      <c r="BO11" s="22" t="inlineStr">
        <is>
          <t>回調唔係有序回落：期內有一日跌 -11.5%；05-28 +57% 係 WSJ 傳聞（政府資助無人機公司）帶動；距高位 −28%</t>
        </is>
      </c>
      <c r="BP11" s="23" t="n">
        <v>0</v>
      </c>
    </row>
    <row r="12">
      <c r="A12" s="24" t="n">
        <v>2</v>
      </c>
      <c r="B12" s="25">
        <f>COUNTIFS($A$2:$A$23,A12,$BK$2:$BK$23,"&gt;"&amp;BK12)+1</f>
        <v/>
      </c>
      <c r="C12" s="7" t="inlineStr">
        <is>
          <t>PURR</t>
        </is>
      </c>
      <c r="D12" s="2" t="inlineStr">
        <is>
          <t>Hyperliquid Strategies Inc</t>
        </is>
      </c>
      <c r="E12" s="2" t="inlineStr">
        <is>
          <t>NASDAQ</t>
        </is>
      </c>
      <c r="F12" s="2" t="inlineStr">
        <is>
          <t>金融</t>
        </is>
      </c>
      <c r="G12" s="2" t="inlineStr">
        <is>
          <t>Finance: Consumer Services</t>
        </is>
      </c>
      <c r="H12" s="9" t="n">
        <v>2.836</v>
      </c>
      <c r="I12" s="2" t="inlineStr">
        <is>
          <t>中型</t>
        </is>
      </c>
      <c r="J12" s="10" t="n">
        <v>12.27</v>
      </c>
      <c r="K12" s="10" t="n">
        <v>11.92</v>
      </c>
      <c r="L12" s="11">
        <f>J12/K12-1</f>
        <v/>
      </c>
      <c r="M12" s="10" t="n">
        <v>12.545</v>
      </c>
      <c r="N12" s="10" t="n">
        <v>11.983</v>
      </c>
      <c r="O12" s="10" t="n">
        <v>13.15699999999997</v>
      </c>
      <c r="P12" s="10" t="n">
        <v>12.44549999999998</v>
      </c>
      <c r="Q12" s="11">
        <f>J12/P12-1</f>
        <v/>
      </c>
      <c r="R12" s="10" t="n">
        <v>9.861299999999993</v>
      </c>
      <c r="S12" s="10" t="n">
        <v>12.26524999999998</v>
      </c>
      <c r="T12" s="11">
        <f>P12/S12-1</f>
        <v/>
      </c>
      <c r="U12" s="10" t="n">
        <v>14.09</v>
      </c>
      <c r="V12" s="2" t="inlineStr">
        <is>
          <t>2026-09-24</t>
        </is>
      </c>
      <c r="W12" s="12" t="n">
        <v>4</v>
      </c>
      <c r="X12" s="13">
        <f>J12/U12-1</f>
        <v/>
      </c>
      <c r="Y12" s="2" t="inlineStr">
        <is>
          <t>2026-07-29</t>
        </is>
      </c>
      <c r="Z12" s="12" t="n">
        <v>40</v>
      </c>
      <c r="AA12" s="14" t="n">
        <v>1.360134003350084</v>
      </c>
      <c r="AB12" s="15" t="n">
        <v>0.137046825508909</v>
      </c>
      <c r="AC12" s="16" t="n">
        <v>-0.04594850702635001</v>
      </c>
      <c r="AD12" s="2" t="inlineStr">
        <is>
          <t>2026-08-19</t>
        </is>
      </c>
      <c r="AE12" s="15" t="n">
        <v>0.3041666666666667</v>
      </c>
      <c r="AF12" s="15" t="n">
        <v>0.008333333333333304</v>
      </c>
      <c r="AG12" s="17" t="n">
        <v>5.658375746814334</v>
      </c>
      <c r="AH12" s="12" t="n">
        <v>6</v>
      </c>
      <c r="AI12" s="18" t="n">
        <v>242680775.8902439</v>
      </c>
      <c r="AJ12" s="18" t="n">
        <v>121030127.2833333</v>
      </c>
      <c r="AK12" s="19">
        <f>AI12/AJ12</f>
        <v/>
      </c>
      <c r="AL12" s="2" t="inlineStr">
        <is>
          <t>2026-09-01</t>
        </is>
      </c>
      <c r="AM12" s="15" t="n">
        <v>0.6477890406933959</v>
      </c>
      <c r="AN12" s="14" t="n">
        <v>1</v>
      </c>
      <c r="AO12" s="9" t="n">
        <v>0.7240024341915169</v>
      </c>
      <c r="AP12" s="16" t="n">
        <v>0.07310252274462888</v>
      </c>
      <c r="AQ12" s="16" t="n">
        <v>0.0912420953301287</v>
      </c>
      <c r="AR12" s="16" t="n">
        <v>0.09662873718076127</v>
      </c>
      <c r="AS12" s="19">
        <f>AP12/AQ12</f>
        <v/>
      </c>
      <c r="AT12" s="19">
        <f>AP12/AR12</f>
        <v/>
      </c>
      <c r="AU12" s="19">
        <f>MAX(0,MIN(1,(AK12-2)/4))</f>
        <v/>
      </c>
      <c r="AV12" s="19">
        <f>MAX(0,MIN(1,(AG12-3)/7))</f>
        <v/>
      </c>
      <c r="AW12" s="19">
        <f>MAX(0,MIN(1,(AA12-0.25)/0.75))</f>
        <v/>
      </c>
      <c r="AX12" s="19">
        <f>MAX(0,MIN(1,(AM12-0.05)/0.2))</f>
        <v/>
      </c>
      <c r="AY12" s="19">
        <f>MAX(0,MIN(1,(AN12-0.7)/0.3))</f>
        <v/>
      </c>
      <c r="AZ12" s="19">
        <f>MAX(0,MIN(1,(AO12-1.2)/(0.6-1.2)))</f>
        <v/>
      </c>
      <c r="BA12" s="19">
        <f>MAX(0,MIN(1,(ABS(Q12)-0.03)/(0-0.03)))</f>
        <v/>
      </c>
      <c r="BB12" s="19">
        <f>MAX(0,MIN(1,T12/0.03))</f>
        <v/>
      </c>
      <c r="BC12" s="19">
        <f>MAX(0,MIN(1,(-X12-0.3)/(0.15-0.3)))</f>
        <v/>
      </c>
      <c r="BD12" s="19">
        <f>0.5*IF(M12&gt;N12,(J12-N12)/(M12-N12),0.5)+0.5*(J12&gt;=P12)</f>
        <v/>
      </c>
      <c r="BE12" s="19">
        <f>MAX(0,MIN(1,(AS12-0.9)/(0.5-0.9)))</f>
        <v/>
      </c>
      <c r="BF12" s="19">
        <f>MAX(0,MIN(1,(AT12-0.7)/(0.3-0.7)))</f>
        <v/>
      </c>
      <c r="BG12" s="20">
        <f>100*(0.4*AU12+0.3*AV12+0.3*AW12)</f>
        <v/>
      </c>
      <c r="BH12" s="20">
        <f>100*(0.5*AX12+0.5*AY12)</f>
        <v/>
      </c>
      <c r="BI12" s="20">
        <f>100*(0.3*AZ12+0.25*BA12+0.2*BB12+0.1*BC12+0.15*BD12)</f>
        <v/>
      </c>
      <c r="BJ12" s="20">
        <f>100*(0.5*BE12+0.5*BF12)</f>
        <v/>
      </c>
      <c r="BK12" s="21">
        <f>0.25*BG12+0.2*BH12+0.3*BI12+0.25*BJ12</f>
        <v/>
      </c>
      <c r="BL12" s="3" t="inlineStr">
        <is>
          <t>C4 波幅減低：ATR5/ATR20 0.80（要 ≤0.9）；ATR5 係升浪期 ATR 嘅 0.76×（要 ≤0.7）</t>
        </is>
      </c>
      <c r="BM12" s="6" t="n">
        <v>10</v>
      </c>
      <c r="BN12" s="2" t="inlineStr"/>
      <c r="BO12" s="22" t="inlineStr">
        <is>
          <t>回調唔係有序回落：期內有一日跌 -8.8%；加密貨幣（HYPE 代幣）庫存公司，股價跟代幣走；09-25 監管負面消息；同名單入面 ASST、GEMI 同向（21 日相關系數中位數 +0.66，名單其餘 +0.08）：當一個交易睇</t>
        </is>
      </c>
      <c r="BP12" s="23" t="n">
        <v>0</v>
      </c>
    </row>
    <row r="13">
      <c r="A13" s="24" t="n">
        <v>2</v>
      </c>
      <c r="B13" s="25">
        <f>COUNTIFS($A$2:$A$23,A13,$BK$2:$BK$23,"&gt;"&amp;BK13)+1</f>
        <v/>
      </c>
      <c r="C13" s="7" t="inlineStr">
        <is>
          <t>UTMD</t>
        </is>
      </c>
      <c r="D13" s="8" t="inlineStr">
        <is>
          <t>Utah Medical Products Inc.</t>
        </is>
      </c>
      <c r="E13" s="2" t="inlineStr">
        <is>
          <t>NASDAQ</t>
        </is>
      </c>
      <c r="F13" s="2" t="inlineStr">
        <is>
          <t>醫療保健</t>
        </is>
      </c>
      <c r="G13" s="2" t="inlineStr">
        <is>
          <t>Medical/Dental Instruments</t>
        </is>
      </c>
      <c r="H13" s="9" t="n">
        <v>0.239</v>
      </c>
      <c r="I13" s="2" t="inlineStr">
        <is>
          <t>小型</t>
        </is>
      </c>
      <c r="J13" s="10" t="n">
        <v>74.05</v>
      </c>
      <c r="K13" s="10" t="n">
        <v>74.95</v>
      </c>
      <c r="L13" s="11">
        <f>J13/K13-1</f>
        <v/>
      </c>
      <c r="M13" s="10" t="n">
        <v>74.95</v>
      </c>
      <c r="N13" s="10" t="n">
        <v>74.04000000000001</v>
      </c>
      <c r="O13" s="10" t="n">
        <v>74.67200000000011</v>
      </c>
      <c r="P13" s="10" t="n">
        <v>72.88799999999983</v>
      </c>
      <c r="Q13" s="11">
        <f>J13/P13-1</f>
        <v/>
      </c>
      <c r="R13" s="10" t="n">
        <v>71.66299999999984</v>
      </c>
      <c r="S13" s="10" t="n">
        <v>72.18449999999966</v>
      </c>
      <c r="T13" s="11">
        <f>P13/S13-1</f>
        <v/>
      </c>
      <c r="U13" s="10" t="n">
        <v>76.66</v>
      </c>
      <c r="V13" s="2" t="inlineStr">
        <is>
          <t>2026-09-22</t>
        </is>
      </c>
      <c r="W13" s="12" t="n">
        <v>6</v>
      </c>
      <c r="X13" s="13">
        <f>J13/U13-1</f>
        <v/>
      </c>
      <c r="Y13" s="2" t="inlineStr">
        <is>
          <t>2026-07-23</t>
        </is>
      </c>
      <c r="Z13" s="12" t="n">
        <v>42</v>
      </c>
      <c r="AA13" s="14" t="n">
        <v>0.1944531006544092</v>
      </c>
      <c r="AB13" s="15" t="n">
        <v>0.06498846933956304</v>
      </c>
      <c r="AC13" s="16" t="n">
        <v>0.01580507079354865</v>
      </c>
      <c r="AD13" s="2" t="inlineStr">
        <is>
          <t>2026-06-26</t>
        </is>
      </c>
      <c r="AE13" s="15" t="n">
        <v>0.1061761627037534</v>
      </c>
      <c r="AF13" s="15" t="n">
        <v>0.03589053387169128</v>
      </c>
      <c r="AG13" s="17" t="n">
        <v>7.840236686390533</v>
      </c>
      <c r="AH13" s="12" t="n">
        <v>1</v>
      </c>
      <c r="AI13" s="18" t="n">
        <v>2595277.976744186</v>
      </c>
      <c r="AJ13" s="18" t="n">
        <v>988995.4666666667</v>
      </c>
      <c r="AK13" s="19">
        <f>AI13/AJ13</f>
        <v/>
      </c>
      <c r="AL13" s="2" t="inlineStr">
        <is>
          <t>2026-09-28</t>
        </is>
      </c>
      <c r="AM13" s="15" t="n">
        <v>0.05837729000057013</v>
      </c>
      <c r="AN13" s="14" t="n">
        <v>1</v>
      </c>
      <c r="AO13" s="9" t="n">
        <v>0.8686194895591647</v>
      </c>
      <c r="AP13" s="16" t="n">
        <v>0.01145619427208788</v>
      </c>
      <c r="AQ13" s="16" t="n">
        <v>0.01917648018998088</v>
      </c>
      <c r="AR13" s="16" t="n">
        <v>0.02777194606809373</v>
      </c>
      <c r="AS13" s="19">
        <f>AP13/AQ13</f>
        <v/>
      </c>
      <c r="AT13" s="19">
        <f>AP13/AR13</f>
        <v/>
      </c>
      <c r="AU13" s="19">
        <f>MAX(0,MIN(1,(AK13-2)/4))</f>
        <v/>
      </c>
      <c r="AV13" s="19">
        <f>MAX(0,MIN(1,(AG13-3)/7))</f>
        <v/>
      </c>
      <c r="AW13" s="19">
        <f>MAX(0,MIN(1,(AA13-0.25)/0.75))</f>
        <v/>
      </c>
      <c r="AX13" s="19">
        <f>MAX(0,MIN(1,(AM13-0.05)/0.2))</f>
        <v/>
      </c>
      <c r="AY13" s="19">
        <f>MAX(0,MIN(1,(AN13-0.7)/0.3))</f>
        <v/>
      </c>
      <c r="AZ13" s="19">
        <f>MAX(0,MIN(1,(AO13-1.2)/(0.6-1.2)))</f>
        <v/>
      </c>
      <c r="BA13" s="19">
        <f>MAX(0,MIN(1,(ABS(Q13)-0.03)/(0-0.03)))</f>
        <v/>
      </c>
      <c r="BB13" s="19">
        <f>MAX(0,MIN(1,T13/0.03))</f>
        <v/>
      </c>
      <c r="BC13" s="19">
        <f>MAX(0,MIN(1,(-X13-0.3)/(0.15-0.3)))</f>
        <v/>
      </c>
      <c r="BD13" s="19">
        <f>0.5*IF(M13&gt;N13,(J13-N13)/(M13-N13),0.5)+0.5*(J13&gt;=P13)</f>
        <v/>
      </c>
      <c r="BE13" s="19">
        <f>MAX(0,MIN(1,(AS13-0.9)/(0.5-0.9)))</f>
        <v/>
      </c>
      <c r="BF13" s="19">
        <f>MAX(0,MIN(1,(AT13-0.7)/(0.3-0.7)))</f>
        <v/>
      </c>
      <c r="BG13" s="20">
        <f>100*(0.4*AU13+0.3*AV13+0.3*AW13)</f>
        <v/>
      </c>
      <c r="BH13" s="20">
        <f>100*(0.5*AX13+0.5*AY13)</f>
        <v/>
      </c>
      <c r="BI13" s="20">
        <f>100*(0.3*AZ13+0.25*BA13+0.2*BB13+0.1*BC13+0.15*BD13)</f>
        <v/>
      </c>
      <c r="BJ13" s="20">
        <f>100*(0.5*BE13+0.5*BF13)</f>
        <v/>
      </c>
      <c r="BK13" s="21">
        <f>0.25*BG13+0.2*BH13+0.3*BI13+0.25*BJ13</f>
        <v/>
      </c>
      <c r="BL13" s="3" t="inlineStr">
        <is>
          <t>C3 回落20MA：高位時只高過 MA20 6.5%；近 3 日最低價距 MA20 +1.6%</t>
        </is>
      </c>
      <c r="BM13" s="6" t="n"/>
      <c r="BN13" s="2" t="inlineStr"/>
      <c r="BO13" s="22" t="inlineStr">
        <is>
          <t>事件日升幅：媒體 +6.6% vs 我哋數據 +10.6%，未對得上；20 日成交額中位數只有 $2.2M（股票池下限 $1M），入市出市都會有滑價</t>
        </is>
      </c>
      <c r="BP13" s="23" t="n">
        <v>0</v>
      </c>
    </row>
    <row r="14">
      <c r="A14" s="24" t="n">
        <v>2</v>
      </c>
      <c r="B14" s="25">
        <f>COUNTIFS($A$2:$A$23,A14,$BK$2:$BK$23,"&gt;"&amp;BK14)+1</f>
        <v/>
      </c>
      <c r="C14" s="26" t="inlineStr">
        <is>
          <t>RNG</t>
        </is>
      </c>
      <c r="D14" s="8" t="inlineStr">
        <is>
          <t>RingCentral Inc. Class A</t>
        </is>
      </c>
      <c r="E14" s="2" t="inlineStr">
        <is>
          <t>NYSE</t>
        </is>
      </c>
      <c r="F14" s="2" t="inlineStr">
        <is>
          <t>科技</t>
        </is>
      </c>
      <c r="G14" s="2" t="inlineStr">
        <is>
          <t>EDP Services</t>
        </is>
      </c>
      <c r="H14" s="9" t="n">
        <v>6.215</v>
      </c>
      <c r="I14" s="2" t="inlineStr">
        <is>
          <t>中型</t>
        </is>
      </c>
      <c r="J14" s="10" t="n">
        <v>74.7</v>
      </c>
      <c r="K14" s="10" t="n">
        <v>74.43000000000001</v>
      </c>
      <c r="L14" s="11">
        <f>J14/K14-1</f>
        <v/>
      </c>
      <c r="M14" s="10" t="n">
        <v>76.34999999999999</v>
      </c>
      <c r="N14" s="10" t="n">
        <v>73.98999999999999</v>
      </c>
      <c r="O14" s="10" t="n">
        <v>76.41399999999994</v>
      </c>
      <c r="P14" s="10" t="n">
        <v>74.12750000000005</v>
      </c>
      <c r="Q14" s="11">
        <f>J14/P14-1</f>
        <v/>
      </c>
      <c r="R14" s="10" t="n">
        <v>66.3254</v>
      </c>
      <c r="S14" s="10" t="n">
        <v>72.28350000000009</v>
      </c>
      <c r="T14" s="11">
        <f>P14/S14-1</f>
        <v/>
      </c>
      <c r="U14" s="10" t="n">
        <v>79.81999999999999</v>
      </c>
      <c r="V14" s="2" t="inlineStr">
        <is>
          <t>2026-09-24</t>
        </is>
      </c>
      <c r="W14" s="12" t="n">
        <v>4</v>
      </c>
      <c r="X14" s="13">
        <f>J14/U14-1</f>
        <v/>
      </c>
      <c r="Y14" s="2" t="inlineStr">
        <is>
          <t>2026-06-25</t>
        </is>
      </c>
      <c r="Z14" s="12" t="n">
        <v>63</v>
      </c>
      <c r="AA14" s="14" t="n">
        <v>1.303607503607504</v>
      </c>
      <c r="AB14" s="15" t="n">
        <v>0.09385170922894392</v>
      </c>
      <c r="AC14" s="16" t="n">
        <v>-0.02219637229308458</v>
      </c>
      <c r="AD14" s="2" t="inlineStr">
        <is>
          <t>2026-07-24</t>
        </is>
      </c>
      <c r="AE14" s="15" t="n">
        <v>0.2509062661833248</v>
      </c>
      <c r="AF14" s="15" t="n">
        <v>0.0486794407042983</v>
      </c>
      <c r="AG14" s="17" t="n">
        <v>5.348641484506222</v>
      </c>
      <c r="AH14" s="12" t="n">
        <v>2</v>
      </c>
      <c r="AI14" s="18" t="n">
        <v>108165473.4375</v>
      </c>
      <c r="AJ14" s="18" t="n">
        <v>68510315.98333333</v>
      </c>
      <c r="AK14" s="19">
        <f>AI14/AJ14</f>
        <v/>
      </c>
      <c r="AL14" s="2" t="inlineStr">
        <is>
          <t>2026-08-18</t>
        </is>
      </c>
      <c r="AM14" s="15" t="n">
        <v>0.2277492450035563</v>
      </c>
      <c r="AN14" s="14" t="n">
        <v>1</v>
      </c>
      <c r="AO14" s="9" t="n">
        <v>0.9278521616121507</v>
      </c>
      <c r="AP14" s="16" t="n">
        <v>0.04070204618809787</v>
      </c>
      <c r="AQ14" s="16" t="n">
        <v>0.04710444018021474</v>
      </c>
      <c r="AR14" s="16" t="n">
        <v>0.05525751277960014</v>
      </c>
      <c r="AS14" s="19">
        <f>AP14/AQ14</f>
        <v/>
      </c>
      <c r="AT14" s="19">
        <f>AP14/AR14</f>
        <v/>
      </c>
      <c r="AU14" s="19">
        <f>MAX(0,MIN(1,(AK14-2)/4))</f>
        <v/>
      </c>
      <c r="AV14" s="19">
        <f>MAX(0,MIN(1,(AG14-3)/7))</f>
        <v/>
      </c>
      <c r="AW14" s="19">
        <f>MAX(0,MIN(1,(AA14-0.25)/0.75))</f>
        <v/>
      </c>
      <c r="AX14" s="19">
        <f>MAX(0,MIN(1,(AM14-0.05)/0.2))</f>
        <v/>
      </c>
      <c r="AY14" s="19">
        <f>MAX(0,MIN(1,(AN14-0.7)/0.3))</f>
        <v/>
      </c>
      <c r="AZ14" s="19">
        <f>MAX(0,MIN(1,(AO14-1.2)/(0.6-1.2)))</f>
        <v/>
      </c>
      <c r="BA14" s="19">
        <f>MAX(0,MIN(1,(ABS(Q14)-0.03)/(0-0.03)))</f>
        <v/>
      </c>
      <c r="BB14" s="19">
        <f>MAX(0,MIN(1,T14/0.03))</f>
        <v/>
      </c>
      <c r="BC14" s="19">
        <f>MAX(0,MIN(1,(-X14-0.3)/(0.15-0.3)))</f>
        <v/>
      </c>
      <c r="BD14" s="19">
        <f>0.5*IF(M14&gt;N14,(J14-N14)/(M14-N14),0.5)+0.5*(J14&gt;=P14)</f>
        <v/>
      </c>
      <c r="BE14" s="19">
        <f>MAX(0,MIN(1,(AS14-0.9)/(0.5-0.9)))</f>
        <v/>
      </c>
      <c r="BF14" s="19">
        <f>MAX(0,MIN(1,(AT14-0.7)/(0.3-0.7)))</f>
        <v/>
      </c>
      <c r="BG14" s="20">
        <f>100*(0.4*AU14+0.3*AV14+0.3*AW14)</f>
        <v/>
      </c>
      <c r="BH14" s="20">
        <f>100*(0.5*AX14+0.5*AY14)</f>
        <v/>
      </c>
      <c r="BI14" s="20">
        <f>100*(0.3*AZ14+0.25*BA14+0.2*BB14+0.1*BC14+0.15*BD14)</f>
        <v/>
      </c>
      <c r="BJ14" s="20">
        <f>100*(0.5*BE14+0.5*BF14)</f>
        <v/>
      </c>
      <c r="BK14" s="21">
        <f>0.25*BG14+0.2*BH14+0.3*BI14+0.25*BJ14</f>
        <v/>
      </c>
      <c r="BL14" s="3" t="inlineStr">
        <is>
          <t>C1b 熱錢：升浪成交額係之前 60 日嘅 1.58×（要 ≥2.0×）；C4 波幅減低：ATR5/ATR20 0.86（要 ≤0.9）；ATR5 係升浪期 ATR 嘅 0.74×（要 ≤0.7）</t>
        </is>
      </c>
      <c r="BM14" s="6" t="n"/>
      <c r="BN14" s="2" t="inlineStr"/>
      <c r="BO14" s="3" t="inlineStr"/>
      <c r="BP14" s="23" t="n">
        <v>0</v>
      </c>
    </row>
    <row r="15">
      <c r="A15" s="24" t="n">
        <v>2</v>
      </c>
      <c r="B15" s="25">
        <f>COUNTIFS($A$2:$A$23,A15,$BK$2:$BK$23,"&gt;"&amp;BK15)+1</f>
        <v/>
      </c>
      <c r="C15" s="26" t="inlineStr">
        <is>
          <t>ASO</t>
        </is>
      </c>
      <c r="D15" s="8" t="inlineStr">
        <is>
          <t>Academy Sports and Outdoors Inc.</t>
        </is>
      </c>
      <c r="E15" s="2" t="inlineStr">
        <is>
          <t>NASDAQ</t>
        </is>
      </c>
      <c r="F15" s="2" t="inlineStr">
        <is>
          <t>非必需消費</t>
        </is>
      </c>
      <c r="G15" s="2" t="inlineStr">
        <is>
          <t>Other Specialty Stores</t>
        </is>
      </c>
      <c r="H15" s="9" t="n">
        <v>2.949</v>
      </c>
      <c r="I15" s="2" t="inlineStr">
        <is>
          <t>中型</t>
        </is>
      </c>
      <c r="J15" s="10" t="n">
        <v>48.09</v>
      </c>
      <c r="K15" s="10" t="n">
        <v>47.89</v>
      </c>
      <c r="L15" s="11">
        <f>J15/K15-1</f>
        <v/>
      </c>
      <c r="M15" s="10" t="n">
        <v>48.605</v>
      </c>
      <c r="N15" s="10" t="n">
        <v>47.5</v>
      </c>
      <c r="O15" s="10" t="n">
        <v>48.61299999999992</v>
      </c>
      <c r="P15" s="10" t="n">
        <v>48.94475000000002</v>
      </c>
      <c r="Q15" s="11">
        <f>J15/P15-1</f>
        <v/>
      </c>
      <c r="R15" s="10" t="n">
        <v>47.79869999999992</v>
      </c>
      <c r="S15" s="10" t="n">
        <v>47.62424999999994</v>
      </c>
      <c r="T15" s="11">
        <f>P15/S15-1</f>
        <v/>
      </c>
      <c r="U15" s="10" t="n">
        <v>55.36</v>
      </c>
      <c r="V15" s="2" t="inlineStr">
        <is>
          <t>2026-09-11</t>
        </is>
      </c>
      <c r="W15" s="12" t="n">
        <v>13</v>
      </c>
      <c r="X15" s="13">
        <f>J15/U15-1</f>
        <v/>
      </c>
      <c r="Y15" s="2" t="inlineStr">
        <is>
          <t>2026-08-27</t>
        </is>
      </c>
      <c r="Z15" s="12" t="n">
        <v>10</v>
      </c>
      <c r="AA15" s="14" t="n">
        <v>0.2986159981233871</v>
      </c>
      <c r="AB15" s="15" t="n">
        <v>0.199872123455054</v>
      </c>
      <c r="AC15" s="16" t="n">
        <v>-0.02951797690252822</v>
      </c>
      <c r="AD15" s="2" t="inlineStr">
        <is>
          <t>2026-09-09</t>
        </is>
      </c>
      <c r="AE15" s="15" t="n">
        <v>0.1440393647953477</v>
      </c>
      <c r="AF15" s="15" t="n">
        <v>0.06777007380899125</v>
      </c>
      <c r="AG15" s="17" t="n">
        <v>3.981220595319006</v>
      </c>
      <c r="AH15" s="12" t="n">
        <v>1</v>
      </c>
      <c r="AI15" s="18" t="n">
        <v>120844840.2272727</v>
      </c>
      <c r="AJ15" s="18" t="n">
        <v>76894564</v>
      </c>
      <c r="AK15" s="19">
        <f>AI15/AJ15</f>
        <v/>
      </c>
      <c r="AL15" s="2" t="inlineStr">
        <is>
          <t>2026-09-22</t>
        </is>
      </c>
      <c r="AM15" s="15" t="n">
        <v>0.1742322561402405</v>
      </c>
      <c r="AN15" s="14" t="n">
        <v>1</v>
      </c>
      <c r="AO15" s="9" t="n">
        <v>0.7433721412999802</v>
      </c>
      <c r="AP15" s="16" t="n">
        <v>0.02888029409037548</v>
      </c>
      <c r="AQ15" s="16" t="n">
        <v>0.04395518952343919</v>
      </c>
      <c r="AR15" s="16" t="n">
        <v>0.04899483383841444</v>
      </c>
      <c r="AS15" s="19">
        <f>AP15/AQ15</f>
        <v/>
      </c>
      <c r="AT15" s="19">
        <f>AP15/AR15</f>
        <v/>
      </c>
      <c r="AU15" s="19">
        <f>MAX(0,MIN(1,(AK15-2)/4))</f>
        <v/>
      </c>
      <c r="AV15" s="19">
        <f>MAX(0,MIN(1,(AG15-3)/7))</f>
        <v/>
      </c>
      <c r="AW15" s="19">
        <f>MAX(0,MIN(1,(AA15-0.25)/0.75))</f>
        <v/>
      </c>
      <c r="AX15" s="19">
        <f>MAX(0,MIN(1,(AM15-0.05)/0.2))</f>
        <v/>
      </c>
      <c r="AY15" s="19">
        <f>MAX(0,MIN(1,(AN15-0.7)/0.3))</f>
        <v/>
      </c>
      <c r="AZ15" s="19">
        <f>MAX(0,MIN(1,(AO15-1.2)/(0.6-1.2)))</f>
        <v/>
      </c>
      <c r="BA15" s="19">
        <f>MAX(0,MIN(1,(ABS(Q15)-0.03)/(0-0.03)))</f>
        <v/>
      </c>
      <c r="BB15" s="19">
        <f>MAX(0,MIN(1,T15/0.03))</f>
        <v/>
      </c>
      <c r="BC15" s="19">
        <f>MAX(0,MIN(1,(-X15-0.3)/(0.15-0.3)))</f>
        <v/>
      </c>
      <c r="BD15" s="19">
        <f>0.5*IF(M15&gt;N15,(J15-N15)/(M15-N15),0.5)+0.5*(J15&gt;=P15)</f>
        <v/>
      </c>
      <c r="BE15" s="19">
        <f>MAX(0,MIN(1,(AS15-0.9)/(0.5-0.9)))</f>
        <v/>
      </c>
      <c r="BF15" s="19">
        <f>MAX(0,MIN(1,(AT15-0.7)/(0.3-0.7)))</f>
        <v/>
      </c>
      <c r="BG15" s="20">
        <f>100*(0.4*AU15+0.3*AV15+0.3*AW15)</f>
        <v/>
      </c>
      <c r="BH15" s="20">
        <f>100*(0.5*AX15+0.5*AY15)</f>
        <v/>
      </c>
      <c r="BI15" s="20">
        <f>100*(0.3*AZ15+0.25*BA15+0.2*BB15+0.1*BC15+0.15*BD15)</f>
        <v/>
      </c>
      <c r="BJ15" s="20">
        <f>100*(0.5*BE15+0.5*BF15)</f>
        <v/>
      </c>
      <c r="BK15" s="21">
        <f>0.25*BG15+0.2*BH15+0.3*BI15+0.25*BJ15</f>
        <v/>
      </c>
      <c r="BL15" s="3" t="inlineStr">
        <is>
          <t>C1b 熱錢：升浪成交額係之前 60 日嘅 1.57×（要 ≥2.0×）</t>
        </is>
      </c>
      <c r="BM15" s="6" t="n"/>
      <c r="BN15" s="2" t="inlineStr"/>
      <c r="BO15" s="3" t="inlineStr"/>
      <c r="BP15" s="23" t="n">
        <v>0</v>
      </c>
    </row>
    <row r="16">
      <c r="A16" s="24" t="n">
        <v>2</v>
      </c>
      <c r="B16" s="25">
        <f>COUNTIFS($A$2:$A$23,A16,$BK$2:$BK$23,"&gt;"&amp;BK16)+1</f>
        <v/>
      </c>
      <c r="C16" s="7" t="inlineStr">
        <is>
          <t>BVS</t>
        </is>
      </c>
      <c r="D16" s="8" t="inlineStr">
        <is>
          <t>Bioventus Inc. Class A</t>
        </is>
      </c>
      <c r="E16" s="2" t="inlineStr">
        <is>
          <t>NASDAQ</t>
        </is>
      </c>
      <c r="F16" s="2" t="inlineStr">
        <is>
          <t>醫療保健</t>
        </is>
      </c>
      <c r="G16" s="2" t="inlineStr">
        <is>
          <t>Medical/Dental Instruments</t>
        </is>
      </c>
      <c r="H16" s="9" t="n">
        <v>1.177</v>
      </c>
      <c r="I16" s="2" t="inlineStr">
        <is>
          <t>小型</t>
        </is>
      </c>
      <c r="J16" s="10" t="n">
        <v>13.63</v>
      </c>
      <c r="K16" s="10" t="n">
        <v>14</v>
      </c>
      <c r="L16" s="11">
        <f>J16/K16-1</f>
        <v/>
      </c>
      <c r="M16" s="10" t="n">
        <v>14.01</v>
      </c>
      <c r="N16" s="10" t="n">
        <v>13.57</v>
      </c>
      <c r="O16" s="10" t="n">
        <v>13.50900000000001</v>
      </c>
      <c r="P16" s="10" t="n">
        <v>13.5375</v>
      </c>
      <c r="Q16" s="11">
        <f>J16/P16-1</f>
        <v/>
      </c>
      <c r="R16" s="10" t="n">
        <v>13.5902</v>
      </c>
      <c r="S16" s="10" t="n">
        <v>13.5345</v>
      </c>
      <c r="T16" s="11">
        <f>P16/S16-1</f>
        <v/>
      </c>
      <c r="U16" s="10" t="n">
        <v>15.26</v>
      </c>
      <c r="V16" s="2" t="inlineStr">
        <is>
          <t>2026-08-05</t>
        </is>
      </c>
      <c r="W16" s="12" t="n">
        <v>39</v>
      </c>
      <c r="X16" s="13">
        <f>J16/U16-1</f>
        <v/>
      </c>
      <c r="Y16" s="2" t="inlineStr">
        <is>
          <t>2026-06-01</t>
        </is>
      </c>
      <c r="Z16" s="12" t="n">
        <v>45</v>
      </c>
      <c r="AA16" s="14" t="n">
        <v>0.9243379571248425</v>
      </c>
      <c r="AB16" s="15" t="n">
        <v>0.2215818123599085</v>
      </c>
      <c r="AC16" s="16" t="n">
        <v>0.002400738688827397</v>
      </c>
      <c r="AD16" s="2" t="inlineStr">
        <is>
          <t>2026-08-05</t>
        </is>
      </c>
      <c r="AE16" s="15" t="n">
        <v>0.1371087928464978</v>
      </c>
      <c r="AF16" s="15" t="n">
        <v>-0.05439642324888228</v>
      </c>
      <c r="AG16" s="17" t="n">
        <v>3.479643835917981</v>
      </c>
      <c r="AH16" s="12" t="n">
        <v>2</v>
      </c>
      <c r="AI16" s="18" t="n">
        <v>8406014.195652174</v>
      </c>
      <c r="AJ16" s="18" t="n">
        <v>5016077.083333333</v>
      </c>
      <c r="AK16" s="19">
        <f>AI16/AJ16</f>
        <v/>
      </c>
      <c r="AL16" s="2" t="inlineStr">
        <is>
          <t>2026-08-18</t>
        </is>
      </c>
      <c r="AM16" s="15" t="n">
        <v>0.1141574095958382</v>
      </c>
      <c r="AN16" s="14" t="n">
        <v>1</v>
      </c>
      <c r="AO16" s="9" t="n">
        <v>0.7417457848218708</v>
      </c>
      <c r="AP16" s="16" t="n">
        <v>0.03003157224381247</v>
      </c>
      <c r="AQ16" s="16" t="n">
        <v>0.03710247431559612</v>
      </c>
      <c r="AR16" s="16" t="n">
        <v>0.05492090043144874</v>
      </c>
      <c r="AS16" s="19">
        <f>AP16/AQ16</f>
        <v/>
      </c>
      <c r="AT16" s="19">
        <f>AP16/AR16</f>
        <v/>
      </c>
      <c r="AU16" s="19">
        <f>MAX(0,MIN(1,(AK16-2)/4))</f>
        <v/>
      </c>
      <c r="AV16" s="19">
        <f>MAX(0,MIN(1,(AG16-3)/7))</f>
        <v/>
      </c>
      <c r="AW16" s="19">
        <f>MAX(0,MIN(1,(AA16-0.25)/0.75))</f>
        <v/>
      </c>
      <c r="AX16" s="19">
        <f>MAX(0,MIN(1,(AM16-0.05)/0.2))</f>
        <v/>
      </c>
      <c r="AY16" s="19">
        <f>MAX(0,MIN(1,(AN16-0.7)/0.3))</f>
        <v/>
      </c>
      <c r="AZ16" s="19">
        <f>MAX(0,MIN(1,(AO16-1.2)/(0.6-1.2)))</f>
        <v/>
      </c>
      <c r="BA16" s="19">
        <f>MAX(0,MIN(1,(ABS(Q16)-0.03)/(0-0.03)))</f>
        <v/>
      </c>
      <c r="BB16" s="19">
        <f>MAX(0,MIN(1,T16/0.03))</f>
        <v/>
      </c>
      <c r="BC16" s="19">
        <f>MAX(0,MIN(1,(-X16-0.3)/(0.15-0.3)))</f>
        <v/>
      </c>
      <c r="BD16" s="19">
        <f>0.5*IF(M16&gt;N16,(J16-N16)/(M16-N16),0.5)+0.5*(J16&gt;=P16)</f>
        <v/>
      </c>
      <c r="BE16" s="19">
        <f>MAX(0,MIN(1,(AS16-0.9)/(0.5-0.9)))</f>
        <v/>
      </c>
      <c r="BF16" s="19">
        <f>MAX(0,MIN(1,(AT16-0.7)/(0.3-0.7)))</f>
        <v/>
      </c>
      <c r="BG16" s="20">
        <f>100*(0.4*AU16+0.3*AV16+0.3*AW16)</f>
        <v/>
      </c>
      <c r="BH16" s="20">
        <f>100*(0.5*AX16+0.5*AY16)</f>
        <v/>
      </c>
      <c r="BI16" s="20">
        <f>100*(0.3*AZ16+0.25*BA16+0.2*BB16+0.1*BC16+0.15*BD16)</f>
        <v/>
      </c>
      <c r="BJ16" s="20">
        <f>100*(0.5*BE16+0.5*BF16)</f>
        <v/>
      </c>
      <c r="BK16" s="21">
        <f>0.25*BG16+0.2*BH16+0.3*BI16+0.25*BJ16</f>
        <v/>
      </c>
      <c r="BL16" s="3" t="inlineStr">
        <is>
          <t>C1b 熱錢：升浪成交額係之前 60 日嘅 1.68×（要 ≥2.0×）；C3 回落20MA：高位喺 39 日前</t>
        </is>
      </c>
      <c r="BM16" s="6" t="n"/>
      <c r="BN16" s="2" t="inlineStr"/>
      <c r="BO16" s="22" t="inlineStr">
        <is>
          <t>回調唔係有序回落：期內有一日跌 -8.4%</t>
        </is>
      </c>
      <c r="BP16" s="23" t="n">
        <v>0</v>
      </c>
    </row>
    <row r="17">
      <c r="A17" s="24" t="n">
        <v>2</v>
      </c>
      <c r="B17" s="25">
        <f>COUNTIFS($A$2:$A$23,A17,$BK$2:$BK$23,"&gt;"&amp;BK17)+1</f>
        <v/>
      </c>
      <c r="C17" s="7" t="inlineStr">
        <is>
          <t>PLSE</t>
        </is>
      </c>
      <c r="D17" s="2" t="inlineStr">
        <is>
          <t>Pulse Biosciences Inc</t>
        </is>
      </c>
      <c r="E17" s="2" t="inlineStr">
        <is>
          <t>NASDAQ</t>
        </is>
      </c>
      <c r="F17" s="2" t="inlineStr">
        <is>
          <t>醫療保健</t>
        </is>
      </c>
      <c r="G17" s="2" t="inlineStr">
        <is>
          <t>Medical/Dental Instruments</t>
        </is>
      </c>
      <c r="H17" s="9" t="n">
        <v>3.63</v>
      </c>
      <c r="I17" s="2" t="inlineStr">
        <is>
          <t>中型</t>
        </is>
      </c>
      <c r="J17" s="10" t="n">
        <v>49.92</v>
      </c>
      <c r="K17" s="10" t="n">
        <v>50.89</v>
      </c>
      <c r="L17" s="11">
        <f>J17/K17-1</f>
        <v/>
      </c>
      <c r="M17" s="10" t="n">
        <v>51.27</v>
      </c>
      <c r="N17" s="10" t="n">
        <v>49.17</v>
      </c>
      <c r="O17" s="10" t="n">
        <v>51.90499999999993</v>
      </c>
      <c r="P17" s="10" t="n">
        <v>52.39999999999996</v>
      </c>
      <c r="Q17" s="11">
        <f>J17/P17-1</f>
        <v/>
      </c>
      <c r="R17" s="10" t="n">
        <v>46.21339999999999</v>
      </c>
      <c r="S17" s="10" t="n">
        <v>51.90299999999998</v>
      </c>
      <c r="T17" s="11">
        <f>P17/S17-1</f>
        <v/>
      </c>
      <c r="U17" s="10" t="n">
        <v>55.2</v>
      </c>
      <c r="V17" s="2" t="inlineStr">
        <is>
          <t>2026-09-15</t>
        </is>
      </c>
      <c r="W17" s="12" t="n">
        <v>11</v>
      </c>
      <c r="X17" s="13">
        <f>J17/U17-1</f>
        <v/>
      </c>
      <c r="Y17" s="2" t="inlineStr">
        <is>
          <t>2026-06-16</t>
        </is>
      </c>
      <c r="Z17" s="12" t="n">
        <v>62</v>
      </c>
      <c r="AA17" s="14" t="n">
        <v>1.198327359617682</v>
      </c>
      <c r="AB17" s="15" t="n">
        <v>0.0872455461340722</v>
      </c>
      <c r="AC17" s="16" t="n">
        <v>-0.06834131616785766</v>
      </c>
      <c r="AD17" s="2" t="inlineStr">
        <is>
          <t>2026-09-09</t>
        </is>
      </c>
      <c r="AE17" s="15" t="n">
        <v>0.08567329370772692</v>
      </c>
      <c r="AF17" s="15" t="n">
        <v>0.01988112318097968</v>
      </c>
      <c r="AG17" s="17" t="n">
        <v>3.661930844797402</v>
      </c>
      <c r="AH17" s="12" t="n">
        <v>3</v>
      </c>
      <c r="AI17" s="18" t="n">
        <v>18850485.56349206</v>
      </c>
      <c r="AJ17" s="18" t="n">
        <v>7163912.583333333</v>
      </c>
      <c r="AK17" s="19">
        <f>AI17/AJ17</f>
        <v/>
      </c>
      <c r="AL17" s="2" t="inlineStr">
        <is>
          <t>2026-08-20</t>
        </is>
      </c>
      <c r="AM17" s="15" t="n">
        <v>0.2642907451753813</v>
      </c>
      <c r="AN17" s="14" t="n">
        <v>1</v>
      </c>
      <c r="AO17" s="9" t="n">
        <v>0.9997049634230295</v>
      </c>
      <c r="AP17" s="16" t="n">
        <v>0.05255188308845384</v>
      </c>
      <c r="AQ17" s="16" t="n">
        <v>0.07756844888397192</v>
      </c>
      <c r="AR17" s="16" t="n">
        <v>0.07391852113624578</v>
      </c>
      <c r="AS17" s="19">
        <f>AP17/AQ17</f>
        <v/>
      </c>
      <c r="AT17" s="19">
        <f>AP17/AR17</f>
        <v/>
      </c>
      <c r="AU17" s="19">
        <f>MAX(0,MIN(1,(AK17-2)/4))</f>
        <v/>
      </c>
      <c r="AV17" s="19">
        <f>MAX(0,MIN(1,(AG17-3)/7))</f>
        <v/>
      </c>
      <c r="AW17" s="19">
        <f>MAX(0,MIN(1,(AA17-0.25)/0.75))</f>
        <v/>
      </c>
      <c r="AX17" s="19">
        <f>MAX(0,MIN(1,(AM17-0.05)/0.2))</f>
        <v/>
      </c>
      <c r="AY17" s="19">
        <f>MAX(0,MIN(1,(AN17-0.7)/0.3))</f>
        <v/>
      </c>
      <c r="AZ17" s="19">
        <f>MAX(0,MIN(1,(AO17-1.2)/(0.6-1.2)))</f>
        <v/>
      </c>
      <c r="BA17" s="19">
        <f>MAX(0,MIN(1,(ABS(Q17)-0.03)/(0-0.03)))</f>
        <v/>
      </c>
      <c r="BB17" s="19">
        <f>MAX(0,MIN(1,T17/0.03))</f>
        <v/>
      </c>
      <c r="BC17" s="19">
        <f>MAX(0,MIN(1,(-X17-0.3)/(0.15-0.3)))</f>
        <v/>
      </c>
      <c r="BD17" s="19">
        <f>0.5*IF(M17&gt;N17,(J17-N17)/(M17-N17),0.5)+0.5*(J17&gt;=P17)</f>
        <v/>
      </c>
      <c r="BE17" s="19">
        <f>MAX(0,MIN(1,(AS17-0.9)/(0.5-0.9)))</f>
        <v/>
      </c>
      <c r="BF17" s="19">
        <f>MAX(0,MIN(1,(AT17-0.7)/(0.3-0.7)))</f>
        <v/>
      </c>
      <c r="BG17" s="20">
        <f>100*(0.4*AU17+0.3*AV17+0.3*AW17)</f>
        <v/>
      </c>
      <c r="BH17" s="20">
        <f>100*(0.5*AX17+0.5*AY17)</f>
        <v/>
      </c>
      <c r="BI17" s="20">
        <f>100*(0.3*AZ17+0.25*BA17+0.2*BB17+0.1*BC17+0.15*BD17)</f>
        <v/>
      </c>
      <c r="BJ17" s="20">
        <f>100*(0.5*BE17+0.5*BF17)</f>
        <v/>
      </c>
      <c r="BK17" s="21">
        <f>0.25*BG17+0.2*BH17+0.3*BI17+0.25*BJ17</f>
        <v/>
      </c>
      <c r="BL17" s="3" t="inlineStr">
        <is>
          <t>C3 回落20MA：收市距 MA20 -4.7%；C4 波幅減低：ATR5/ATR20 0.68（要 ≤0.9）；ATR5 係升浪期 ATR 嘅 0.71×（要 ≤0.7）</t>
        </is>
      </c>
      <c r="BM17" s="6" t="n">
        <v>4</v>
      </c>
      <c r="BN17" s="2" t="inlineStr"/>
      <c r="BO17" s="22" t="inlineStr">
        <is>
          <t>回調唔係有序回落：期內有一日跌 -10.1%</t>
        </is>
      </c>
      <c r="BP17" s="23" t="n">
        <v>0</v>
      </c>
    </row>
    <row r="18">
      <c r="A18" s="24" t="n">
        <v>2</v>
      </c>
      <c r="B18" s="25">
        <f>COUNTIFS($A$2:$A$23,A18,$BK$2:$BK$23,"&gt;"&amp;BK18)+1</f>
        <v/>
      </c>
      <c r="C18" s="7" t="inlineStr">
        <is>
          <t>BBNX</t>
        </is>
      </c>
      <c r="D18" s="8" t="inlineStr">
        <is>
          <t>Beta Bionics Inc.</t>
        </is>
      </c>
      <c r="E18" s="2" t="inlineStr">
        <is>
          <t>NASDAQ</t>
        </is>
      </c>
      <c r="F18" s="2" t="inlineStr">
        <is>
          <t>醫療保健</t>
        </is>
      </c>
      <c r="G18" s="2" t="inlineStr">
        <is>
          <t>Medical/Dental Instruments</t>
        </is>
      </c>
      <c r="H18" s="9" t="n">
        <v>1.022</v>
      </c>
      <c r="I18" s="2" t="inlineStr">
        <is>
          <t>小型</t>
        </is>
      </c>
      <c r="J18" s="10" t="n">
        <v>18.98</v>
      </c>
      <c r="K18" s="10" t="n">
        <v>19.41</v>
      </c>
      <c r="L18" s="11">
        <f>J18/K18-1</f>
        <v/>
      </c>
      <c r="M18" s="10" t="n">
        <v>19.52</v>
      </c>
      <c r="N18" s="10" t="n">
        <v>18.45</v>
      </c>
      <c r="O18" s="10" t="n">
        <v>21.25400000000009</v>
      </c>
      <c r="P18" s="10" t="n">
        <v>19.96725000000001</v>
      </c>
      <c r="Q18" s="11">
        <f>J18/P18-1</f>
        <v/>
      </c>
      <c r="R18" s="10" t="n">
        <v>18.24690000000001</v>
      </c>
      <c r="S18" s="10" t="n">
        <v>19.73924999999999</v>
      </c>
      <c r="T18" s="11">
        <f>P18/S18-1</f>
        <v/>
      </c>
      <c r="U18" s="10" t="n">
        <v>22.81</v>
      </c>
      <c r="V18" s="2" t="inlineStr">
        <is>
          <t>2026-09-22</t>
        </is>
      </c>
      <c r="W18" s="12" t="n">
        <v>6</v>
      </c>
      <c r="X18" s="13">
        <f>J18/U18-1</f>
        <v/>
      </c>
      <c r="Y18" s="2" t="inlineStr">
        <is>
          <t>2026-07-31</t>
        </is>
      </c>
      <c r="Z18" s="12" t="n">
        <v>36</v>
      </c>
      <c r="AA18" s="14" t="n">
        <v>0.7778643803585346</v>
      </c>
      <c r="AB18" s="15" t="n">
        <v>0.1639685151874659</v>
      </c>
      <c r="AC18" s="16" t="n">
        <v>-0.07598692859557599</v>
      </c>
      <c r="AD18" s="2" t="inlineStr">
        <is>
          <t>2026-09-16</t>
        </is>
      </c>
      <c r="AE18" s="15" t="n">
        <v>0.1534061362454497</v>
      </c>
      <c r="AF18" s="15" t="n">
        <v>-0.03224128965158612</v>
      </c>
      <c r="AG18" s="17" t="n">
        <v>6.047843155724056</v>
      </c>
      <c r="AH18" s="12" t="n">
        <v>3</v>
      </c>
      <c r="AI18" s="18" t="n">
        <v>26116252.60810811</v>
      </c>
      <c r="AJ18" s="18" t="n">
        <v>14011812.71666667</v>
      </c>
      <c r="AK18" s="19">
        <f>AI18/AJ18</f>
        <v/>
      </c>
      <c r="AL18" s="2" t="inlineStr">
        <is>
          <t>2026-08-24</t>
        </is>
      </c>
      <c r="AM18" s="15" t="n">
        <v>0.2675141822158416</v>
      </c>
      <c r="AN18" s="14" t="n">
        <v>1</v>
      </c>
      <c r="AO18" s="9" t="n">
        <v>0.8760075095973326</v>
      </c>
      <c r="AP18" s="16" t="n">
        <v>0.05886501720758493</v>
      </c>
      <c r="AQ18" s="16" t="n">
        <v>0.07843161350945439</v>
      </c>
      <c r="AR18" s="16" t="n">
        <v>0.07552505810092845</v>
      </c>
      <c r="AS18" s="19">
        <f>AP18/AQ18</f>
        <v/>
      </c>
      <c r="AT18" s="19">
        <f>AP18/AR18</f>
        <v/>
      </c>
      <c r="AU18" s="19">
        <f>MAX(0,MIN(1,(AK18-2)/4))</f>
        <v/>
      </c>
      <c r="AV18" s="19">
        <f>MAX(0,MIN(1,(AG18-3)/7))</f>
        <v/>
      </c>
      <c r="AW18" s="19">
        <f>MAX(0,MIN(1,(AA18-0.25)/0.75))</f>
        <v/>
      </c>
      <c r="AX18" s="19">
        <f>MAX(0,MIN(1,(AM18-0.05)/0.2))</f>
        <v/>
      </c>
      <c r="AY18" s="19">
        <f>MAX(0,MIN(1,(AN18-0.7)/0.3))</f>
        <v/>
      </c>
      <c r="AZ18" s="19">
        <f>MAX(0,MIN(1,(AO18-1.2)/(0.6-1.2)))</f>
        <v/>
      </c>
      <c r="BA18" s="19">
        <f>MAX(0,MIN(1,(ABS(Q18)-0.03)/(0-0.03)))</f>
        <v/>
      </c>
      <c r="BB18" s="19">
        <f>MAX(0,MIN(1,T18/0.03))</f>
        <v/>
      </c>
      <c r="BC18" s="19">
        <f>MAX(0,MIN(1,(-X18-0.3)/(0.15-0.3)))</f>
        <v/>
      </c>
      <c r="BD18" s="19">
        <f>0.5*IF(M18&gt;N18,(J18-N18)/(M18-N18),0.5)+0.5*(J18&gt;=P18)</f>
        <v/>
      </c>
      <c r="BE18" s="19">
        <f>MAX(0,MIN(1,(AS18-0.9)/(0.5-0.9)))</f>
        <v/>
      </c>
      <c r="BF18" s="19">
        <f>MAX(0,MIN(1,(AT18-0.7)/(0.3-0.7)))</f>
        <v/>
      </c>
      <c r="BG18" s="20">
        <f>100*(0.4*AU18+0.3*AV18+0.3*AW18)</f>
        <v/>
      </c>
      <c r="BH18" s="20">
        <f>100*(0.5*AX18+0.5*AY18)</f>
        <v/>
      </c>
      <c r="BI18" s="20">
        <f>100*(0.3*AZ18+0.25*BA18+0.2*BB18+0.1*BC18+0.15*BD18)</f>
        <v/>
      </c>
      <c r="BJ18" s="20">
        <f>100*(0.5*BE18+0.5*BF18)</f>
        <v/>
      </c>
      <c r="BK18" s="21">
        <f>0.25*BG18+0.2*BH18+0.3*BI18+0.25*BJ18</f>
        <v/>
      </c>
      <c r="BL18" s="3" t="inlineStr">
        <is>
          <t>C1b 熱錢：升浪成交額係之前 60 日嘅 1.86×（要 ≥2.0×）；C3 回落20MA：收市距 MA20 -4.9%；C4 波幅減低：ATR5/ATR20 0.75（要 ≤0.9）；ATR5 係升浪期 ATR 嘅 0.78×（要 ≤0.7）</t>
        </is>
      </c>
      <c r="BM18" s="6" t="n"/>
      <c r="BN18" s="2" t="inlineStr"/>
      <c r="BO18" s="22" t="inlineStr">
        <is>
          <t>事件日同時宣布 $1.25 億配售（後定價 $1.5 億）；配售價係下面嘅參考位</t>
        </is>
      </c>
      <c r="BP18" s="23" t="n">
        <v>0</v>
      </c>
    </row>
    <row r="19">
      <c r="A19" s="24" t="n">
        <v>2</v>
      </c>
      <c r="B19" s="25">
        <f>COUNTIFS($A$2:$A$23,A19,$BK$2:$BK$23,"&gt;"&amp;BK19)+1</f>
        <v/>
      </c>
      <c r="C19" s="7" t="inlineStr">
        <is>
          <t>PKOH</t>
        </is>
      </c>
      <c r="D19" s="8" t="inlineStr">
        <is>
          <t>Park-Ohio Holdings Corp.</t>
        </is>
      </c>
      <c r="E19" s="2" t="inlineStr">
        <is>
          <t>NASDAQ</t>
        </is>
      </c>
      <c r="F19" s="2" t="inlineStr">
        <is>
          <t>工業</t>
        </is>
      </c>
      <c r="G19" s="2" t="inlineStr">
        <is>
          <t>Industrial Specialties</t>
        </is>
      </c>
      <c r="H19" s="9" t="n">
        <v>0.6830000000000001</v>
      </c>
      <c r="I19" s="2" t="inlineStr">
        <is>
          <t>小型</t>
        </is>
      </c>
      <c r="J19" s="10" t="n">
        <v>46.2</v>
      </c>
      <c r="K19" s="10" t="n">
        <v>47.16</v>
      </c>
      <c r="L19" s="11">
        <f>J19/K19-1</f>
        <v/>
      </c>
      <c r="M19" s="10" t="n">
        <v>47.3</v>
      </c>
      <c r="N19" s="10" t="n">
        <v>45.72</v>
      </c>
      <c r="O19" s="10" t="n">
        <v>46.83100000000004</v>
      </c>
      <c r="P19" s="10" t="n">
        <v>46.25349999999999</v>
      </c>
      <c r="Q19" s="11">
        <f>J19/P19-1</f>
        <v/>
      </c>
      <c r="R19" s="10" t="n">
        <v>45.08199999999997</v>
      </c>
      <c r="S19" s="10" t="n">
        <v>45.85850000000001</v>
      </c>
      <c r="T19" s="11">
        <f>P19/S19-1</f>
        <v/>
      </c>
      <c r="U19" s="10" t="n">
        <v>52.51</v>
      </c>
      <c r="V19" s="2" t="inlineStr">
        <is>
          <t>2026-08-07</t>
        </is>
      </c>
      <c r="W19" s="12" t="n">
        <v>37</v>
      </c>
      <c r="X19" s="13">
        <f>J19/U19-1</f>
        <v/>
      </c>
      <c r="Y19" s="2" t="inlineStr">
        <is>
          <t>2026-05-19</t>
        </is>
      </c>
      <c r="Z19" s="12" t="n">
        <v>55</v>
      </c>
      <c r="AA19" s="14" t="n">
        <v>0.8226310308920515</v>
      </c>
      <c r="AB19" s="15" t="n">
        <v>0.3174764467527236</v>
      </c>
      <c r="AC19" s="16" t="n">
        <v>-0.01153426227204402</v>
      </c>
      <c r="AD19" s="2" t="inlineStr">
        <is>
          <t>2026-08-07</t>
        </is>
      </c>
      <c r="AE19" s="15" t="n">
        <v>0.1290045151580306</v>
      </c>
      <c r="AF19" s="15" t="n">
        <v>0.01784562459686101</v>
      </c>
      <c r="AG19" s="17" t="n">
        <v>2.775722600374865</v>
      </c>
      <c r="AH19" s="12" t="n">
        <v>2</v>
      </c>
      <c r="AI19" s="18" t="n">
        <v>3185602.785714286</v>
      </c>
      <c r="AJ19" s="18" t="n">
        <v>1374158.6</v>
      </c>
      <c r="AK19" s="19">
        <f>AI19/AJ19</f>
        <v/>
      </c>
      <c r="AL19" s="2" t="inlineStr">
        <is>
          <t>2026-08-19</t>
        </is>
      </c>
      <c r="AM19" s="15" t="n">
        <v>0.2264365492495066</v>
      </c>
      <c r="AN19" s="14" t="n">
        <v>1</v>
      </c>
      <c r="AO19" s="9" t="n">
        <v>1.013099387092897</v>
      </c>
      <c r="AP19" s="16" t="n">
        <v>0.03310512800751299</v>
      </c>
      <c r="AQ19" s="16" t="n">
        <v>0.03367754888625911</v>
      </c>
      <c r="AR19" s="16" t="n">
        <v>0.04752894802776251</v>
      </c>
      <c r="AS19" s="19">
        <f>AP19/AQ19</f>
        <v/>
      </c>
      <c r="AT19" s="19">
        <f>AP19/AR19</f>
        <v/>
      </c>
      <c r="AU19" s="19">
        <f>MAX(0,MIN(1,(AK19-2)/4))</f>
        <v/>
      </c>
      <c r="AV19" s="19">
        <f>MAX(0,MIN(1,(AG19-3)/7))</f>
        <v/>
      </c>
      <c r="AW19" s="19">
        <f>MAX(0,MIN(1,(AA19-0.25)/0.75))</f>
        <v/>
      </c>
      <c r="AX19" s="19">
        <f>MAX(0,MIN(1,(AM19-0.05)/0.2))</f>
        <v/>
      </c>
      <c r="AY19" s="19">
        <f>MAX(0,MIN(1,(AN19-0.7)/0.3))</f>
        <v/>
      </c>
      <c r="AZ19" s="19">
        <f>MAX(0,MIN(1,(AO19-1.2)/(0.6-1.2)))</f>
        <v/>
      </c>
      <c r="BA19" s="19">
        <f>MAX(0,MIN(1,(ABS(Q19)-0.03)/(0-0.03)))</f>
        <v/>
      </c>
      <c r="BB19" s="19">
        <f>MAX(0,MIN(1,T19/0.03))</f>
        <v/>
      </c>
      <c r="BC19" s="19">
        <f>MAX(0,MIN(1,(-X19-0.3)/(0.15-0.3)))</f>
        <v/>
      </c>
      <c r="BD19" s="19">
        <f>0.5*IF(M19&gt;N19,(J19-N19)/(M19-N19),0.5)+0.5*(J19&gt;=P19)</f>
        <v/>
      </c>
      <c r="BE19" s="19">
        <f>MAX(0,MIN(1,(AS19-0.9)/(0.5-0.9)))</f>
        <v/>
      </c>
      <c r="BF19" s="19">
        <f>MAX(0,MIN(1,(AT19-0.7)/(0.3-0.7)))</f>
        <v/>
      </c>
      <c r="BG19" s="20">
        <f>100*(0.4*AU19+0.3*AV19+0.3*AW19)</f>
        <v/>
      </c>
      <c r="BH19" s="20">
        <f>100*(0.5*AX19+0.5*AY19)</f>
        <v/>
      </c>
      <c r="BI19" s="20">
        <f>100*(0.3*AZ19+0.25*BA19+0.2*BB19+0.1*BC19+0.15*BD19)</f>
        <v/>
      </c>
      <c r="BJ19" s="20">
        <f>100*(0.5*BE19+0.5*BF19)</f>
        <v/>
      </c>
      <c r="BK19" s="21">
        <f>0.25*BG19+0.2*BH19+0.3*BI19+0.25*BJ19</f>
        <v/>
      </c>
      <c r="BL19" s="3" t="inlineStr">
        <is>
          <t>C1a 事件日：高位前 60 日最大量日只有 4.6× 50日均量（當日 +2.0%）；要 ≥3× 兼當日 ≥+8% 或開市跳空 ≥+5%；C3 回落20MA：高位喺 37 日前；C4 波幅減低：ATR5/ATR20 0.98（要 ≤0.9）；ATR5 係升浪期 ATR 嘅 0.70×（要 ≤0.7）</t>
        </is>
      </c>
      <c r="BM19" s="6" t="n"/>
      <c r="BN19" s="2" t="inlineStr"/>
      <c r="BO19" s="22" t="inlineStr">
        <is>
          <t>回調唔係有序回落：期內有一日跌 -8.9%；最大升日 08-07 同業績日 08-05 差兩日，當日消息未查到；20 日成交額中位數只有 $2.8M（股票池下限 $1M），入市出市都會有滑價</t>
        </is>
      </c>
      <c r="BP19" s="23" t="n">
        <v>0</v>
      </c>
    </row>
    <row r="20">
      <c r="A20" s="24" t="n">
        <v>2</v>
      </c>
      <c r="B20" s="25">
        <f>COUNTIFS($A$2:$A$23,A20,$BK$2:$BK$23,"&gt;"&amp;BK20)+1</f>
        <v/>
      </c>
      <c r="C20" s="26" t="inlineStr">
        <is>
          <t>KN</t>
        </is>
      </c>
      <c r="D20" s="8" t="inlineStr">
        <is>
          <t>Knowles Corporation</t>
        </is>
      </c>
      <c r="E20" s="2" t="inlineStr">
        <is>
          <t>NYSE</t>
        </is>
      </c>
      <c r="F20" s="2" t="inlineStr">
        <is>
          <t>必需消費</t>
        </is>
      </c>
      <c r="G20" s="2" t="inlineStr">
        <is>
          <t>Consumer Electronics/Appliances</t>
        </is>
      </c>
      <c r="H20" s="9" t="n">
        <v>3.188</v>
      </c>
      <c r="I20" s="2" t="inlineStr">
        <is>
          <t>中型</t>
        </is>
      </c>
      <c r="J20" s="10" t="n">
        <v>37.15</v>
      </c>
      <c r="K20" s="10" t="n">
        <v>37.32</v>
      </c>
      <c r="L20" s="11">
        <f>J20/K20-1</f>
        <v/>
      </c>
      <c r="M20" s="10" t="n">
        <v>37.48</v>
      </c>
      <c r="N20" s="10" t="n">
        <v>36.95</v>
      </c>
      <c r="O20" s="10" t="n">
        <v>36.66299999999992</v>
      </c>
      <c r="P20" s="10" t="n">
        <v>35.98099999999995</v>
      </c>
      <c r="Q20" s="11">
        <f>J20/P20-1</f>
        <v/>
      </c>
      <c r="R20" s="10" t="n">
        <v>36.33619999999999</v>
      </c>
      <c r="S20" s="10" t="n">
        <v>35.29299999999999</v>
      </c>
      <c r="T20" s="11">
        <f>P20/S20-1</f>
        <v/>
      </c>
      <c r="U20" s="10" t="n">
        <v>40.4</v>
      </c>
      <c r="V20" s="2" t="inlineStr">
        <is>
          <t>2026-08-04</t>
        </is>
      </c>
      <c r="W20" s="12" t="n">
        <v>40</v>
      </c>
      <c r="X20" s="13">
        <f>J20/U20-1</f>
        <v/>
      </c>
      <c r="Y20" s="2" t="inlineStr">
        <is>
          <t>2026-05-04</t>
        </is>
      </c>
      <c r="Z20" s="12" t="n">
        <v>63</v>
      </c>
      <c r="AA20" s="14" t="n">
        <v>0.265267773253993</v>
      </c>
      <c r="AB20" s="15" t="n">
        <v>0.1028608866564789</v>
      </c>
      <c r="AC20" s="16" t="n">
        <v>0.0269308801867667</v>
      </c>
      <c r="AD20" s="2" t="inlineStr">
        <is>
          <t>2026-07-23</t>
        </is>
      </c>
      <c r="AE20" s="15" t="n">
        <v>0.06009287080032788</v>
      </c>
      <c r="AF20" s="15" t="n">
        <v>-0.008194482381862822</v>
      </c>
      <c r="AG20" s="17" t="n">
        <v>2.137823419728815</v>
      </c>
      <c r="AH20" s="12" t="n">
        <v>1</v>
      </c>
      <c r="AI20" s="18" t="n">
        <v>42168176.96875</v>
      </c>
      <c r="AJ20" s="18" t="n">
        <v>19798827.48333333</v>
      </c>
      <c r="AK20" s="19">
        <f>AI20/AJ20</f>
        <v/>
      </c>
      <c r="AL20" s="2" t="inlineStr">
        <is>
          <t>2026-09-18</t>
        </is>
      </c>
      <c r="AM20" s="15" t="n">
        <v>0.04020174178224512</v>
      </c>
      <c r="AN20" s="14" t="n">
        <v>1</v>
      </c>
      <c r="AO20" s="9" t="n">
        <v>0.6867002302468034</v>
      </c>
      <c r="AP20" s="16" t="n">
        <v>0.02572915366595069</v>
      </c>
      <c r="AQ20" s="16" t="n">
        <v>0.02991438149881503</v>
      </c>
      <c r="AR20" s="16" t="n">
        <v>0.04799787342264188</v>
      </c>
      <c r="AS20" s="19">
        <f>AP20/AQ20</f>
        <v/>
      </c>
      <c r="AT20" s="19">
        <f>AP20/AR20</f>
        <v/>
      </c>
      <c r="AU20" s="19">
        <f>MAX(0,MIN(1,(AK20-2)/4))</f>
        <v/>
      </c>
      <c r="AV20" s="19">
        <f>MAX(0,MIN(1,(AG20-3)/7))</f>
        <v/>
      </c>
      <c r="AW20" s="19">
        <f>MAX(0,MIN(1,(AA20-0.25)/0.75))</f>
        <v/>
      </c>
      <c r="AX20" s="19">
        <f>MAX(0,MIN(1,(AM20-0.05)/0.2))</f>
        <v/>
      </c>
      <c r="AY20" s="19">
        <f>MAX(0,MIN(1,(AN20-0.7)/0.3))</f>
        <v/>
      </c>
      <c r="AZ20" s="19">
        <f>MAX(0,MIN(1,(AO20-1.2)/(0.6-1.2)))</f>
        <v/>
      </c>
      <c r="BA20" s="19">
        <f>MAX(0,MIN(1,(ABS(Q20)-0.03)/(0-0.03)))</f>
        <v/>
      </c>
      <c r="BB20" s="19">
        <f>MAX(0,MIN(1,T20/0.03))</f>
        <v/>
      </c>
      <c r="BC20" s="19">
        <f>MAX(0,MIN(1,(-X20-0.3)/(0.15-0.3)))</f>
        <v/>
      </c>
      <c r="BD20" s="19">
        <f>0.5*IF(M20&gt;N20,(J20-N20)/(M20-N20),0.5)+0.5*(J20&gt;=P20)</f>
        <v/>
      </c>
      <c r="BE20" s="19">
        <f>MAX(0,MIN(1,(AS20-0.9)/(0.5-0.9)))</f>
        <v/>
      </c>
      <c r="BF20" s="19">
        <f>MAX(0,MIN(1,(AT20-0.7)/(0.3-0.7)))</f>
        <v/>
      </c>
      <c r="BG20" s="20">
        <f>100*(0.4*AU20+0.3*AV20+0.3*AW20)</f>
        <v/>
      </c>
      <c r="BH20" s="20">
        <f>100*(0.5*AX20+0.5*AY20)</f>
        <v/>
      </c>
      <c r="BI20" s="20">
        <f>100*(0.3*AZ20+0.25*BA20+0.2*BB20+0.1*BC20+0.15*BD20)</f>
        <v/>
      </c>
      <c r="BJ20" s="20">
        <f>100*(0.5*BE20+0.5*BF20)</f>
        <v/>
      </c>
      <c r="BK20" s="21">
        <f>0.25*BG20+0.2*BH20+0.3*BI20+0.25*BJ20</f>
        <v/>
      </c>
      <c r="BL20" s="3" t="inlineStr">
        <is>
          <t>C1a 事件日：高位前 60 日最大量日只有 5.0× 50日均量（當日 -1.8%）；要 ≥3× 兼當日 ≥+8% 或開市跳空 ≥+5%；C2 曾有10MA上升：近 30 日 MA10 最大 10 日升幅 +4.0%（2026-09-18；要 ≥5%），嗰時最後三值遞升、10 步升 100%（要 ≥70%）；C3 回落20MA：高位喺 40 日前；收市距 MA20 +3.2%；近 3 日最低價距 MA20 +2.7%</t>
        </is>
      </c>
      <c r="BM20" s="6" t="n"/>
      <c r="BN20" s="2" t="inlineStr"/>
      <c r="BO20" s="3" t="inlineStr"/>
      <c r="BP20" s="23" t="n">
        <v>0</v>
      </c>
    </row>
    <row r="21">
      <c r="A21" s="24" t="n">
        <v>2</v>
      </c>
      <c r="B21" s="25">
        <f>COUNTIFS($A$2:$A$23,A21,$BK$2:$BK$23,"&gt;"&amp;BK21)+1</f>
        <v/>
      </c>
      <c r="C21" s="26" t="inlineStr">
        <is>
          <t>FLXS</t>
        </is>
      </c>
      <c r="D21" s="8" t="inlineStr">
        <is>
          <t>Flexsteel Industries Inc.</t>
        </is>
      </c>
      <c r="E21" s="2" t="inlineStr">
        <is>
          <t>NASDAQ</t>
        </is>
      </c>
      <c r="F21" s="2" t="inlineStr">
        <is>
          <t>非必需消費</t>
        </is>
      </c>
      <c r="G21" s="2" t="inlineStr">
        <is>
          <t>Home Furnishings</t>
        </is>
      </c>
      <c r="H21" s="9" t="n">
        <v>0.353</v>
      </c>
      <c r="I21" s="2" t="inlineStr">
        <is>
          <t>小型</t>
        </is>
      </c>
      <c r="J21" s="10" t="n">
        <v>84.65000000000001</v>
      </c>
      <c r="K21" s="10" t="n">
        <v>86.36</v>
      </c>
      <c r="L21" s="11">
        <f>J21/K21-1</f>
        <v/>
      </c>
      <c r="M21" s="10" t="n">
        <v>86.59999999999999</v>
      </c>
      <c r="N21" s="10" t="n">
        <v>84.5</v>
      </c>
      <c r="O21" s="10" t="n">
        <v>84.59800000000014</v>
      </c>
      <c r="P21" s="10" t="n">
        <v>83.34000000000006</v>
      </c>
      <c r="Q21" s="11">
        <f>J21/P21-1</f>
        <v/>
      </c>
      <c r="R21" s="10" t="n">
        <v>79.62960000000007</v>
      </c>
      <c r="S21" s="10" t="n">
        <v>81.7494999999999</v>
      </c>
      <c r="T21" s="11">
        <f>P21/S21-1</f>
        <v/>
      </c>
      <c r="U21" s="10" t="n">
        <v>89.37</v>
      </c>
      <c r="V21" s="2" t="inlineStr">
        <is>
          <t>2026-09-25</t>
        </is>
      </c>
      <c r="W21" s="12" t="n">
        <v>3</v>
      </c>
      <c r="X21" s="13">
        <f>J21/U21-1</f>
        <v/>
      </c>
      <c r="Y21" s="2" t="inlineStr">
        <is>
          <t>2026-07-07</t>
        </is>
      </c>
      <c r="Z21" s="12" t="n">
        <v>57</v>
      </c>
      <c r="AA21" s="14" t="n">
        <v>0.2849748382458663</v>
      </c>
      <c r="AB21" s="15" t="n">
        <v>0.08404798583229245</v>
      </c>
      <c r="AC21" s="16" t="n">
        <v>0.01391888648908024</v>
      </c>
      <c r="AD21" s="2" t="inlineStr">
        <is>
          <t>2026-08-18</t>
        </is>
      </c>
      <c r="AE21" s="15" t="n">
        <v>0.08890770533446224</v>
      </c>
      <c r="AF21" s="15" t="n">
        <v>0.1430990685859441</v>
      </c>
      <c r="AG21" s="17" t="n">
        <v>5.273849220037561</v>
      </c>
      <c r="AH21" s="12" t="n">
        <v>1</v>
      </c>
      <c r="AI21" s="18" t="n">
        <v>5980855.724137931</v>
      </c>
      <c r="AJ21" s="18" t="n">
        <v>3352539.766666667</v>
      </c>
      <c r="AK21" s="19">
        <f>AI21/AJ21</f>
        <v/>
      </c>
      <c r="AL21" s="2" t="inlineStr">
        <is>
          <t>2026-09-02</t>
        </is>
      </c>
      <c r="AM21" s="15" t="n">
        <v>0.07655674244742006</v>
      </c>
      <c r="AN21" s="14" t="n">
        <v>1</v>
      </c>
      <c r="AO21" s="9" t="n">
        <v>0.7477538068877507</v>
      </c>
      <c r="AP21" s="16" t="n">
        <v>0.03638154320787167</v>
      </c>
      <c r="AQ21" s="16" t="n">
        <v>0.03890557594279736</v>
      </c>
      <c r="AR21" s="16" t="n">
        <v>0.04417274448255616</v>
      </c>
      <c r="AS21" s="19">
        <f>AP21/AQ21</f>
        <v/>
      </c>
      <c r="AT21" s="19">
        <f>AP21/AR21</f>
        <v/>
      </c>
      <c r="AU21" s="19">
        <f>MAX(0,MIN(1,(AK21-2)/4))</f>
        <v/>
      </c>
      <c r="AV21" s="19">
        <f>MAX(0,MIN(1,(AG21-3)/7))</f>
        <v/>
      </c>
      <c r="AW21" s="19">
        <f>MAX(0,MIN(1,(AA21-0.25)/0.75))</f>
        <v/>
      </c>
      <c r="AX21" s="19">
        <f>MAX(0,MIN(1,(AM21-0.05)/0.2))</f>
        <v/>
      </c>
      <c r="AY21" s="19">
        <f>MAX(0,MIN(1,(AN21-0.7)/0.3))</f>
        <v/>
      </c>
      <c r="AZ21" s="19">
        <f>MAX(0,MIN(1,(AO21-1.2)/(0.6-1.2)))</f>
        <v/>
      </c>
      <c r="BA21" s="19">
        <f>MAX(0,MIN(1,(ABS(Q21)-0.03)/(0-0.03)))</f>
        <v/>
      </c>
      <c r="BB21" s="19">
        <f>MAX(0,MIN(1,T21/0.03))</f>
        <v/>
      </c>
      <c r="BC21" s="19">
        <f>MAX(0,MIN(1,(-X21-0.3)/(0.15-0.3)))</f>
        <v/>
      </c>
      <c r="BD21" s="19">
        <f>0.5*IF(M21&gt;N21,(J21-N21)/(M21-N21),0.5)+0.5*(J21&gt;=P21)</f>
        <v/>
      </c>
      <c r="BE21" s="19">
        <f>MAX(0,MIN(1,(AS21-0.9)/(0.5-0.9)))</f>
        <v/>
      </c>
      <c r="BF21" s="19">
        <f>MAX(0,MIN(1,(AT21-0.7)/(0.3-0.7)))</f>
        <v/>
      </c>
      <c r="BG21" s="20">
        <f>100*(0.4*AU21+0.3*AV21+0.3*AW21)</f>
        <v/>
      </c>
      <c r="BH21" s="20">
        <f>100*(0.5*AX21+0.5*AY21)</f>
        <v/>
      </c>
      <c r="BI21" s="20">
        <f>100*(0.3*AZ21+0.25*BA21+0.2*BB21+0.1*BC21+0.15*BD21)</f>
        <v/>
      </c>
      <c r="BJ21" s="20">
        <f>100*(0.5*BE21+0.5*BF21)</f>
        <v/>
      </c>
      <c r="BK21" s="21">
        <f>0.25*BG21+0.2*BH21+0.3*BI21+0.25*BJ21</f>
        <v/>
      </c>
      <c r="BL21" s="3" t="inlineStr">
        <is>
          <t>C1b 熱錢：升浪成交額係之前 60 日嘅 1.78×（要 ≥2.0×）；C4 波幅減低：ATR5/ATR20 0.94（要 ≤0.9）；ATR5 係升浪期 ATR 嘅 0.82×（要 ≤0.7）</t>
        </is>
      </c>
      <c r="BM21" s="6" t="n"/>
      <c r="BN21" s="2" t="inlineStr"/>
      <c r="BO21" s="3" t="inlineStr"/>
      <c r="BP21" s="23" t="n">
        <v>0</v>
      </c>
    </row>
    <row r="22">
      <c r="A22" s="24" t="n">
        <v>2</v>
      </c>
      <c r="B22" s="25">
        <f>COUNTIFS($A$2:$A$23,A22,$BK$2:$BK$23,"&gt;"&amp;BK22)+1</f>
        <v/>
      </c>
      <c r="C22" s="26" t="inlineStr">
        <is>
          <t>AVTR</t>
        </is>
      </c>
      <c r="D22" s="8" t="inlineStr">
        <is>
          <t>Avantor Inc.</t>
        </is>
      </c>
      <c r="E22" s="2" t="inlineStr">
        <is>
          <t>NYSE</t>
        </is>
      </c>
      <c r="F22" s="2" t="inlineStr">
        <is>
          <t>工業</t>
        </is>
      </c>
      <c r="G22" s="2" t="inlineStr">
        <is>
          <t>Biotechnology: Laboratory Analytical Instruments</t>
        </is>
      </c>
      <c r="H22" s="9" t="n">
        <v>10.308</v>
      </c>
      <c r="I22" s="2" t="inlineStr">
        <is>
          <t>大型</t>
        </is>
      </c>
      <c r="J22" s="10" t="n">
        <v>15.05</v>
      </c>
      <c r="K22" s="10" t="n">
        <v>15.24</v>
      </c>
      <c r="L22" s="11">
        <f>J22/K22-1</f>
        <v/>
      </c>
      <c r="M22" s="10" t="n">
        <v>15.36</v>
      </c>
      <c r="N22" s="10" t="n">
        <v>15.05</v>
      </c>
      <c r="O22" s="10" t="n">
        <v>15.23900000000003</v>
      </c>
      <c r="P22" s="10" t="n">
        <v>15.16150000000002</v>
      </c>
      <c r="Q22" s="11">
        <f>J22/P22-1</f>
        <v/>
      </c>
      <c r="R22" s="10" t="n">
        <v>14.20400000000001</v>
      </c>
      <c r="S22" s="10" t="n">
        <v>14.97250000000001</v>
      </c>
      <c r="T22" s="11">
        <f>P22/S22-1</f>
        <v/>
      </c>
      <c r="U22" s="10" t="n">
        <v>15.86</v>
      </c>
      <c r="V22" s="2" t="inlineStr">
        <is>
          <t>2026-09-17</t>
        </is>
      </c>
      <c r="W22" s="12" t="n">
        <v>9</v>
      </c>
      <c r="X22" s="13">
        <f>J22/U22-1</f>
        <v/>
      </c>
      <c r="Y22" s="2" t="inlineStr">
        <is>
          <t>2026-06-22</t>
        </is>
      </c>
      <c r="Z22" s="12" t="n">
        <v>61</v>
      </c>
      <c r="AA22" s="14" t="n">
        <v>0.6962566844919786</v>
      </c>
      <c r="AB22" s="15" t="n">
        <v>0.06974234452987838</v>
      </c>
      <c r="AC22" s="16" t="n">
        <v>-0.007354153612770697</v>
      </c>
      <c r="AD22" s="2" t="inlineStr">
        <is>
          <t>2026-07-29</t>
        </is>
      </c>
      <c r="AE22" s="15" t="n">
        <v>0.1578099838969405</v>
      </c>
      <c r="AF22" s="15" t="n">
        <v>0.1666666666666667</v>
      </c>
      <c r="AG22" s="17" t="n">
        <v>4.250424625286808</v>
      </c>
      <c r="AH22" s="12" t="n">
        <v>1</v>
      </c>
      <c r="AI22" s="18" t="n">
        <v>118998377.3387097</v>
      </c>
      <c r="AJ22" s="18" t="n">
        <v>78786085.40000001</v>
      </c>
      <c r="AK22" s="19">
        <f>AI22/AJ22</f>
        <v/>
      </c>
      <c r="AL22" s="2" t="inlineStr">
        <is>
          <t>2026-09-02</t>
        </is>
      </c>
      <c r="AM22" s="15" t="n">
        <v>0.05838827838828387</v>
      </c>
      <c r="AN22" s="14" t="n">
        <v>1</v>
      </c>
      <c r="AO22" s="9" t="n">
        <v>1.240434511681404</v>
      </c>
      <c r="AP22" s="16" t="n">
        <v>0.02750051080588934</v>
      </c>
      <c r="AQ22" s="16" t="n">
        <v>0.03090958184959482</v>
      </c>
      <c r="AR22" s="16" t="n">
        <v>0.04045719057187441</v>
      </c>
      <c r="AS22" s="19">
        <f>AP22/AQ22</f>
        <v/>
      </c>
      <c r="AT22" s="19">
        <f>AP22/AR22</f>
        <v/>
      </c>
      <c r="AU22" s="19">
        <f>MAX(0,MIN(1,(AK22-2)/4))</f>
        <v/>
      </c>
      <c r="AV22" s="19">
        <f>MAX(0,MIN(1,(AG22-3)/7))</f>
        <v/>
      </c>
      <c r="AW22" s="19">
        <f>MAX(0,MIN(1,(AA22-0.25)/0.75))</f>
        <v/>
      </c>
      <c r="AX22" s="19">
        <f>MAX(0,MIN(1,(AM22-0.05)/0.2))</f>
        <v/>
      </c>
      <c r="AY22" s="19">
        <f>MAX(0,MIN(1,(AN22-0.7)/0.3))</f>
        <v/>
      </c>
      <c r="AZ22" s="19">
        <f>MAX(0,MIN(1,(AO22-1.2)/(0.6-1.2)))</f>
        <v/>
      </c>
      <c r="BA22" s="19">
        <f>MAX(0,MIN(1,(ABS(Q22)-0.03)/(0-0.03)))</f>
        <v/>
      </c>
      <c r="BB22" s="19">
        <f>MAX(0,MIN(1,T22/0.03))</f>
        <v/>
      </c>
      <c r="BC22" s="19">
        <f>MAX(0,MIN(1,(-X22-0.3)/(0.15-0.3)))</f>
        <v/>
      </c>
      <c r="BD22" s="19">
        <f>0.5*IF(M22&gt;N22,(J22-N22)/(M22-N22),0.5)+0.5*(J22&gt;=P22)</f>
        <v/>
      </c>
      <c r="BE22" s="19">
        <f>MAX(0,MIN(1,(AS22-0.9)/(0.5-0.9)))</f>
        <v/>
      </c>
      <c r="BF22" s="19">
        <f>MAX(0,MIN(1,(AT22-0.7)/(0.3-0.7)))</f>
        <v/>
      </c>
      <c r="BG22" s="20">
        <f>100*(0.4*AU22+0.3*AV22+0.3*AW22)</f>
        <v/>
      </c>
      <c r="BH22" s="20">
        <f>100*(0.5*AX22+0.5*AY22)</f>
        <v/>
      </c>
      <c r="BI22" s="20">
        <f>100*(0.3*AZ22+0.25*BA22+0.2*BB22+0.1*BC22+0.15*BD22)</f>
        <v/>
      </c>
      <c r="BJ22" s="20">
        <f>100*(0.5*BE22+0.5*BF22)</f>
        <v/>
      </c>
      <c r="BK22" s="21">
        <f>0.25*BG22+0.2*BH22+0.3*BI22+0.25*BJ22</f>
        <v/>
      </c>
      <c r="BL22" s="3" t="inlineStr">
        <is>
          <t>C1b 熱錢：升浪成交額係之前 60 日嘅 1.51×（要 ≥2.0×）；C3 回落20MA：高位時只高過 MA20 7.0%</t>
        </is>
      </c>
      <c r="BM22" s="6" t="n"/>
      <c r="BN22" s="2" t="inlineStr"/>
      <c r="BO22" s="3" t="inlineStr"/>
      <c r="BP22" s="23" t="n">
        <v>0</v>
      </c>
    </row>
    <row r="23">
      <c r="A23" s="24" t="n">
        <v>2</v>
      </c>
      <c r="B23" s="25">
        <f>COUNTIFS($A$2:$A$23,A23,$BK$2:$BK$23,"&gt;"&amp;BK23)+1</f>
        <v/>
      </c>
      <c r="C23" s="7" t="inlineStr">
        <is>
          <t>AMBA</t>
        </is>
      </c>
      <c r="D23" s="8" t="inlineStr">
        <is>
          <t>Ambarella Inc.</t>
        </is>
      </c>
      <c r="E23" s="2" t="inlineStr">
        <is>
          <t>NASDAQ</t>
        </is>
      </c>
      <c r="F23" s="2" t="inlineStr">
        <is>
          <t>科技</t>
        </is>
      </c>
      <c r="G23" s="2" t="inlineStr">
        <is>
          <t>Semiconductors</t>
        </is>
      </c>
      <c r="H23" s="9" t="n">
        <v>3.034</v>
      </c>
      <c r="I23" s="2" t="inlineStr">
        <is>
          <t>中型</t>
        </is>
      </c>
      <c r="J23" s="10" t="n">
        <v>69.51000000000001</v>
      </c>
      <c r="K23" s="10" t="n">
        <v>68.73</v>
      </c>
      <c r="L23" s="11">
        <f>J23/K23-1</f>
        <v/>
      </c>
      <c r="M23" s="10" t="n">
        <v>70.70999999999999</v>
      </c>
      <c r="N23" s="10" t="n">
        <v>67.87</v>
      </c>
      <c r="O23" s="10" t="n">
        <v>68.60499999999993</v>
      </c>
      <c r="P23" s="10" t="n">
        <v>66.92749999999997</v>
      </c>
      <c r="Q23" s="11">
        <f>J23/P23-1</f>
        <v/>
      </c>
      <c r="R23" s="10" t="n">
        <v>72.11900000000013</v>
      </c>
      <c r="S23" s="10" t="n">
        <v>66.88650000000015</v>
      </c>
      <c r="T23" s="11">
        <f>P23/S23-1</f>
        <v/>
      </c>
      <c r="U23" s="10" t="n">
        <v>86.78</v>
      </c>
      <c r="V23" s="2" t="inlineStr">
        <is>
          <t>2026-08-07</t>
        </is>
      </c>
      <c r="W23" s="12" t="n">
        <v>37</v>
      </c>
      <c r="X23" s="13">
        <f>J23/U23-1</f>
        <v/>
      </c>
      <c r="Y23" s="2" t="inlineStr">
        <is>
          <t>2026-07-17</t>
        </is>
      </c>
      <c r="Z23" s="12" t="n">
        <v>15</v>
      </c>
      <c r="AA23" s="14" t="n">
        <v>0.4032988357050453</v>
      </c>
      <c r="AB23" s="15" t="n">
        <v>0.182852858992707</v>
      </c>
      <c r="AC23" s="16" t="n">
        <v>0.01341192486928211</v>
      </c>
      <c r="AD23" s="2" t="inlineStr">
        <is>
          <t>2026-06-30</t>
        </is>
      </c>
      <c r="AE23" s="15" t="n">
        <v>0.2804059095657363</v>
      </c>
      <c r="AF23" s="15" t="n">
        <v>0.01313236830323827</v>
      </c>
      <c r="AG23" s="17" t="n">
        <v>5.253812815860115</v>
      </c>
      <c r="AH23" s="12" t="n">
        <v>3</v>
      </c>
      <c r="AI23" s="18" t="n">
        <v>172818458.8125</v>
      </c>
      <c r="AJ23" s="18" t="n">
        <v>114051068.85</v>
      </c>
      <c r="AK23" s="19">
        <f>AI23/AJ23</f>
        <v/>
      </c>
      <c r="AL23" s="2" t="inlineStr">
        <is>
          <t>2026-09-29</t>
        </is>
      </c>
      <c r="AM23" s="15" t="n">
        <v>0.03307682949084478</v>
      </c>
      <c r="AN23" s="14" t="n">
        <v>0.7</v>
      </c>
      <c r="AO23" s="9" t="n">
        <v>0.7331641033298492</v>
      </c>
      <c r="AP23" s="16" t="n">
        <v>0.05732395620941142</v>
      </c>
      <c r="AQ23" s="16" t="n">
        <v>0.06483514254228527</v>
      </c>
      <c r="AR23" s="16" t="n">
        <v>0.08415903601614444</v>
      </c>
      <c r="AS23" s="19">
        <f>AP23/AQ23</f>
        <v/>
      </c>
      <c r="AT23" s="19">
        <f>AP23/AR23</f>
        <v/>
      </c>
      <c r="AU23" s="19">
        <f>MAX(0,MIN(1,(AK23-2)/4))</f>
        <v/>
      </c>
      <c r="AV23" s="19">
        <f>MAX(0,MIN(1,(AG23-3)/7))</f>
        <v/>
      </c>
      <c r="AW23" s="19">
        <f>MAX(0,MIN(1,(AA23-0.25)/0.75))</f>
        <v/>
      </c>
      <c r="AX23" s="19">
        <f>MAX(0,MIN(1,(AM23-0.05)/0.2))</f>
        <v/>
      </c>
      <c r="AY23" s="19">
        <f>MAX(0,MIN(1,(AN23-0.7)/0.3))</f>
        <v/>
      </c>
      <c r="AZ23" s="19">
        <f>MAX(0,MIN(1,(AO23-1.2)/(0.6-1.2)))</f>
        <v/>
      </c>
      <c r="BA23" s="19">
        <f>MAX(0,MIN(1,(ABS(Q23)-0.03)/(0-0.03)))</f>
        <v/>
      </c>
      <c r="BB23" s="19">
        <f>MAX(0,MIN(1,T23/0.03))</f>
        <v/>
      </c>
      <c r="BC23" s="19">
        <f>MAX(0,MIN(1,(-X23-0.3)/(0.15-0.3)))</f>
        <v/>
      </c>
      <c r="BD23" s="19">
        <f>0.5*IF(M23&gt;N23,(J23-N23)/(M23-N23),0.5)+0.5*(J23&gt;=P23)</f>
        <v/>
      </c>
      <c r="BE23" s="19">
        <f>MAX(0,MIN(1,(AS23-0.9)/(0.5-0.9)))</f>
        <v/>
      </c>
      <c r="BF23" s="19">
        <f>MAX(0,MIN(1,(AT23-0.7)/(0.3-0.7)))</f>
        <v/>
      </c>
      <c r="BG23" s="20">
        <f>100*(0.4*AU23+0.3*AV23+0.3*AW23)</f>
        <v/>
      </c>
      <c r="BH23" s="20">
        <f>100*(0.5*AX23+0.5*AY23)</f>
        <v/>
      </c>
      <c r="BI23" s="20">
        <f>100*(0.3*AZ23+0.25*BA23+0.2*BB23+0.1*BC23+0.15*BD23)</f>
        <v/>
      </c>
      <c r="BJ23" s="20">
        <f>100*(0.5*BE23+0.5*BF23)</f>
        <v/>
      </c>
      <c r="BK23" s="21">
        <f>0.25*BG23+0.2*BH23+0.3*BI23+0.25*BJ23</f>
        <v/>
      </c>
      <c r="BL23" s="3" t="inlineStr">
        <is>
          <t>C1b 熱錢：升浪成交額係之前 60 日嘅 1.52×（要 ≥2.0×）；C2 曾有10MA上升：近 30 日 MA10 最大 10 日升幅 +10.7%（2026-08-18；要 ≥5%），嗰時最後三值唔遞升、10 步升 70%（要 ≥70%）；C3 回落20MA：高位喺 37 日前；收市距 MA20 +3.9%</t>
        </is>
      </c>
      <c r="BM23" s="6" t="n"/>
      <c r="BN23" s="2" t="inlineStr"/>
      <c r="BO23" s="22" t="inlineStr">
        <is>
          <t>升浪由分析員推介（Rosenblatt 首選）帶動，唔係業績</t>
        </is>
      </c>
      <c r="BP23" s="23" t="n">
        <v>0</v>
      </c>
    </row>
  </sheetData>
  <autoFilter ref="A1:BP23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8" customWidth="1" min="4" max="4"/>
    <col width="26" customWidth="1" min="5" max="5"/>
    <col width="9" customWidth="1" min="6" max="6"/>
    <col width="9" customWidth="1" min="7" max="7"/>
    <col width="7" customWidth="1" min="8" max="8"/>
    <col width="7" customWidth="1" min="9" max="9"/>
    <col width="10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8" customWidth="1" min="21" max="21"/>
    <col width="30" customWidth="1" min="22" max="22"/>
    <col width="36" customWidth="1" min="23" max="23"/>
  </cols>
  <sheetData>
    <row r="1">
      <c r="A1" s="1" t="inlineStr">
        <is>
          <t>大型股（市值 ≥ $100 億）· 兩個梯隊 · 以綜合分數排序 · 2026-09-30 收市</t>
        </is>
      </c>
    </row>
    <row r="3" ht="42" customHeight="1">
      <c r="A3" s="4" t="inlineStr">
        <is>
          <t>梯隊</t>
        </is>
      </c>
      <c r="B3" s="4" t="inlineStr">
        <is>
          <t>頁內排名</t>
        </is>
      </c>
      <c r="C3" s="4" t="inlineStr">
        <is>
          <t>總表排名</t>
        </is>
      </c>
      <c r="D3" s="4" t="inlineStr">
        <is>
          <t>代號</t>
        </is>
      </c>
      <c r="E3" s="4" t="inlineStr">
        <is>
          <t>公司</t>
        </is>
      </c>
      <c r="F3" s="4" t="inlineStr">
        <is>
          <t>板塊</t>
        </is>
      </c>
      <c r="G3" s="4" t="inlineStr">
        <is>
          <t>收市價</t>
        </is>
      </c>
      <c r="H3" s="4" t="inlineStr">
        <is>
          <t>距MA20%</t>
        </is>
      </c>
      <c r="I3" s="4" t="inlineStr">
        <is>
          <t>距高位%</t>
        </is>
      </c>
      <c r="J3" s="4" t="inlineStr">
        <is>
          <t>事件日</t>
        </is>
      </c>
      <c r="K3" s="4" t="inlineStr">
        <is>
          <t>事件日升幅</t>
        </is>
      </c>
      <c r="L3" s="4" t="inlineStr">
        <is>
          <t>事件日量比</t>
        </is>
      </c>
      <c r="M3" s="4" t="inlineStr">
        <is>
          <t>升浪成交額比</t>
        </is>
      </c>
      <c r="N3" s="4" t="inlineStr">
        <is>
          <t>MA10 10日升幅</t>
        </is>
      </c>
      <c r="O3" s="4" t="inlineStr">
        <is>
          <t>ATR5/ATR20</t>
        </is>
      </c>
      <c r="P3" s="4" t="inlineStr">
        <is>
          <t>ATR5/升浪ATR</t>
        </is>
      </c>
      <c r="Q3" s="4" t="inlineStr">
        <is>
          <t>熱錢分數</t>
        </is>
      </c>
      <c r="R3" s="4" t="inlineStr">
        <is>
          <t>10MA分數</t>
        </is>
      </c>
      <c r="S3" s="4" t="inlineStr">
        <is>
          <t>回調質素</t>
        </is>
      </c>
      <c r="T3" s="4" t="inlineStr">
        <is>
          <t>波幅收窄</t>
        </is>
      </c>
      <c r="U3" s="4" t="inlineStr">
        <is>
          <t>綜合分數</t>
        </is>
      </c>
      <c r="V3" s="4" t="inlineStr">
        <is>
          <t>唔過嘅條件（梯隊2）</t>
        </is>
      </c>
      <c r="W3" s="4" t="inlineStr">
        <is>
          <t>審視標記</t>
        </is>
      </c>
    </row>
    <row r="4">
      <c r="A4" s="24">
        <f>'總表'!A22</f>
        <v/>
      </c>
      <c r="B4" s="25">
        <f>COUNTIFS($A$4:$A$4,A4,$U$4:$U$4,"&gt;"&amp;U4)+1</f>
        <v/>
      </c>
      <c r="C4" s="6">
        <f>'總表'!B22</f>
        <v/>
      </c>
      <c r="D4" s="27" t="inlineStr">
        <is>
          <t>AVTR</t>
        </is>
      </c>
      <c r="E4" s="2">
        <f>'總表'!D22</f>
        <v/>
      </c>
      <c r="F4" s="2">
        <f>'總表'!F22</f>
        <v/>
      </c>
      <c r="G4" s="28">
        <f>'總表'!J22</f>
        <v/>
      </c>
      <c r="H4" s="11">
        <f>'總表'!Q22</f>
        <v/>
      </c>
      <c r="I4" s="13">
        <f>'總表'!X22</f>
        <v/>
      </c>
      <c r="J4" s="2">
        <f>'總表'!AD22</f>
        <v/>
      </c>
      <c r="K4" s="13">
        <f>'總表'!AE22</f>
        <v/>
      </c>
      <c r="L4" s="20">
        <f>'總表'!AG22</f>
        <v/>
      </c>
      <c r="M4" s="19">
        <f>'總表'!AK22</f>
        <v/>
      </c>
      <c r="N4" s="13">
        <f>'總表'!AM22</f>
        <v/>
      </c>
      <c r="O4" s="19">
        <f>'總表'!AS22</f>
        <v/>
      </c>
      <c r="P4" s="19">
        <f>'總表'!AT22</f>
        <v/>
      </c>
      <c r="Q4" s="20">
        <f>'總表'!BG22</f>
        <v/>
      </c>
      <c r="R4" s="20">
        <f>'總表'!BH22</f>
        <v/>
      </c>
      <c r="S4" s="20">
        <f>'總表'!BI22</f>
        <v/>
      </c>
      <c r="T4" s="20">
        <f>'總表'!BJ22</f>
        <v/>
      </c>
      <c r="U4" s="21">
        <f>'總表'!BK22</f>
        <v/>
      </c>
      <c r="V4" s="3">
        <f>'總表'!BL22</f>
        <v/>
      </c>
      <c r="W4" s="3">
        <f>'總表'!BO22</f>
        <v/>
      </c>
    </row>
  </sheetData>
  <autoFilter ref="A3:W4"/>
  <hyperlinks>
    <hyperlink xmlns:r="http://schemas.openxmlformats.org/officeDocument/2006/relationships" ref="D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8" customWidth="1" min="4" max="4"/>
    <col width="26" customWidth="1" min="5" max="5"/>
    <col width="9" customWidth="1" min="6" max="6"/>
    <col width="9" customWidth="1" min="7" max="7"/>
    <col width="7" customWidth="1" min="8" max="8"/>
    <col width="7" customWidth="1" min="9" max="9"/>
    <col width="10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8" customWidth="1" min="21" max="21"/>
    <col width="30" customWidth="1" min="22" max="22"/>
    <col width="36" customWidth="1" min="23" max="23"/>
  </cols>
  <sheetData>
    <row r="1">
      <c r="A1" s="1" t="inlineStr">
        <is>
          <t>中型股（市值 $20–100 億）· 兩個梯隊 · 以綜合分數排序 · 2026-09-30 收市</t>
        </is>
      </c>
    </row>
    <row r="3" ht="42" customHeight="1">
      <c r="A3" s="4" t="inlineStr">
        <is>
          <t>梯隊</t>
        </is>
      </c>
      <c r="B3" s="4" t="inlineStr">
        <is>
          <t>頁內排名</t>
        </is>
      </c>
      <c r="C3" s="4" t="inlineStr">
        <is>
          <t>總表排名</t>
        </is>
      </c>
      <c r="D3" s="4" t="inlineStr">
        <is>
          <t>代號</t>
        </is>
      </c>
      <c r="E3" s="4" t="inlineStr">
        <is>
          <t>公司</t>
        </is>
      </c>
      <c r="F3" s="4" t="inlineStr">
        <is>
          <t>板塊</t>
        </is>
      </c>
      <c r="G3" s="4" t="inlineStr">
        <is>
          <t>收市價</t>
        </is>
      </c>
      <c r="H3" s="4" t="inlineStr">
        <is>
          <t>距MA20%</t>
        </is>
      </c>
      <c r="I3" s="4" t="inlineStr">
        <is>
          <t>距高位%</t>
        </is>
      </c>
      <c r="J3" s="4" t="inlineStr">
        <is>
          <t>事件日</t>
        </is>
      </c>
      <c r="K3" s="4" t="inlineStr">
        <is>
          <t>事件日升幅</t>
        </is>
      </c>
      <c r="L3" s="4" t="inlineStr">
        <is>
          <t>事件日量比</t>
        </is>
      </c>
      <c r="M3" s="4" t="inlineStr">
        <is>
          <t>升浪成交額比</t>
        </is>
      </c>
      <c r="N3" s="4" t="inlineStr">
        <is>
          <t>MA10 10日升幅</t>
        </is>
      </c>
      <c r="O3" s="4" t="inlineStr">
        <is>
          <t>ATR5/ATR20</t>
        </is>
      </c>
      <c r="P3" s="4" t="inlineStr">
        <is>
          <t>ATR5/升浪ATR</t>
        </is>
      </c>
      <c r="Q3" s="4" t="inlineStr">
        <is>
          <t>熱錢分數</t>
        </is>
      </c>
      <c r="R3" s="4" t="inlineStr">
        <is>
          <t>10MA分數</t>
        </is>
      </c>
      <c r="S3" s="4" t="inlineStr">
        <is>
          <t>回調質素</t>
        </is>
      </c>
      <c r="T3" s="4" t="inlineStr">
        <is>
          <t>波幅收窄</t>
        </is>
      </c>
      <c r="U3" s="4" t="inlineStr">
        <is>
          <t>綜合分數</t>
        </is>
      </c>
      <c r="V3" s="4" t="inlineStr">
        <is>
          <t>唔過嘅條件（梯隊2）</t>
        </is>
      </c>
      <c r="W3" s="4" t="inlineStr">
        <is>
          <t>審視標記</t>
        </is>
      </c>
    </row>
    <row r="4">
      <c r="A4" s="24">
        <f>'總表'!A8</f>
        <v/>
      </c>
      <c r="B4" s="25">
        <f>COUNTIFS($A$4:$A$11,A4,$U$4:$U$11,"&gt;"&amp;U4)+1</f>
        <v/>
      </c>
      <c r="C4" s="6">
        <f>'總表'!B8</f>
        <v/>
      </c>
      <c r="D4" s="27" t="inlineStr">
        <is>
          <t>HAE</t>
        </is>
      </c>
      <c r="E4" s="2">
        <f>'總表'!D8</f>
        <v/>
      </c>
      <c r="F4" s="2">
        <f>'總表'!F8</f>
        <v/>
      </c>
      <c r="G4" s="28">
        <f>'總表'!J8</f>
        <v/>
      </c>
      <c r="H4" s="11">
        <f>'總表'!Q8</f>
        <v/>
      </c>
      <c r="I4" s="13">
        <f>'總表'!X8</f>
        <v/>
      </c>
      <c r="J4" s="2">
        <f>'總表'!AD8</f>
        <v/>
      </c>
      <c r="K4" s="13">
        <f>'總表'!AE8</f>
        <v/>
      </c>
      <c r="L4" s="20">
        <f>'總表'!AG8</f>
        <v/>
      </c>
      <c r="M4" s="19">
        <f>'總表'!AK8</f>
        <v/>
      </c>
      <c r="N4" s="13">
        <f>'總表'!AM8</f>
        <v/>
      </c>
      <c r="O4" s="19">
        <f>'總表'!AS8</f>
        <v/>
      </c>
      <c r="P4" s="19">
        <f>'總表'!AT8</f>
        <v/>
      </c>
      <c r="Q4" s="20">
        <f>'總表'!BG8</f>
        <v/>
      </c>
      <c r="R4" s="20">
        <f>'總表'!BH8</f>
        <v/>
      </c>
      <c r="S4" s="20">
        <f>'總表'!BI8</f>
        <v/>
      </c>
      <c r="T4" s="20">
        <f>'總表'!BJ8</f>
        <v/>
      </c>
      <c r="U4" s="21">
        <f>'總表'!BK8</f>
        <v/>
      </c>
      <c r="V4" s="3">
        <f>'總表'!BL8</f>
        <v/>
      </c>
      <c r="W4" s="3">
        <f>'總表'!BO8</f>
        <v/>
      </c>
    </row>
    <row r="5">
      <c r="A5" s="24">
        <f>'總表'!A9</f>
        <v/>
      </c>
      <c r="B5" s="25">
        <f>COUNTIFS($A$4:$A$11,A5,$U$4:$U$11,"&gt;"&amp;U5)+1</f>
        <v/>
      </c>
      <c r="C5" s="6">
        <f>'總表'!B9</f>
        <v/>
      </c>
      <c r="D5" s="7" t="inlineStr">
        <is>
          <t>ASST</t>
        </is>
      </c>
      <c r="E5" s="2">
        <f>'總表'!D9</f>
        <v/>
      </c>
      <c r="F5" s="2">
        <f>'總表'!F9</f>
        <v/>
      </c>
      <c r="G5" s="28">
        <f>'總表'!J9</f>
        <v/>
      </c>
      <c r="H5" s="11">
        <f>'總表'!Q9</f>
        <v/>
      </c>
      <c r="I5" s="13">
        <f>'總表'!X9</f>
        <v/>
      </c>
      <c r="J5" s="2">
        <f>'總表'!AD9</f>
        <v/>
      </c>
      <c r="K5" s="13">
        <f>'總表'!AE9</f>
        <v/>
      </c>
      <c r="L5" s="20">
        <f>'總表'!AG9</f>
        <v/>
      </c>
      <c r="M5" s="19">
        <f>'總表'!AK9</f>
        <v/>
      </c>
      <c r="N5" s="13">
        <f>'總表'!AM9</f>
        <v/>
      </c>
      <c r="O5" s="19">
        <f>'總表'!AS9</f>
        <v/>
      </c>
      <c r="P5" s="19">
        <f>'總表'!AT9</f>
        <v/>
      </c>
      <c r="Q5" s="20">
        <f>'總表'!BG9</f>
        <v/>
      </c>
      <c r="R5" s="20">
        <f>'總表'!BH9</f>
        <v/>
      </c>
      <c r="S5" s="20">
        <f>'總表'!BI9</f>
        <v/>
      </c>
      <c r="T5" s="20">
        <f>'總表'!BJ9</f>
        <v/>
      </c>
      <c r="U5" s="21">
        <f>'總表'!BK9</f>
        <v/>
      </c>
      <c r="V5" s="3">
        <f>'總表'!BL9</f>
        <v/>
      </c>
      <c r="W5" s="3">
        <f>'總表'!BO9</f>
        <v/>
      </c>
    </row>
    <row r="6">
      <c r="A6" s="24">
        <f>'總表'!A12</f>
        <v/>
      </c>
      <c r="B6" s="25">
        <f>COUNTIFS($A$4:$A$11,A6,$U$4:$U$11,"&gt;"&amp;U6)+1</f>
        <v/>
      </c>
      <c r="C6" s="6">
        <f>'總表'!B12</f>
        <v/>
      </c>
      <c r="D6" s="7" t="inlineStr">
        <is>
          <t>PURR</t>
        </is>
      </c>
      <c r="E6" s="2">
        <f>'總表'!D12</f>
        <v/>
      </c>
      <c r="F6" s="2">
        <f>'總表'!F12</f>
        <v/>
      </c>
      <c r="G6" s="28">
        <f>'總表'!J12</f>
        <v/>
      </c>
      <c r="H6" s="11">
        <f>'總表'!Q12</f>
        <v/>
      </c>
      <c r="I6" s="13">
        <f>'總表'!X12</f>
        <v/>
      </c>
      <c r="J6" s="2">
        <f>'總表'!AD12</f>
        <v/>
      </c>
      <c r="K6" s="13">
        <f>'總表'!AE12</f>
        <v/>
      </c>
      <c r="L6" s="20">
        <f>'總表'!AG12</f>
        <v/>
      </c>
      <c r="M6" s="19">
        <f>'總表'!AK12</f>
        <v/>
      </c>
      <c r="N6" s="13">
        <f>'總表'!AM12</f>
        <v/>
      </c>
      <c r="O6" s="19">
        <f>'總表'!AS12</f>
        <v/>
      </c>
      <c r="P6" s="19">
        <f>'總表'!AT12</f>
        <v/>
      </c>
      <c r="Q6" s="20">
        <f>'總表'!BG12</f>
        <v/>
      </c>
      <c r="R6" s="20">
        <f>'總表'!BH12</f>
        <v/>
      </c>
      <c r="S6" s="20">
        <f>'總表'!BI12</f>
        <v/>
      </c>
      <c r="T6" s="20">
        <f>'總表'!BJ12</f>
        <v/>
      </c>
      <c r="U6" s="21">
        <f>'總表'!BK12</f>
        <v/>
      </c>
      <c r="V6" s="3">
        <f>'總表'!BL12</f>
        <v/>
      </c>
      <c r="W6" s="3">
        <f>'總表'!BO12</f>
        <v/>
      </c>
    </row>
    <row r="7">
      <c r="A7" s="24">
        <f>'總表'!A14</f>
        <v/>
      </c>
      <c r="B7" s="25">
        <f>COUNTIFS($A$4:$A$11,A7,$U$4:$U$11,"&gt;"&amp;U7)+1</f>
        <v/>
      </c>
      <c r="C7" s="6">
        <f>'總表'!B14</f>
        <v/>
      </c>
      <c r="D7" s="27" t="inlineStr">
        <is>
          <t>RNG</t>
        </is>
      </c>
      <c r="E7" s="2">
        <f>'總表'!D14</f>
        <v/>
      </c>
      <c r="F7" s="2">
        <f>'總表'!F14</f>
        <v/>
      </c>
      <c r="G7" s="28">
        <f>'總表'!J14</f>
        <v/>
      </c>
      <c r="H7" s="11">
        <f>'總表'!Q14</f>
        <v/>
      </c>
      <c r="I7" s="13">
        <f>'總表'!X14</f>
        <v/>
      </c>
      <c r="J7" s="2">
        <f>'總表'!AD14</f>
        <v/>
      </c>
      <c r="K7" s="13">
        <f>'總表'!AE14</f>
        <v/>
      </c>
      <c r="L7" s="20">
        <f>'總表'!AG14</f>
        <v/>
      </c>
      <c r="M7" s="19">
        <f>'總表'!AK14</f>
        <v/>
      </c>
      <c r="N7" s="13">
        <f>'總表'!AM14</f>
        <v/>
      </c>
      <c r="O7" s="19">
        <f>'總表'!AS14</f>
        <v/>
      </c>
      <c r="P7" s="19">
        <f>'總表'!AT14</f>
        <v/>
      </c>
      <c r="Q7" s="20">
        <f>'總表'!BG14</f>
        <v/>
      </c>
      <c r="R7" s="20">
        <f>'總表'!BH14</f>
        <v/>
      </c>
      <c r="S7" s="20">
        <f>'總表'!BI14</f>
        <v/>
      </c>
      <c r="T7" s="20">
        <f>'總表'!BJ14</f>
        <v/>
      </c>
      <c r="U7" s="21">
        <f>'總表'!BK14</f>
        <v/>
      </c>
      <c r="V7" s="3">
        <f>'總表'!BL14</f>
        <v/>
      </c>
      <c r="W7" s="3">
        <f>'總表'!BO14</f>
        <v/>
      </c>
    </row>
    <row r="8">
      <c r="A8" s="24">
        <f>'總表'!A15</f>
        <v/>
      </c>
      <c r="B8" s="25">
        <f>COUNTIFS($A$4:$A$11,A8,$U$4:$U$11,"&gt;"&amp;U8)+1</f>
        <v/>
      </c>
      <c r="C8" s="6">
        <f>'總表'!B15</f>
        <v/>
      </c>
      <c r="D8" s="27" t="inlineStr">
        <is>
          <t>ASO</t>
        </is>
      </c>
      <c r="E8" s="2">
        <f>'總表'!D15</f>
        <v/>
      </c>
      <c r="F8" s="2">
        <f>'總表'!F15</f>
        <v/>
      </c>
      <c r="G8" s="28">
        <f>'總表'!J15</f>
        <v/>
      </c>
      <c r="H8" s="11">
        <f>'總表'!Q15</f>
        <v/>
      </c>
      <c r="I8" s="13">
        <f>'總表'!X15</f>
        <v/>
      </c>
      <c r="J8" s="2">
        <f>'總表'!AD15</f>
        <v/>
      </c>
      <c r="K8" s="13">
        <f>'總表'!AE15</f>
        <v/>
      </c>
      <c r="L8" s="20">
        <f>'總表'!AG15</f>
        <v/>
      </c>
      <c r="M8" s="19">
        <f>'總表'!AK15</f>
        <v/>
      </c>
      <c r="N8" s="13">
        <f>'總表'!AM15</f>
        <v/>
      </c>
      <c r="O8" s="19">
        <f>'總表'!AS15</f>
        <v/>
      </c>
      <c r="P8" s="19">
        <f>'總表'!AT15</f>
        <v/>
      </c>
      <c r="Q8" s="20">
        <f>'總表'!BG15</f>
        <v/>
      </c>
      <c r="R8" s="20">
        <f>'總表'!BH15</f>
        <v/>
      </c>
      <c r="S8" s="20">
        <f>'總表'!BI15</f>
        <v/>
      </c>
      <c r="T8" s="20">
        <f>'總表'!BJ15</f>
        <v/>
      </c>
      <c r="U8" s="21">
        <f>'總表'!BK15</f>
        <v/>
      </c>
      <c r="V8" s="3">
        <f>'總表'!BL15</f>
        <v/>
      </c>
      <c r="W8" s="3">
        <f>'總表'!BO15</f>
        <v/>
      </c>
    </row>
    <row r="9">
      <c r="A9" s="24">
        <f>'總表'!A17</f>
        <v/>
      </c>
      <c r="B9" s="25">
        <f>COUNTIFS($A$4:$A$11,A9,$U$4:$U$11,"&gt;"&amp;U9)+1</f>
        <v/>
      </c>
      <c r="C9" s="6">
        <f>'總表'!B17</f>
        <v/>
      </c>
      <c r="D9" s="7" t="inlineStr">
        <is>
          <t>PLSE</t>
        </is>
      </c>
      <c r="E9" s="2">
        <f>'總表'!D17</f>
        <v/>
      </c>
      <c r="F9" s="2">
        <f>'總表'!F17</f>
        <v/>
      </c>
      <c r="G9" s="28">
        <f>'總表'!J17</f>
        <v/>
      </c>
      <c r="H9" s="11">
        <f>'總表'!Q17</f>
        <v/>
      </c>
      <c r="I9" s="13">
        <f>'總表'!X17</f>
        <v/>
      </c>
      <c r="J9" s="2">
        <f>'總表'!AD17</f>
        <v/>
      </c>
      <c r="K9" s="13">
        <f>'總表'!AE17</f>
        <v/>
      </c>
      <c r="L9" s="20">
        <f>'總表'!AG17</f>
        <v/>
      </c>
      <c r="M9" s="19">
        <f>'總表'!AK17</f>
        <v/>
      </c>
      <c r="N9" s="13">
        <f>'總表'!AM17</f>
        <v/>
      </c>
      <c r="O9" s="19">
        <f>'總表'!AS17</f>
        <v/>
      </c>
      <c r="P9" s="19">
        <f>'總表'!AT17</f>
        <v/>
      </c>
      <c r="Q9" s="20">
        <f>'總表'!BG17</f>
        <v/>
      </c>
      <c r="R9" s="20">
        <f>'總表'!BH17</f>
        <v/>
      </c>
      <c r="S9" s="20">
        <f>'總表'!BI17</f>
        <v/>
      </c>
      <c r="T9" s="20">
        <f>'總表'!BJ17</f>
        <v/>
      </c>
      <c r="U9" s="21">
        <f>'總表'!BK17</f>
        <v/>
      </c>
      <c r="V9" s="3">
        <f>'總表'!BL17</f>
        <v/>
      </c>
      <c r="W9" s="3">
        <f>'總表'!BO17</f>
        <v/>
      </c>
    </row>
    <row r="10">
      <c r="A10" s="24">
        <f>'總表'!A20</f>
        <v/>
      </c>
      <c r="B10" s="25">
        <f>COUNTIFS($A$4:$A$11,A10,$U$4:$U$11,"&gt;"&amp;U10)+1</f>
        <v/>
      </c>
      <c r="C10" s="6">
        <f>'總表'!B20</f>
        <v/>
      </c>
      <c r="D10" s="27" t="inlineStr">
        <is>
          <t>KN</t>
        </is>
      </c>
      <c r="E10" s="2">
        <f>'總表'!D20</f>
        <v/>
      </c>
      <c r="F10" s="2">
        <f>'總表'!F20</f>
        <v/>
      </c>
      <c r="G10" s="28">
        <f>'總表'!J20</f>
        <v/>
      </c>
      <c r="H10" s="11">
        <f>'總表'!Q20</f>
        <v/>
      </c>
      <c r="I10" s="13">
        <f>'總表'!X20</f>
        <v/>
      </c>
      <c r="J10" s="2">
        <f>'總表'!AD20</f>
        <v/>
      </c>
      <c r="K10" s="13">
        <f>'總表'!AE20</f>
        <v/>
      </c>
      <c r="L10" s="20">
        <f>'總表'!AG20</f>
        <v/>
      </c>
      <c r="M10" s="19">
        <f>'總表'!AK20</f>
        <v/>
      </c>
      <c r="N10" s="13">
        <f>'總表'!AM20</f>
        <v/>
      </c>
      <c r="O10" s="19">
        <f>'總表'!AS20</f>
        <v/>
      </c>
      <c r="P10" s="19">
        <f>'總表'!AT20</f>
        <v/>
      </c>
      <c r="Q10" s="20">
        <f>'總表'!BG20</f>
        <v/>
      </c>
      <c r="R10" s="20">
        <f>'總表'!BH20</f>
        <v/>
      </c>
      <c r="S10" s="20">
        <f>'總表'!BI20</f>
        <v/>
      </c>
      <c r="T10" s="20">
        <f>'總表'!BJ20</f>
        <v/>
      </c>
      <c r="U10" s="21">
        <f>'總表'!BK20</f>
        <v/>
      </c>
      <c r="V10" s="3">
        <f>'總表'!BL20</f>
        <v/>
      </c>
      <c r="W10" s="3">
        <f>'總表'!BO20</f>
        <v/>
      </c>
    </row>
    <row r="11">
      <c r="A11" s="24">
        <f>'總表'!A23</f>
        <v/>
      </c>
      <c r="B11" s="25">
        <f>COUNTIFS($A$4:$A$11,A11,$U$4:$U$11,"&gt;"&amp;U11)+1</f>
        <v/>
      </c>
      <c r="C11" s="6">
        <f>'總表'!B23</f>
        <v/>
      </c>
      <c r="D11" s="7" t="inlineStr">
        <is>
          <t>AMBA</t>
        </is>
      </c>
      <c r="E11" s="2">
        <f>'總表'!D23</f>
        <v/>
      </c>
      <c r="F11" s="2">
        <f>'總表'!F23</f>
        <v/>
      </c>
      <c r="G11" s="28">
        <f>'總表'!J23</f>
        <v/>
      </c>
      <c r="H11" s="11">
        <f>'總表'!Q23</f>
        <v/>
      </c>
      <c r="I11" s="13">
        <f>'總表'!X23</f>
        <v/>
      </c>
      <c r="J11" s="2">
        <f>'總表'!AD23</f>
        <v/>
      </c>
      <c r="K11" s="13">
        <f>'總表'!AE23</f>
        <v/>
      </c>
      <c r="L11" s="20">
        <f>'總表'!AG23</f>
        <v/>
      </c>
      <c r="M11" s="19">
        <f>'總表'!AK23</f>
        <v/>
      </c>
      <c r="N11" s="13">
        <f>'總表'!AM23</f>
        <v/>
      </c>
      <c r="O11" s="19">
        <f>'總表'!AS23</f>
        <v/>
      </c>
      <c r="P11" s="19">
        <f>'總表'!AT23</f>
        <v/>
      </c>
      <c r="Q11" s="20">
        <f>'總表'!BG23</f>
        <v/>
      </c>
      <c r="R11" s="20">
        <f>'總表'!BH23</f>
        <v/>
      </c>
      <c r="S11" s="20">
        <f>'總表'!BI23</f>
        <v/>
      </c>
      <c r="T11" s="20">
        <f>'總表'!BJ23</f>
        <v/>
      </c>
      <c r="U11" s="21">
        <f>'總表'!BK23</f>
        <v/>
      </c>
      <c r="V11" s="3">
        <f>'總表'!BL23</f>
        <v/>
      </c>
      <c r="W11" s="3">
        <f>'總表'!BO23</f>
        <v/>
      </c>
    </row>
  </sheetData>
  <autoFilter ref="A3:W11"/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  <hyperlink xmlns:r="http://schemas.openxmlformats.org/officeDocument/2006/relationships" ref="D7" r:id="rId4"/>
    <hyperlink xmlns:r="http://schemas.openxmlformats.org/officeDocument/2006/relationships" ref="D8" r:id="rId5"/>
    <hyperlink xmlns:r="http://schemas.openxmlformats.org/officeDocument/2006/relationships" ref="D9" r:id="rId6"/>
    <hyperlink xmlns:r="http://schemas.openxmlformats.org/officeDocument/2006/relationships" ref="D10" r:id="rId7"/>
    <hyperlink xmlns:r="http://schemas.openxmlformats.org/officeDocument/2006/relationships" ref="D11" r:id="rId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8" customWidth="1" min="4" max="4"/>
    <col width="26" customWidth="1" min="5" max="5"/>
    <col width="9" customWidth="1" min="6" max="6"/>
    <col width="9" customWidth="1" min="7" max="7"/>
    <col width="7" customWidth="1" min="8" max="8"/>
    <col width="7" customWidth="1" min="9" max="9"/>
    <col width="10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8" customWidth="1" min="21" max="21"/>
    <col width="30" customWidth="1" min="22" max="22"/>
    <col width="36" customWidth="1" min="23" max="23"/>
  </cols>
  <sheetData>
    <row r="1">
      <c r="A1" s="1" t="inlineStr">
        <is>
          <t>小型股（市值 &lt; $20 億）· 兩個梯隊 · 以綜合分數排序 · 2026-09-30 收市</t>
        </is>
      </c>
    </row>
    <row r="3" ht="42" customHeight="1">
      <c r="A3" s="4" t="inlineStr">
        <is>
          <t>梯隊</t>
        </is>
      </c>
      <c r="B3" s="4" t="inlineStr">
        <is>
          <t>頁內排名</t>
        </is>
      </c>
      <c r="C3" s="4" t="inlineStr">
        <is>
          <t>總表排名</t>
        </is>
      </c>
      <c r="D3" s="4" t="inlineStr">
        <is>
          <t>代號</t>
        </is>
      </c>
      <c r="E3" s="4" t="inlineStr">
        <is>
          <t>公司</t>
        </is>
      </c>
      <c r="F3" s="4" t="inlineStr">
        <is>
          <t>板塊</t>
        </is>
      </c>
      <c r="G3" s="4" t="inlineStr">
        <is>
          <t>收市價</t>
        </is>
      </c>
      <c r="H3" s="4" t="inlineStr">
        <is>
          <t>距MA20%</t>
        </is>
      </c>
      <c r="I3" s="4" t="inlineStr">
        <is>
          <t>距高位%</t>
        </is>
      </c>
      <c r="J3" s="4" t="inlineStr">
        <is>
          <t>事件日</t>
        </is>
      </c>
      <c r="K3" s="4" t="inlineStr">
        <is>
          <t>事件日升幅</t>
        </is>
      </c>
      <c r="L3" s="4" t="inlineStr">
        <is>
          <t>事件日量比</t>
        </is>
      </c>
      <c r="M3" s="4" t="inlineStr">
        <is>
          <t>升浪成交額比</t>
        </is>
      </c>
      <c r="N3" s="4" t="inlineStr">
        <is>
          <t>MA10 10日升幅</t>
        </is>
      </c>
      <c r="O3" s="4" t="inlineStr">
        <is>
          <t>ATR5/ATR20</t>
        </is>
      </c>
      <c r="P3" s="4" t="inlineStr">
        <is>
          <t>ATR5/升浪ATR</t>
        </is>
      </c>
      <c r="Q3" s="4" t="inlineStr">
        <is>
          <t>熱錢分數</t>
        </is>
      </c>
      <c r="R3" s="4" t="inlineStr">
        <is>
          <t>10MA分數</t>
        </is>
      </c>
      <c r="S3" s="4" t="inlineStr">
        <is>
          <t>回調質素</t>
        </is>
      </c>
      <c r="T3" s="4" t="inlineStr">
        <is>
          <t>波幅收窄</t>
        </is>
      </c>
      <c r="U3" s="4" t="inlineStr">
        <is>
          <t>綜合分數</t>
        </is>
      </c>
      <c r="V3" s="4" t="inlineStr">
        <is>
          <t>唔過嘅條件（梯隊2）</t>
        </is>
      </c>
      <c r="W3" s="4" t="inlineStr">
        <is>
          <t>審視標記</t>
        </is>
      </c>
    </row>
    <row r="4">
      <c r="A4" s="5">
        <f>'總表'!A2</f>
        <v/>
      </c>
      <c r="B4" s="6">
        <f>COUNTIFS($A$4:$A$16,A4,$U$4:$U$16,"&gt;"&amp;U4)+1</f>
        <v/>
      </c>
      <c r="C4" s="6">
        <f>'總表'!B2</f>
        <v/>
      </c>
      <c r="D4" s="7" t="inlineStr">
        <is>
          <t>RLGT</t>
        </is>
      </c>
      <c r="E4" s="2">
        <f>'總表'!D2</f>
        <v/>
      </c>
      <c r="F4" s="2">
        <f>'總表'!F2</f>
        <v/>
      </c>
      <c r="G4" s="28">
        <f>'總表'!J2</f>
        <v/>
      </c>
      <c r="H4" s="11">
        <f>'總表'!Q2</f>
        <v/>
      </c>
      <c r="I4" s="13">
        <f>'總表'!X2</f>
        <v/>
      </c>
      <c r="J4" s="2">
        <f>'總表'!AD2</f>
        <v/>
      </c>
      <c r="K4" s="13">
        <f>'總表'!AE2</f>
        <v/>
      </c>
      <c r="L4" s="20">
        <f>'總表'!AG2</f>
        <v/>
      </c>
      <c r="M4" s="19">
        <f>'總表'!AK2</f>
        <v/>
      </c>
      <c r="N4" s="13">
        <f>'總表'!AM2</f>
        <v/>
      </c>
      <c r="O4" s="19">
        <f>'總表'!AS2</f>
        <v/>
      </c>
      <c r="P4" s="19">
        <f>'總表'!AT2</f>
        <v/>
      </c>
      <c r="Q4" s="20">
        <f>'總表'!BG2</f>
        <v/>
      </c>
      <c r="R4" s="20">
        <f>'總表'!BH2</f>
        <v/>
      </c>
      <c r="S4" s="20">
        <f>'總表'!BI2</f>
        <v/>
      </c>
      <c r="T4" s="20">
        <f>'總表'!BJ2</f>
        <v/>
      </c>
      <c r="U4" s="21">
        <f>'總表'!BK2</f>
        <v/>
      </c>
      <c r="V4" s="3">
        <f>'總表'!BL2</f>
        <v/>
      </c>
      <c r="W4" s="3">
        <f>'總表'!BO2</f>
        <v/>
      </c>
    </row>
    <row r="5">
      <c r="A5" s="5">
        <f>'總表'!A3</f>
        <v/>
      </c>
      <c r="B5" s="6">
        <f>COUNTIFS($A$4:$A$16,A5,$U$4:$U$16,"&gt;"&amp;U5)+1</f>
        <v/>
      </c>
      <c r="C5" s="6">
        <f>'總表'!B3</f>
        <v/>
      </c>
      <c r="D5" s="7" t="inlineStr">
        <is>
          <t>CSR</t>
        </is>
      </c>
      <c r="E5" s="2">
        <f>'總表'!D3</f>
        <v/>
      </c>
      <c r="F5" s="2">
        <f>'總表'!F3</f>
        <v/>
      </c>
      <c r="G5" s="28">
        <f>'總表'!J3</f>
        <v/>
      </c>
      <c r="H5" s="11">
        <f>'總表'!Q3</f>
        <v/>
      </c>
      <c r="I5" s="13">
        <f>'總表'!X3</f>
        <v/>
      </c>
      <c r="J5" s="2">
        <f>'總表'!AD3</f>
        <v/>
      </c>
      <c r="K5" s="13">
        <f>'總表'!AE3</f>
        <v/>
      </c>
      <c r="L5" s="20">
        <f>'總表'!AG3</f>
        <v/>
      </c>
      <c r="M5" s="19">
        <f>'總表'!AK3</f>
        <v/>
      </c>
      <c r="N5" s="13">
        <f>'總表'!AM3</f>
        <v/>
      </c>
      <c r="O5" s="19">
        <f>'總表'!AS3</f>
        <v/>
      </c>
      <c r="P5" s="19">
        <f>'總表'!AT3</f>
        <v/>
      </c>
      <c r="Q5" s="20">
        <f>'總表'!BG3</f>
        <v/>
      </c>
      <c r="R5" s="20">
        <f>'總表'!BH3</f>
        <v/>
      </c>
      <c r="S5" s="20">
        <f>'總表'!BI3</f>
        <v/>
      </c>
      <c r="T5" s="20">
        <f>'總表'!BJ3</f>
        <v/>
      </c>
      <c r="U5" s="21">
        <f>'總表'!BK3</f>
        <v/>
      </c>
      <c r="V5" s="3">
        <f>'總表'!BL3</f>
        <v/>
      </c>
      <c r="W5" s="3">
        <f>'總表'!BO3</f>
        <v/>
      </c>
    </row>
    <row r="6">
      <c r="A6" s="5">
        <f>'總表'!A4</f>
        <v/>
      </c>
      <c r="B6" s="6">
        <f>COUNTIFS($A$4:$A$16,A6,$U$4:$U$16,"&gt;"&amp;U6)+1</f>
        <v/>
      </c>
      <c r="C6" s="6">
        <f>'總表'!B4</f>
        <v/>
      </c>
      <c r="D6" s="7" t="inlineStr">
        <is>
          <t>BSVN</t>
        </is>
      </c>
      <c r="E6" s="2">
        <f>'總表'!D4</f>
        <v/>
      </c>
      <c r="F6" s="2">
        <f>'總表'!F4</f>
        <v/>
      </c>
      <c r="G6" s="28">
        <f>'總表'!J4</f>
        <v/>
      </c>
      <c r="H6" s="11">
        <f>'總表'!Q4</f>
        <v/>
      </c>
      <c r="I6" s="13">
        <f>'總表'!X4</f>
        <v/>
      </c>
      <c r="J6" s="2">
        <f>'總表'!AD4</f>
        <v/>
      </c>
      <c r="K6" s="13">
        <f>'總表'!AE4</f>
        <v/>
      </c>
      <c r="L6" s="20">
        <f>'總表'!AG4</f>
        <v/>
      </c>
      <c r="M6" s="19">
        <f>'總表'!AK4</f>
        <v/>
      </c>
      <c r="N6" s="13">
        <f>'總表'!AM4</f>
        <v/>
      </c>
      <c r="O6" s="19">
        <f>'總表'!AS4</f>
        <v/>
      </c>
      <c r="P6" s="19">
        <f>'總表'!AT4</f>
        <v/>
      </c>
      <c r="Q6" s="20">
        <f>'總表'!BG4</f>
        <v/>
      </c>
      <c r="R6" s="20">
        <f>'總表'!BH4</f>
        <v/>
      </c>
      <c r="S6" s="20">
        <f>'總表'!BI4</f>
        <v/>
      </c>
      <c r="T6" s="20">
        <f>'總表'!BJ4</f>
        <v/>
      </c>
      <c r="U6" s="21">
        <f>'總表'!BK4</f>
        <v/>
      </c>
      <c r="V6" s="3">
        <f>'總表'!BL4</f>
        <v/>
      </c>
      <c r="W6" s="3">
        <f>'總表'!BO4</f>
        <v/>
      </c>
    </row>
    <row r="7">
      <c r="A7" s="24">
        <f>'總表'!A5</f>
        <v/>
      </c>
      <c r="B7" s="25">
        <f>COUNTIFS($A$4:$A$16,A7,$U$4:$U$16,"&gt;"&amp;U7)+1</f>
        <v/>
      </c>
      <c r="C7" s="6">
        <f>'總表'!B5</f>
        <v/>
      </c>
      <c r="D7" s="7" t="inlineStr">
        <is>
          <t>CRSR</t>
        </is>
      </c>
      <c r="E7" s="2">
        <f>'總表'!D5</f>
        <v/>
      </c>
      <c r="F7" s="2">
        <f>'總表'!F5</f>
        <v/>
      </c>
      <c r="G7" s="28">
        <f>'總表'!J5</f>
        <v/>
      </c>
      <c r="H7" s="11">
        <f>'總表'!Q5</f>
        <v/>
      </c>
      <c r="I7" s="13">
        <f>'總表'!X5</f>
        <v/>
      </c>
      <c r="J7" s="2">
        <f>'總表'!AD5</f>
        <v/>
      </c>
      <c r="K7" s="13">
        <f>'總表'!AE5</f>
        <v/>
      </c>
      <c r="L7" s="20">
        <f>'總表'!AG5</f>
        <v/>
      </c>
      <c r="M7" s="19">
        <f>'總表'!AK5</f>
        <v/>
      </c>
      <c r="N7" s="13">
        <f>'總表'!AM5</f>
        <v/>
      </c>
      <c r="O7" s="19">
        <f>'總表'!AS5</f>
        <v/>
      </c>
      <c r="P7" s="19">
        <f>'總表'!AT5</f>
        <v/>
      </c>
      <c r="Q7" s="20">
        <f>'總表'!BG5</f>
        <v/>
      </c>
      <c r="R7" s="20">
        <f>'總表'!BH5</f>
        <v/>
      </c>
      <c r="S7" s="20">
        <f>'總表'!BI5</f>
        <v/>
      </c>
      <c r="T7" s="20">
        <f>'總表'!BJ5</f>
        <v/>
      </c>
      <c r="U7" s="21">
        <f>'總表'!BK5</f>
        <v/>
      </c>
      <c r="V7" s="3">
        <f>'總表'!BL5</f>
        <v/>
      </c>
      <c r="W7" s="3">
        <f>'總表'!BO5</f>
        <v/>
      </c>
    </row>
    <row r="8">
      <c r="A8" s="24">
        <f>'總表'!A6</f>
        <v/>
      </c>
      <c r="B8" s="25">
        <f>COUNTIFS($A$4:$A$16,A8,$U$4:$U$16,"&gt;"&amp;U8)+1</f>
        <v/>
      </c>
      <c r="C8" s="6">
        <f>'總表'!B6</f>
        <v/>
      </c>
      <c r="D8" s="7" t="inlineStr">
        <is>
          <t>CMRC</t>
        </is>
      </c>
      <c r="E8" s="2">
        <f>'總表'!D6</f>
        <v/>
      </c>
      <c r="F8" s="2">
        <f>'總表'!F6</f>
        <v/>
      </c>
      <c r="G8" s="28">
        <f>'總表'!J6</f>
        <v/>
      </c>
      <c r="H8" s="11">
        <f>'總表'!Q6</f>
        <v/>
      </c>
      <c r="I8" s="13">
        <f>'總表'!X6</f>
        <v/>
      </c>
      <c r="J8" s="2">
        <f>'總表'!AD6</f>
        <v/>
      </c>
      <c r="K8" s="13">
        <f>'總表'!AE6</f>
        <v/>
      </c>
      <c r="L8" s="20">
        <f>'總表'!AG6</f>
        <v/>
      </c>
      <c r="M8" s="19">
        <f>'總表'!AK6</f>
        <v/>
      </c>
      <c r="N8" s="13">
        <f>'總表'!AM6</f>
        <v/>
      </c>
      <c r="O8" s="19">
        <f>'總表'!AS6</f>
        <v/>
      </c>
      <c r="P8" s="19">
        <f>'總表'!AT6</f>
        <v/>
      </c>
      <c r="Q8" s="20">
        <f>'總表'!BG6</f>
        <v/>
      </c>
      <c r="R8" s="20">
        <f>'總表'!BH6</f>
        <v/>
      </c>
      <c r="S8" s="20">
        <f>'總表'!BI6</f>
        <v/>
      </c>
      <c r="T8" s="20">
        <f>'總表'!BJ6</f>
        <v/>
      </c>
      <c r="U8" s="21">
        <f>'總表'!BK6</f>
        <v/>
      </c>
      <c r="V8" s="3">
        <f>'總表'!BL6</f>
        <v/>
      </c>
      <c r="W8" s="3">
        <f>'總表'!BO6</f>
        <v/>
      </c>
    </row>
    <row r="9">
      <c r="A9" s="24">
        <f>'總表'!A7</f>
        <v/>
      </c>
      <c r="B9" s="25">
        <f>COUNTIFS($A$4:$A$16,A9,$U$4:$U$16,"&gt;"&amp;U9)+1</f>
        <v/>
      </c>
      <c r="C9" s="6">
        <f>'總表'!B7</f>
        <v/>
      </c>
      <c r="D9" s="27" t="inlineStr">
        <is>
          <t>OMER</t>
        </is>
      </c>
      <c r="E9" s="2">
        <f>'總表'!D7</f>
        <v/>
      </c>
      <c r="F9" s="2">
        <f>'總表'!F7</f>
        <v/>
      </c>
      <c r="G9" s="28">
        <f>'總表'!J7</f>
        <v/>
      </c>
      <c r="H9" s="11">
        <f>'總表'!Q7</f>
        <v/>
      </c>
      <c r="I9" s="13">
        <f>'總表'!X7</f>
        <v/>
      </c>
      <c r="J9" s="2">
        <f>'總表'!AD7</f>
        <v/>
      </c>
      <c r="K9" s="13">
        <f>'總表'!AE7</f>
        <v/>
      </c>
      <c r="L9" s="20">
        <f>'總表'!AG7</f>
        <v/>
      </c>
      <c r="M9" s="19">
        <f>'總表'!AK7</f>
        <v/>
      </c>
      <c r="N9" s="13">
        <f>'總表'!AM7</f>
        <v/>
      </c>
      <c r="O9" s="19">
        <f>'總表'!AS7</f>
        <v/>
      </c>
      <c r="P9" s="19">
        <f>'總表'!AT7</f>
        <v/>
      </c>
      <c r="Q9" s="20">
        <f>'總表'!BG7</f>
        <v/>
      </c>
      <c r="R9" s="20">
        <f>'總表'!BH7</f>
        <v/>
      </c>
      <c r="S9" s="20">
        <f>'總表'!BI7</f>
        <v/>
      </c>
      <c r="T9" s="20">
        <f>'總表'!BJ7</f>
        <v/>
      </c>
      <c r="U9" s="21">
        <f>'總表'!BK7</f>
        <v/>
      </c>
      <c r="V9" s="3">
        <f>'總表'!BL7</f>
        <v/>
      </c>
      <c r="W9" s="3">
        <f>'總表'!BO7</f>
        <v/>
      </c>
    </row>
    <row r="10">
      <c r="A10" s="24">
        <f>'總表'!A10</f>
        <v/>
      </c>
      <c r="B10" s="25">
        <f>COUNTIFS($A$4:$A$16,A10,$U$4:$U$16,"&gt;"&amp;U10)+1</f>
        <v/>
      </c>
      <c r="C10" s="6">
        <f>'總表'!B10</f>
        <v/>
      </c>
      <c r="D10" s="7" t="inlineStr">
        <is>
          <t>GEMI</t>
        </is>
      </c>
      <c r="E10" s="2">
        <f>'總表'!D10</f>
        <v/>
      </c>
      <c r="F10" s="2">
        <f>'總表'!F10</f>
        <v/>
      </c>
      <c r="G10" s="28">
        <f>'總表'!J10</f>
        <v/>
      </c>
      <c r="H10" s="11">
        <f>'總表'!Q10</f>
        <v/>
      </c>
      <c r="I10" s="13">
        <f>'總表'!X10</f>
        <v/>
      </c>
      <c r="J10" s="2">
        <f>'總表'!AD10</f>
        <v/>
      </c>
      <c r="K10" s="13">
        <f>'總表'!AE10</f>
        <v/>
      </c>
      <c r="L10" s="20">
        <f>'總表'!AG10</f>
        <v/>
      </c>
      <c r="M10" s="19">
        <f>'總表'!AK10</f>
        <v/>
      </c>
      <c r="N10" s="13">
        <f>'總表'!AM10</f>
        <v/>
      </c>
      <c r="O10" s="19">
        <f>'總表'!AS10</f>
        <v/>
      </c>
      <c r="P10" s="19">
        <f>'總表'!AT10</f>
        <v/>
      </c>
      <c r="Q10" s="20">
        <f>'總表'!BG10</f>
        <v/>
      </c>
      <c r="R10" s="20">
        <f>'總表'!BH10</f>
        <v/>
      </c>
      <c r="S10" s="20">
        <f>'總表'!BI10</f>
        <v/>
      </c>
      <c r="T10" s="20">
        <f>'總表'!BJ10</f>
        <v/>
      </c>
      <c r="U10" s="21">
        <f>'總表'!BK10</f>
        <v/>
      </c>
      <c r="V10" s="3">
        <f>'總表'!BL10</f>
        <v/>
      </c>
      <c r="W10" s="3">
        <f>'總表'!BO10</f>
        <v/>
      </c>
    </row>
    <row r="11">
      <c r="A11" s="24">
        <f>'總表'!A11</f>
        <v/>
      </c>
      <c r="B11" s="25">
        <f>COUNTIFS($A$4:$A$16,A11,$U$4:$U$16,"&gt;"&amp;U11)+1</f>
        <v/>
      </c>
      <c r="C11" s="6">
        <f>'總表'!B11</f>
        <v/>
      </c>
      <c r="D11" s="7" t="inlineStr">
        <is>
          <t>UMAC</t>
        </is>
      </c>
      <c r="E11" s="2">
        <f>'總表'!D11</f>
        <v/>
      </c>
      <c r="F11" s="2">
        <f>'總表'!F11</f>
        <v/>
      </c>
      <c r="G11" s="28">
        <f>'總表'!J11</f>
        <v/>
      </c>
      <c r="H11" s="11">
        <f>'總表'!Q11</f>
        <v/>
      </c>
      <c r="I11" s="13">
        <f>'總表'!X11</f>
        <v/>
      </c>
      <c r="J11" s="2">
        <f>'總表'!AD11</f>
        <v/>
      </c>
      <c r="K11" s="13">
        <f>'總表'!AE11</f>
        <v/>
      </c>
      <c r="L11" s="20">
        <f>'總表'!AG11</f>
        <v/>
      </c>
      <c r="M11" s="19">
        <f>'總表'!AK11</f>
        <v/>
      </c>
      <c r="N11" s="13">
        <f>'總表'!AM11</f>
        <v/>
      </c>
      <c r="O11" s="19">
        <f>'總表'!AS11</f>
        <v/>
      </c>
      <c r="P11" s="19">
        <f>'總表'!AT11</f>
        <v/>
      </c>
      <c r="Q11" s="20">
        <f>'總表'!BG11</f>
        <v/>
      </c>
      <c r="R11" s="20">
        <f>'總表'!BH11</f>
        <v/>
      </c>
      <c r="S11" s="20">
        <f>'總表'!BI11</f>
        <v/>
      </c>
      <c r="T11" s="20">
        <f>'總表'!BJ11</f>
        <v/>
      </c>
      <c r="U11" s="21">
        <f>'總表'!BK11</f>
        <v/>
      </c>
      <c r="V11" s="3">
        <f>'總表'!BL11</f>
        <v/>
      </c>
      <c r="W11" s="3">
        <f>'總表'!BO11</f>
        <v/>
      </c>
    </row>
    <row r="12">
      <c r="A12" s="24">
        <f>'總表'!A13</f>
        <v/>
      </c>
      <c r="B12" s="25">
        <f>COUNTIFS($A$4:$A$16,A12,$U$4:$U$16,"&gt;"&amp;U12)+1</f>
        <v/>
      </c>
      <c r="C12" s="6">
        <f>'總表'!B13</f>
        <v/>
      </c>
      <c r="D12" s="7" t="inlineStr">
        <is>
          <t>UTMD</t>
        </is>
      </c>
      <c r="E12" s="2">
        <f>'總表'!D13</f>
        <v/>
      </c>
      <c r="F12" s="2">
        <f>'總表'!F13</f>
        <v/>
      </c>
      <c r="G12" s="28">
        <f>'總表'!J13</f>
        <v/>
      </c>
      <c r="H12" s="11">
        <f>'總表'!Q13</f>
        <v/>
      </c>
      <c r="I12" s="13">
        <f>'總表'!X13</f>
        <v/>
      </c>
      <c r="J12" s="2">
        <f>'總表'!AD13</f>
        <v/>
      </c>
      <c r="K12" s="13">
        <f>'總表'!AE13</f>
        <v/>
      </c>
      <c r="L12" s="20">
        <f>'總表'!AG13</f>
        <v/>
      </c>
      <c r="M12" s="19">
        <f>'總表'!AK13</f>
        <v/>
      </c>
      <c r="N12" s="13">
        <f>'總表'!AM13</f>
        <v/>
      </c>
      <c r="O12" s="19">
        <f>'總表'!AS13</f>
        <v/>
      </c>
      <c r="P12" s="19">
        <f>'總表'!AT13</f>
        <v/>
      </c>
      <c r="Q12" s="20">
        <f>'總表'!BG13</f>
        <v/>
      </c>
      <c r="R12" s="20">
        <f>'總表'!BH13</f>
        <v/>
      </c>
      <c r="S12" s="20">
        <f>'總表'!BI13</f>
        <v/>
      </c>
      <c r="T12" s="20">
        <f>'總表'!BJ13</f>
        <v/>
      </c>
      <c r="U12" s="21">
        <f>'總表'!BK13</f>
        <v/>
      </c>
      <c r="V12" s="3">
        <f>'總表'!BL13</f>
        <v/>
      </c>
      <c r="W12" s="3">
        <f>'總表'!BO13</f>
        <v/>
      </c>
    </row>
    <row r="13">
      <c r="A13" s="24">
        <f>'總表'!A16</f>
        <v/>
      </c>
      <c r="B13" s="25">
        <f>COUNTIFS($A$4:$A$16,A13,$U$4:$U$16,"&gt;"&amp;U13)+1</f>
        <v/>
      </c>
      <c r="C13" s="6">
        <f>'總表'!B16</f>
        <v/>
      </c>
      <c r="D13" s="7" t="inlineStr">
        <is>
          <t>BVS</t>
        </is>
      </c>
      <c r="E13" s="2">
        <f>'總表'!D16</f>
        <v/>
      </c>
      <c r="F13" s="2">
        <f>'總表'!F16</f>
        <v/>
      </c>
      <c r="G13" s="28">
        <f>'總表'!J16</f>
        <v/>
      </c>
      <c r="H13" s="11">
        <f>'總表'!Q16</f>
        <v/>
      </c>
      <c r="I13" s="13">
        <f>'總表'!X16</f>
        <v/>
      </c>
      <c r="J13" s="2">
        <f>'總表'!AD16</f>
        <v/>
      </c>
      <c r="K13" s="13">
        <f>'總表'!AE16</f>
        <v/>
      </c>
      <c r="L13" s="20">
        <f>'總表'!AG16</f>
        <v/>
      </c>
      <c r="M13" s="19">
        <f>'總表'!AK16</f>
        <v/>
      </c>
      <c r="N13" s="13">
        <f>'總表'!AM16</f>
        <v/>
      </c>
      <c r="O13" s="19">
        <f>'總表'!AS16</f>
        <v/>
      </c>
      <c r="P13" s="19">
        <f>'總表'!AT16</f>
        <v/>
      </c>
      <c r="Q13" s="20">
        <f>'總表'!BG16</f>
        <v/>
      </c>
      <c r="R13" s="20">
        <f>'總表'!BH16</f>
        <v/>
      </c>
      <c r="S13" s="20">
        <f>'總表'!BI16</f>
        <v/>
      </c>
      <c r="T13" s="20">
        <f>'總表'!BJ16</f>
        <v/>
      </c>
      <c r="U13" s="21">
        <f>'總表'!BK16</f>
        <v/>
      </c>
      <c r="V13" s="3">
        <f>'總表'!BL16</f>
        <v/>
      </c>
      <c r="W13" s="3">
        <f>'總表'!BO16</f>
        <v/>
      </c>
    </row>
    <row r="14">
      <c r="A14" s="24">
        <f>'總表'!A18</f>
        <v/>
      </c>
      <c r="B14" s="25">
        <f>COUNTIFS($A$4:$A$16,A14,$U$4:$U$16,"&gt;"&amp;U14)+1</f>
        <v/>
      </c>
      <c r="C14" s="6">
        <f>'總表'!B18</f>
        <v/>
      </c>
      <c r="D14" s="7" t="inlineStr">
        <is>
          <t>BBNX</t>
        </is>
      </c>
      <c r="E14" s="2">
        <f>'總表'!D18</f>
        <v/>
      </c>
      <c r="F14" s="2">
        <f>'總表'!F18</f>
        <v/>
      </c>
      <c r="G14" s="28">
        <f>'總表'!J18</f>
        <v/>
      </c>
      <c r="H14" s="11">
        <f>'總表'!Q18</f>
        <v/>
      </c>
      <c r="I14" s="13">
        <f>'總表'!X18</f>
        <v/>
      </c>
      <c r="J14" s="2">
        <f>'總表'!AD18</f>
        <v/>
      </c>
      <c r="K14" s="13">
        <f>'總表'!AE18</f>
        <v/>
      </c>
      <c r="L14" s="20">
        <f>'總表'!AG18</f>
        <v/>
      </c>
      <c r="M14" s="19">
        <f>'總表'!AK18</f>
        <v/>
      </c>
      <c r="N14" s="13">
        <f>'總表'!AM18</f>
        <v/>
      </c>
      <c r="O14" s="19">
        <f>'總表'!AS18</f>
        <v/>
      </c>
      <c r="P14" s="19">
        <f>'總表'!AT18</f>
        <v/>
      </c>
      <c r="Q14" s="20">
        <f>'總表'!BG18</f>
        <v/>
      </c>
      <c r="R14" s="20">
        <f>'總表'!BH18</f>
        <v/>
      </c>
      <c r="S14" s="20">
        <f>'總表'!BI18</f>
        <v/>
      </c>
      <c r="T14" s="20">
        <f>'總表'!BJ18</f>
        <v/>
      </c>
      <c r="U14" s="21">
        <f>'總表'!BK18</f>
        <v/>
      </c>
      <c r="V14" s="3">
        <f>'總表'!BL18</f>
        <v/>
      </c>
      <c r="W14" s="3">
        <f>'總表'!BO18</f>
        <v/>
      </c>
    </row>
    <row r="15">
      <c r="A15" s="24">
        <f>'總表'!A19</f>
        <v/>
      </c>
      <c r="B15" s="25">
        <f>COUNTIFS($A$4:$A$16,A15,$U$4:$U$16,"&gt;"&amp;U15)+1</f>
        <v/>
      </c>
      <c r="C15" s="6">
        <f>'總表'!B19</f>
        <v/>
      </c>
      <c r="D15" s="7" t="inlineStr">
        <is>
          <t>PKOH</t>
        </is>
      </c>
      <c r="E15" s="2">
        <f>'總表'!D19</f>
        <v/>
      </c>
      <c r="F15" s="2">
        <f>'總表'!F19</f>
        <v/>
      </c>
      <c r="G15" s="28">
        <f>'總表'!J19</f>
        <v/>
      </c>
      <c r="H15" s="11">
        <f>'總表'!Q19</f>
        <v/>
      </c>
      <c r="I15" s="13">
        <f>'總表'!X19</f>
        <v/>
      </c>
      <c r="J15" s="2">
        <f>'總表'!AD19</f>
        <v/>
      </c>
      <c r="K15" s="13">
        <f>'總表'!AE19</f>
        <v/>
      </c>
      <c r="L15" s="20">
        <f>'總表'!AG19</f>
        <v/>
      </c>
      <c r="M15" s="19">
        <f>'總表'!AK19</f>
        <v/>
      </c>
      <c r="N15" s="13">
        <f>'總表'!AM19</f>
        <v/>
      </c>
      <c r="O15" s="19">
        <f>'總表'!AS19</f>
        <v/>
      </c>
      <c r="P15" s="19">
        <f>'總表'!AT19</f>
        <v/>
      </c>
      <c r="Q15" s="20">
        <f>'總表'!BG19</f>
        <v/>
      </c>
      <c r="R15" s="20">
        <f>'總表'!BH19</f>
        <v/>
      </c>
      <c r="S15" s="20">
        <f>'總表'!BI19</f>
        <v/>
      </c>
      <c r="T15" s="20">
        <f>'總表'!BJ19</f>
        <v/>
      </c>
      <c r="U15" s="21">
        <f>'總表'!BK19</f>
        <v/>
      </c>
      <c r="V15" s="3">
        <f>'總表'!BL19</f>
        <v/>
      </c>
      <c r="W15" s="3">
        <f>'總表'!BO19</f>
        <v/>
      </c>
    </row>
    <row r="16">
      <c r="A16" s="24">
        <f>'總表'!A21</f>
        <v/>
      </c>
      <c r="B16" s="25">
        <f>COUNTIFS($A$4:$A$16,A16,$U$4:$U$16,"&gt;"&amp;U16)+1</f>
        <v/>
      </c>
      <c r="C16" s="6">
        <f>'總表'!B21</f>
        <v/>
      </c>
      <c r="D16" s="27" t="inlineStr">
        <is>
          <t>FLXS</t>
        </is>
      </c>
      <c r="E16" s="2">
        <f>'總表'!D21</f>
        <v/>
      </c>
      <c r="F16" s="2">
        <f>'總表'!F21</f>
        <v/>
      </c>
      <c r="G16" s="28">
        <f>'總表'!J21</f>
        <v/>
      </c>
      <c r="H16" s="11">
        <f>'總表'!Q21</f>
        <v/>
      </c>
      <c r="I16" s="13">
        <f>'總表'!X21</f>
        <v/>
      </c>
      <c r="J16" s="2">
        <f>'總表'!AD21</f>
        <v/>
      </c>
      <c r="K16" s="13">
        <f>'總表'!AE21</f>
        <v/>
      </c>
      <c r="L16" s="20">
        <f>'總表'!AG21</f>
        <v/>
      </c>
      <c r="M16" s="19">
        <f>'總表'!AK21</f>
        <v/>
      </c>
      <c r="N16" s="13">
        <f>'總表'!AM21</f>
        <v/>
      </c>
      <c r="O16" s="19">
        <f>'總表'!AS21</f>
        <v/>
      </c>
      <c r="P16" s="19">
        <f>'總表'!AT21</f>
        <v/>
      </c>
      <c r="Q16" s="20">
        <f>'總表'!BG21</f>
        <v/>
      </c>
      <c r="R16" s="20">
        <f>'總表'!BH21</f>
        <v/>
      </c>
      <c r="S16" s="20">
        <f>'總表'!BI21</f>
        <v/>
      </c>
      <c r="T16" s="20">
        <f>'總表'!BJ21</f>
        <v/>
      </c>
      <c r="U16" s="21">
        <f>'總表'!BK21</f>
        <v/>
      </c>
      <c r="V16" s="3">
        <f>'總表'!BL21</f>
        <v/>
      </c>
      <c r="W16" s="3">
        <f>'總表'!BO21</f>
        <v/>
      </c>
    </row>
  </sheetData>
  <autoFilter ref="A3:W16"/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  <hyperlink xmlns:r="http://schemas.openxmlformats.org/officeDocument/2006/relationships" ref="D7" r:id="rId4"/>
    <hyperlink xmlns:r="http://schemas.openxmlformats.org/officeDocument/2006/relationships" ref="D8" r:id="rId5"/>
    <hyperlink xmlns:r="http://schemas.openxmlformats.org/officeDocument/2006/relationships" ref="D9" r:id="rId6"/>
    <hyperlink xmlns:r="http://schemas.openxmlformats.org/officeDocument/2006/relationships" ref="D10" r:id="rId7"/>
    <hyperlink xmlns:r="http://schemas.openxmlformats.org/officeDocument/2006/relationships" ref="D11" r:id="rId8"/>
    <hyperlink xmlns:r="http://schemas.openxmlformats.org/officeDocument/2006/relationships" ref="D12" r:id="rId9"/>
    <hyperlink xmlns:r="http://schemas.openxmlformats.org/officeDocument/2006/relationships" ref="D13" r:id="rId10"/>
    <hyperlink xmlns:r="http://schemas.openxmlformats.org/officeDocument/2006/relationships" ref="D14" r:id="rId11"/>
    <hyperlink xmlns:r="http://schemas.openxmlformats.org/officeDocument/2006/relationships" ref="D15" r:id="rId12"/>
    <hyperlink xmlns:r="http://schemas.openxmlformats.org/officeDocument/2006/relationships" ref="D16" r:id="rId1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78" customWidth="1" min="2" max="2"/>
    <col width="16" customWidth="1" min="3" max="3"/>
    <col width="10" customWidth="1" min="4" max="4"/>
  </cols>
  <sheetData>
    <row r="1">
      <c r="A1" s="1" t="inlineStr">
        <is>
          <t>R23.00 篩選條件：有熱錢及消息驅動 ＋ 曾有 10MA 上升 ＋ 回落到 20MA ＋ 波幅減低</t>
        </is>
      </c>
    </row>
    <row r="3" ht="48" customHeight="1">
      <c r="A3" s="29" t="inlineStr">
        <is>
          <t>說明</t>
        </is>
      </c>
      <c r="B3" s="3" t="inlineStr">
        <is>
          <t>由 R23.00 起取代 R21–R22 嘅「回報排頭 10% 動能」條件。股票池、價格來源（Yahoo 日線、Nasdaq 快照核對）不變；H = 近 63 日最高收市，升浪 = 由 H 前 63 日內最低收市升到 H。數據終點 2026-09-30，254 個交易日（2025-09-26 起）。</t>
        </is>
      </c>
      <c r="C3" s="2" t="inlineStr">
        <is>
          <t>門檻</t>
        </is>
      </c>
      <c r="D3" s="30" t="inlineStr">
        <is>
          <t>通過數目</t>
        </is>
      </c>
    </row>
    <row r="4" ht="18" customHeight="1">
      <c r="A4" s="29" t="inlineStr">
        <is>
          <t>股票池</t>
        </is>
      </c>
      <c r="B4" s="3" t="inlineStr">
        <is>
          <t>當日有成交、≥90 個交易日歷史（按 Nasdaq 上市日計，SPAC 空殼期唔計）、收市 ≥$2、普通股、20 日成交額中位數 ≥$1M</t>
        </is>
      </c>
      <c r="C4" s="2" t="inlineStr">
        <is>
          <t>同 R1–R22</t>
        </is>
      </c>
      <c r="D4" s="30" t="n">
        <v>2762</v>
      </c>
    </row>
    <row r="5" ht="48" customHeight="1">
      <c r="A5" s="29" t="inlineStr">
        <is>
          <t>C1a 事件日（消息驅動）</t>
        </is>
      </c>
      <c r="B5" s="3" t="inlineStr">
        <is>
          <t>高位前 60 日內（唔計高位之後）有一日：收市對收市 ≥+8%，或開市比前收跳空 ≥+5%；而且當日成交量 ≥3× 之前 50 日平均。幾日都合格就取量比最大嗰日做「事件日」</t>
        </is>
      </c>
      <c r="C5" s="2" t="inlineStr">
        <is>
          <t>單獨 658</t>
        </is>
      </c>
      <c r="D5" s="30" t="n">
        <v>658</v>
      </c>
    </row>
    <row r="6" ht="18" customHeight="1">
      <c r="A6" s="29" t="inlineStr">
        <is>
          <t>C1b 熱錢</t>
        </is>
      </c>
      <c r="B6" s="3" t="inlineStr">
        <is>
          <t>升浪期（至少高位前 5 日）日均成交額 ≥ 升浪開始前 60 日日均嘅 2 倍</t>
        </is>
      </c>
      <c r="C6" s="2" t="inlineStr">
        <is>
          <t>單獨 277</t>
        </is>
      </c>
      <c r="D6" s="30" t="n">
        <v>203</v>
      </c>
    </row>
    <row r="7" ht="48" customHeight="1">
      <c r="A7" s="29" t="inlineStr">
        <is>
          <t>C2 曾有 10MA 上升</t>
        </is>
      </c>
      <c r="B7" s="3" t="inlineStr">
        <is>
          <t>近 30 日內（唔計今日）有一日通過 R1–R20 嘅 10MA 測試：MA10 比 10 日前高 ≥5%、最後三個 MA10 值遞升、10 步入面升 ≥70%。幾日都合格取升幅最大嗰日</t>
        </is>
      </c>
      <c r="C7" s="2" t="inlineStr">
        <is>
          <t>單獨 1,231</t>
        </is>
      </c>
      <c r="D7" s="30" t="n">
        <v>140</v>
      </c>
    </row>
    <row r="8" ht="48" customHeight="1">
      <c r="A8" s="29" t="inlineStr">
        <is>
          <t>C3 回落到 20MA</t>
        </is>
      </c>
      <c r="B8" s="3" t="inlineStr">
        <is>
          <t>MA20 高過 5 日前；H 喺 2–25 日前；收市比 H 低 3%–30%；H 當日收市高過當日 MA20 ≥8%；收市喺 MA20 -3% 至 +3%；近 3 日有一日最低價 ≤ MA20×1.015</t>
        </is>
      </c>
      <c r="C8" s="2" t="inlineStr">
        <is>
          <t>單獨 54</t>
        </is>
      </c>
      <c r="D8" s="30" t="n">
        <v>6</v>
      </c>
    </row>
    <row r="9" ht="18" customHeight="1">
      <c r="A9" s="29" t="inlineStr">
        <is>
          <t>C4 波幅減低</t>
        </is>
      </c>
      <c r="B9" s="3" t="inlineStr">
        <is>
          <t>近 5 日平均真實波幅（佔前收 %）≤ 0.9× 近 20 日平均，而且 ≤ 0.7× 升浪期平均。真實波幅只計有高低位嘅日子</t>
        </is>
      </c>
      <c r="C9" s="2" t="inlineStr">
        <is>
          <t>單獨 722</t>
        </is>
      </c>
      <c r="D9" s="30" t="n">
        <v>3</v>
      </c>
    </row>
    <row r="10" ht="48" customHeight="1">
      <c r="A10" s="29" t="inlineStr">
        <is>
          <t>第二梯隊</t>
        </is>
      </c>
      <c r="B10" s="3" t="inlineStr">
        <is>
          <t>每個門檻放寬一級（事件日 +6%／跳空 +5%／2× 量；熱錢 1.5×；MA10 升 3%、6 步；高位 40 日內；回調 ≤40%；高位時高過 MA20 6%；收市 ±5%、觸及 3%；ATR5/ATR20 ≤1.0、對升浪 ≤0.85）先合格嘅股票；總表「唔過嘅條件」欄列明每隻差邊項</t>
        </is>
      </c>
      <c r="C10" s="2" t="inlineStr"/>
      <c r="D10" s="30" t="n">
        <v>19</v>
      </c>
    </row>
    <row r="12">
      <c r="A12" s="29" t="inlineStr">
        <is>
          <t>評分（每項 0–1，線性、兩頭封頂）</t>
        </is>
      </c>
    </row>
    <row r="13" ht="32" customHeight="1">
      <c r="A13" s="29" t="inlineStr">
        <is>
          <t>熱錢分數</t>
        </is>
      </c>
      <c r="B13" s="3" t="inlineStr">
        <is>
          <t>0.4 × 升浪成交額比（2×→0、6×→1）+ 0.3 × 事件日量比（3×→0、10×→1）+ 0.3 × 升浪幅度（25%→0、100%→1）</t>
        </is>
      </c>
    </row>
    <row r="14" ht="18" customHeight="1">
      <c r="A14" s="29" t="inlineStr">
        <is>
          <t>10MA分數</t>
        </is>
      </c>
      <c r="B14" s="3" t="inlineStr">
        <is>
          <t>0.5 × MA10 10 日升幅（5%→0、25%→1）+ 0.5 × MA10 上升步比例（70%→0、100%→1）</t>
        </is>
      </c>
    </row>
    <row r="15" ht="32" customHeight="1">
      <c r="A15" s="29" t="inlineStr">
        <is>
          <t>回調質素</t>
        </is>
      </c>
      <c r="B15" s="3" t="inlineStr">
        <is>
          <t>0.30 量縮（高位後日均量 ÷ 高位前 20 日：1.2→0、0.6→1）+ 0.25 貼近 MA20（|距 MA20|：3%→0、0%→1）+ 0.20 MA20 斜率（0→0、3%→1）+ 0.10 回調深度（30%→0、15%→1）+ 0.15 企穩（0.5 × 收市喺當日高低區間位置 + 0.5 × 收市 ≥ MA20）</t>
        </is>
      </c>
    </row>
    <row r="16" ht="18" customHeight="1">
      <c r="A16" s="29" t="inlineStr">
        <is>
          <t>波幅收窄</t>
        </is>
      </c>
      <c r="B16" s="3" t="inlineStr">
        <is>
          <t>0.5 × ATR5/ATR20（0.9→0、0.5→1）+ 0.5 × ATR5/升浪 ATR（0.7→0、0.3→1）</t>
        </is>
      </c>
    </row>
    <row r="17" ht="18" customHeight="1">
      <c r="A17" s="29" t="inlineStr">
        <is>
          <t>綜合分數</t>
        </is>
      </c>
      <c r="B17" s="3" t="inlineStr">
        <is>
          <t>0.25 × 熱錢 + 0.2 × 10MA + 0.3 × 回調質素 + 0.25 × 波幅收窄（每頁排名用；先分梯隊）</t>
        </is>
      </c>
    </row>
    <row r="18" ht="18" customHeight="1">
      <c r="A18" s="29" t="inlineStr">
        <is>
          <t>欄位顏色</t>
        </is>
      </c>
      <c r="B18" s="3" t="inlineStr">
        <is>
          <t>藍字 = 量度值（輸入）；黑字 = 公式；灰底 = 第二梯隊；橙底 = 有審視標記；黃底公司名 = 上版冇</t>
        </is>
      </c>
    </row>
    <row r="20" ht="60" customHeight="1">
      <c r="A20" s="29" t="inlineStr">
        <is>
          <t>同上一套條件嘅分別</t>
        </is>
      </c>
      <c r="B20" s="3" t="inlineStr">
        <is>
          <t>R21–R22：1／2／3／6 個月回報排全體頭 10% ＋ 回到上升中嘅 20MA —— 捉慢慢升上去嘅強勢股。R23.00：先要有一日放量大升嘅消息日、升浪期成交額係之前兩倍（熱錢）、而且試過通過舊嘅 10MA 上升測試，再回落到 20MA 兼波幅收窄。兩套條件捉嘅股票本身唔同（見「同R22對照」頁）。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>
      <c r="A1" s="1" t="inlineStr">
        <is>
          <t>每次只郁一個門檻，睇第一梯隊點變（基準 = 本版門檻）；最後兩行係全部門檻同時放寬／收緊一級</t>
        </is>
      </c>
    </row>
    <row r="3" ht="42" customHeight="1">
      <c r="A3" s="4" t="inlineStr">
        <is>
          <t>門檻</t>
        </is>
      </c>
      <c r="B3" s="4" t="inlineStr">
        <is>
          <t>基準</t>
        </is>
      </c>
      <c r="C3" s="4" t="inlineStr">
        <is>
          <t>改為</t>
        </is>
      </c>
      <c r="D3" s="4" t="inlineStr">
        <is>
          <t>名單數目</t>
        </is>
      </c>
      <c r="E3" s="4" t="inlineStr">
        <is>
          <t>變動</t>
        </is>
      </c>
      <c r="F3" s="4" t="inlineStr">
        <is>
          <t>新增／剔走嘅代號 →</t>
        </is>
      </c>
    </row>
    <row r="4">
      <c r="A4" s="2" t="inlineStr">
        <is>
          <t>事件日升幅</t>
        </is>
      </c>
      <c r="B4" s="2" t="n">
        <v>0.08</v>
      </c>
      <c r="C4" s="2" t="n">
        <v>0.06</v>
      </c>
      <c r="D4" s="6" t="n">
        <v>3</v>
      </c>
      <c r="E4" s="2" t="inlineStr">
        <is>
          <t>+0 / −0</t>
        </is>
      </c>
    </row>
    <row r="5">
      <c r="A5" s="2" t="inlineStr">
        <is>
          <t>事件日升幅</t>
        </is>
      </c>
      <c r="B5" s="2" t="n">
        <v>0.08</v>
      </c>
      <c r="C5" s="2" t="n">
        <v>0.1</v>
      </c>
      <c r="D5" s="6" t="n">
        <v>2</v>
      </c>
      <c r="E5" s="2" t="inlineStr">
        <is>
          <t>+0 / −1</t>
        </is>
      </c>
      <c r="F5" s="7" t="inlineStr">
        <is>
          <t>BSVN</t>
        </is>
      </c>
    </row>
    <row r="6">
      <c r="A6" s="2" t="inlineStr">
        <is>
          <t>事件日量比</t>
        </is>
      </c>
      <c r="B6" s="2" t="n">
        <v>3</v>
      </c>
      <c r="C6" s="2" t="n">
        <v>2</v>
      </c>
      <c r="D6" s="6" t="n">
        <v>3</v>
      </c>
      <c r="E6" s="2" t="inlineStr">
        <is>
          <t>+0 / −0</t>
        </is>
      </c>
    </row>
    <row r="7">
      <c r="A7" s="2" t="inlineStr">
        <is>
          <t>事件日量比</t>
        </is>
      </c>
      <c r="B7" s="2" t="n">
        <v>3</v>
      </c>
      <c r="C7" s="2" t="n">
        <v>4</v>
      </c>
      <c r="D7" s="6" t="n">
        <v>2</v>
      </c>
      <c r="E7" s="2" t="inlineStr">
        <is>
          <t>+0 / −1</t>
        </is>
      </c>
      <c r="F7" s="7" t="inlineStr">
        <is>
          <t>BSVN</t>
        </is>
      </c>
    </row>
    <row r="8">
      <c r="A8" s="2" t="inlineStr">
        <is>
          <t>升浪成交額比</t>
        </is>
      </c>
      <c r="B8" s="2" t="n">
        <v>2</v>
      </c>
      <c r="C8" s="2" t="n">
        <v>1.5</v>
      </c>
      <c r="D8" s="6" t="n">
        <v>6</v>
      </c>
      <c r="E8" s="2" t="inlineStr">
        <is>
          <t>+3 / −0</t>
        </is>
      </c>
      <c r="F8" s="31" t="inlineStr">
        <is>
          <t>ASO</t>
        </is>
      </c>
      <c r="G8" s="31" t="inlineStr">
        <is>
          <t>CMRC</t>
        </is>
      </c>
      <c r="H8" s="31" t="inlineStr">
        <is>
          <t>OMER</t>
        </is>
      </c>
    </row>
    <row r="9">
      <c r="A9" s="2" t="inlineStr">
        <is>
          <t>升浪成交額比</t>
        </is>
      </c>
      <c r="B9" s="2" t="n">
        <v>2</v>
      </c>
      <c r="C9" s="2" t="n">
        <v>3</v>
      </c>
      <c r="D9" s="6" t="n">
        <v>3</v>
      </c>
      <c r="E9" s="2" t="inlineStr">
        <is>
          <t>+0 / −0</t>
        </is>
      </c>
    </row>
    <row r="10">
      <c r="A10" s="2" t="inlineStr">
        <is>
          <t>MA10 10日升幅</t>
        </is>
      </c>
      <c r="B10" s="2" t="n">
        <v>0.05</v>
      </c>
      <c r="C10" s="2" t="n">
        <v>0.03</v>
      </c>
      <c r="D10" s="6" t="n">
        <v>3</v>
      </c>
      <c r="E10" s="2" t="inlineStr">
        <is>
          <t>+0 / −0</t>
        </is>
      </c>
    </row>
    <row r="11">
      <c r="A11" s="2" t="inlineStr">
        <is>
          <t>MA10 10日升幅</t>
        </is>
      </c>
      <c r="B11" s="2" t="n">
        <v>0.05</v>
      </c>
      <c r="C11" s="2" t="n">
        <v>0.08</v>
      </c>
      <c r="D11" s="6" t="n">
        <v>1</v>
      </c>
      <c r="E11" s="2" t="inlineStr">
        <is>
          <t>+0 / −2</t>
        </is>
      </c>
      <c r="F11" s="7" t="inlineStr">
        <is>
          <t>BSVN</t>
        </is>
      </c>
      <c r="G11" s="7" t="inlineStr">
        <is>
          <t>RLGT</t>
        </is>
      </c>
    </row>
    <row r="12">
      <c r="A12" s="2" t="inlineStr">
        <is>
          <t>MA10上升步比例</t>
        </is>
      </c>
      <c r="B12" s="2" t="n">
        <v>0.7</v>
      </c>
      <c r="C12" s="2" t="n">
        <v>0.6</v>
      </c>
      <c r="D12" s="6" t="n">
        <v>3</v>
      </c>
      <c r="E12" s="2" t="inlineStr">
        <is>
          <t>+0 / −0</t>
        </is>
      </c>
    </row>
    <row r="13">
      <c r="A13" s="2" t="inlineStr">
        <is>
          <t>MA10上升步比例</t>
        </is>
      </c>
      <c r="B13" s="2" t="n">
        <v>0.7</v>
      </c>
      <c r="C13" s="2" t="n">
        <v>0.8</v>
      </c>
      <c r="D13" s="6" t="n">
        <v>3</v>
      </c>
      <c r="E13" s="2" t="inlineStr">
        <is>
          <t>+0 / −0</t>
        </is>
      </c>
    </row>
    <row r="14">
      <c r="A14" s="2" t="inlineStr">
        <is>
          <t>高位時高過MA20</t>
        </is>
      </c>
      <c r="B14" s="2" t="n">
        <v>0.08</v>
      </c>
      <c r="C14" s="2" t="n">
        <v>0.06</v>
      </c>
      <c r="D14" s="6" t="n">
        <v>3</v>
      </c>
      <c r="E14" s="2" t="inlineStr">
        <is>
          <t>+0 / −0</t>
        </is>
      </c>
    </row>
    <row r="15">
      <c r="A15" s="2" t="inlineStr">
        <is>
          <t>高位時高過MA20</t>
        </is>
      </c>
      <c r="B15" s="2" t="n">
        <v>0.08</v>
      </c>
      <c r="C15" s="2" t="n">
        <v>0.1</v>
      </c>
      <c r="D15" s="6" t="n">
        <v>2</v>
      </c>
      <c r="E15" s="2" t="inlineStr">
        <is>
          <t>+0 / −1</t>
        </is>
      </c>
      <c r="F15" s="7" t="inlineStr">
        <is>
          <t>CSR</t>
        </is>
      </c>
    </row>
    <row r="16">
      <c r="A16" s="2" t="inlineStr">
        <is>
          <t>最深回調</t>
        </is>
      </c>
      <c r="B16" s="2" t="n">
        <v>0.3</v>
      </c>
      <c r="C16" s="2" t="n">
        <v>0.25</v>
      </c>
      <c r="D16" s="6" t="n">
        <v>3</v>
      </c>
      <c r="E16" s="2" t="inlineStr">
        <is>
          <t>+0 / −0</t>
        </is>
      </c>
    </row>
    <row r="17">
      <c r="A17" s="2" t="inlineStr">
        <is>
          <t>最深回調</t>
        </is>
      </c>
      <c r="B17" s="2" t="n">
        <v>0.3</v>
      </c>
      <c r="C17" s="2" t="n">
        <v>0.4</v>
      </c>
      <c r="D17" s="6" t="n">
        <v>3</v>
      </c>
      <c r="E17" s="2" t="inlineStr">
        <is>
          <t>+0 / −0</t>
        </is>
      </c>
    </row>
    <row r="18">
      <c r="A18" s="2" t="inlineStr">
        <is>
          <t>距MA20下限</t>
        </is>
      </c>
      <c r="B18" s="2" t="n">
        <v>-0.03</v>
      </c>
      <c r="C18" s="2" t="n">
        <v>-0.02</v>
      </c>
      <c r="D18" s="6" t="n">
        <v>2</v>
      </c>
      <c r="E18" s="2" t="inlineStr">
        <is>
          <t>+0 / −1</t>
        </is>
      </c>
      <c r="F18" s="7" t="inlineStr">
        <is>
          <t>CSR</t>
        </is>
      </c>
    </row>
    <row r="19">
      <c r="A19" s="2" t="inlineStr">
        <is>
          <t>距MA20下限</t>
        </is>
      </c>
      <c r="B19" s="2" t="n">
        <v>-0.03</v>
      </c>
      <c r="C19" s="2" t="n">
        <v>-0.05</v>
      </c>
      <c r="D19" s="6" t="n">
        <v>3</v>
      </c>
      <c r="E19" s="2" t="inlineStr">
        <is>
          <t>+0 / −0</t>
        </is>
      </c>
    </row>
    <row r="20">
      <c r="A20" s="2" t="inlineStr">
        <is>
          <t>距MA20上限</t>
        </is>
      </c>
      <c r="B20" s="2" t="n">
        <v>0.03</v>
      </c>
      <c r="C20" s="2" t="n">
        <v>0.02</v>
      </c>
      <c r="D20" s="6" t="n">
        <v>3</v>
      </c>
      <c r="E20" s="2" t="inlineStr">
        <is>
          <t>+0 / −0</t>
        </is>
      </c>
    </row>
    <row r="21">
      <c r="A21" s="2" t="inlineStr">
        <is>
          <t>距MA20上限</t>
        </is>
      </c>
      <c r="B21" s="2" t="n">
        <v>0.03</v>
      </c>
      <c r="C21" s="2" t="n">
        <v>0.05</v>
      </c>
      <c r="D21" s="6" t="n">
        <v>3</v>
      </c>
      <c r="E21" s="2" t="inlineStr">
        <is>
          <t>+0 / −0</t>
        </is>
      </c>
    </row>
    <row r="22">
      <c r="A22" s="2" t="inlineStr">
        <is>
          <t>觸及容差</t>
        </is>
      </c>
      <c r="B22" s="2" t="n">
        <v>0.015</v>
      </c>
      <c r="C22" s="2" t="n">
        <v>0</v>
      </c>
      <c r="D22" s="6" t="n">
        <v>3</v>
      </c>
      <c r="E22" s="2" t="inlineStr">
        <is>
          <t>+0 / −0</t>
        </is>
      </c>
    </row>
    <row r="23">
      <c r="A23" s="2" t="inlineStr">
        <is>
          <t>觸及容差</t>
        </is>
      </c>
      <c r="B23" s="2" t="n">
        <v>0.015</v>
      </c>
      <c r="C23" s="2" t="n">
        <v>0.03</v>
      </c>
      <c r="D23" s="6" t="n">
        <v>3</v>
      </c>
      <c r="E23" s="2" t="inlineStr">
        <is>
          <t>+0 / −0</t>
        </is>
      </c>
    </row>
    <row r="24">
      <c r="A24" s="2" t="inlineStr">
        <is>
          <t>ATR5/ATR20上限</t>
        </is>
      </c>
      <c r="B24" s="2" t="n">
        <v>0.9</v>
      </c>
      <c r="C24" s="2" t="n">
        <v>0.8</v>
      </c>
      <c r="D24" s="6" t="n">
        <v>3</v>
      </c>
      <c r="E24" s="2" t="inlineStr">
        <is>
          <t>+0 / −0</t>
        </is>
      </c>
    </row>
    <row r="25">
      <c r="A25" s="2" t="inlineStr">
        <is>
          <t>ATR5/ATR20上限</t>
        </is>
      </c>
      <c r="B25" s="2" t="n">
        <v>0.9</v>
      </c>
      <c r="C25" s="2" t="n">
        <v>1</v>
      </c>
      <c r="D25" s="6" t="n">
        <v>3</v>
      </c>
      <c r="E25" s="2" t="inlineStr">
        <is>
          <t>+0 / −0</t>
        </is>
      </c>
    </row>
    <row r="26">
      <c r="A26" s="2" t="inlineStr">
        <is>
          <t>ATR5/升浪ATR上限</t>
        </is>
      </c>
      <c r="B26" s="2" t="n">
        <v>0.7</v>
      </c>
      <c r="C26" s="2" t="n">
        <v>0.6</v>
      </c>
      <c r="D26" s="6" t="n">
        <v>2</v>
      </c>
      <c r="E26" s="2" t="inlineStr">
        <is>
          <t>+0 / −1</t>
        </is>
      </c>
      <c r="F26" s="7" t="inlineStr">
        <is>
          <t>BSVN</t>
        </is>
      </c>
    </row>
    <row r="27">
      <c r="A27" s="2" t="inlineStr">
        <is>
          <t>ATR5/升浪ATR上限</t>
        </is>
      </c>
      <c r="B27" s="2" t="n">
        <v>0.7</v>
      </c>
      <c r="C27" s="2" t="n">
        <v>0.85</v>
      </c>
      <c r="D27" s="6" t="n">
        <v>4</v>
      </c>
      <c r="E27" s="2" t="inlineStr">
        <is>
          <t>+1 / −0</t>
        </is>
      </c>
      <c r="F27" s="31" t="inlineStr">
        <is>
          <t>PURR</t>
        </is>
      </c>
    </row>
    <row r="28">
      <c r="A28" s="2" t="inlineStr">
        <is>
          <t>高位最遠日數</t>
        </is>
      </c>
      <c r="B28" s="2" t="n">
        <v>25</v>
      </c>
      <c r="C28" s="2" t="n">
        <v>20</v>
      </c>
      <c r="D28" s="6" t="n">
        <v>3</v>
      </c>
      <c r="E28" s="2" t="inlineStr">
        <is>
          <t>+0 / −0</t>
        </is>
      </c>
    </row>
    <row r="29">
      <c r="A29" s="2" t="inlineStr">
        <is>
          <t>高位最遠日數</t>
        </is>
      </c>
      <c r="B29" s="2" t="n">
        <v>25</v>
      </c>
      <c r="C29" s="2" t="n">
        <v>40</v>
      </c>
      <c r="D29" s="6" t="n">
        <v>3</v>
      </c>
      <c r="E29" s="2" t="inlineStr">
        <is>
          <t>+0 / −0</t>
        </is>
      </c>
    </row>
    <row r="30">
      <c r="A30" s="2" t="inlineStr">
        <is>
          <t>全部放寬一級</t>
        </is>
      </c>
      <c r="B30" s="2" t="inlineStr"/>
      <c r="C30" s="2" t="inlineStr"/>
      <c r="D30" s="6" t="n">
        <v>22</v>
      </c>
      <c r="E30" s="2" t="inlineStr">
        <is>
          <t>+19 / −0</t>
        </is>
      </c>
      <c r="F30" s="31" t="inlineStr">
        <is>
          <t>AMBA</t>
        </is>
      </c>
      <c r="G30" s="31" t="inlineStr">
        <is>
          <t>ASO</t>
        </is>
      </c>
      <c r="H30" s="31" t="inlineStr">
        <is>
          <t>ASST</t>
        </is>
      </c>
      <c r="I30" s="31" t="inlineStr">
        <is>
          <t>AVTR</t>
        </is>
      </c>
      <c r="J30" s="31" t="inlineStr">
        <is>
          <t>BBNX</t>
        </is>
      </c>
      <c r="K30" s="31" t="inlineStr">
        <is>
          <t>BVS</t>
        </is>
      </c>
      <c r="L30" s="31" t="inlineStr">
        <is>
          <t>CMRC</t>
        </is>
      </c>
      <c r="M30" s="31" t="inlineStr">
        <is>
          <t>CRSR</t>
        </is>
      </c>
      <c r="N30" s="31" t="inlineStr">
        <is>
          <t>FLXS</t>
        </is>
      </c>
      <c r="O30" s="31" t="inlineStr">
        <is>
          <t>GEMI</t>
        </is>
      </c>
      <c r="P30" s="31" t="inlineStr">
        <is>
          <t>HAE</t>
        </is>
      </c>
      <c r="Q30" s="31" t="inlineStr">
        <is>
          <t>KN</t>
        </is>
      </c>
      <c r="R30" s="31" t="inlineStr">
        <is>
          <t>OMER</t>
        </is>
      </c>
      <c r="S30" s="31" t="inlineStr">
        <is>
          <t>PKOH</t>
        </is>
      </c>
      <c r="T30" s="31" t="inlineStr">
        <is>
          <t>PLSE</t>
        </is>
      </c>
      <c r="U30" s="31" t="inlineStr">
        <is>
          <t>PURR</t>
        </is>
      </c>
      <c r="V30" s="31" t="inlineStr">
        <is>
          <t>RNG</t>
        </is>
      </c>
      <c r="W30" s="31" t="inlineStr">
        <is>
          <t>UMAC</t>
        </is>
      </c>
      <c r="X30" s="31" t="inlineStr">
        <is>
          <t>UTMD</t>
        </is>
      </c>
    </row>
    <row r="31">
      <c r="A31" s="2" t="inlineStr">
        <is>
          <t>全部收緊一級</t>
        </is>
      </c>
      <c r="B31" s="2" t="inlineStr"/>
      <c r="C31" s="2" t="inlineStr"/>
      <c r="D31" s="6" t="n">
        <v>0</v>
      </c>
      <c r="E31" s="2" t="inlineStr">
        <is>
          <t>+0 / −3</t>
        </is>
      </c>
      <c r="F31" s="7" t="inlineStr">
        <is>
          <t>BSVN</t>
        </is>
      </c>
      <c r="G31" s="7" t="inlineStr">
        <is>
          <t>CSR</t>
        </is>
      </c>
      <c r="H31" s="7" t="inlineStr">
        <is>
          <t>RLGT</t>
        </is>
      </c>
    </row>
    <row r="33">
      <c r="A33" s="29" t="inlineStr">
        <is>
          <t>黃底 = 放寬後新增；橙底 = 收緊後剔走</t>
        </is>
      </c>
    </row>
  </sheetData>
  <autoFilter ref="A3:F3"/>
  <hyperlinks>
    <hyperlink xmlns:r="http://schemas.openxmlformats.org/officeDocument/2006/relationships" ref="F5" r:id="rId1"/>
    <hyperlink xmlns:r="http://schemas.openxmlformats.org/officeDocument/2006/relationships" ref="F7" r:id="rId2"/>
    <hyperlink xmlns:r="http://schemas.openxmlformats.org/officeDocument/2006/relationships" ref="F8" r:id="rId3"/>
    <hyperlink xmlns:r="http://schemas.openxmlformats.org/officeDocument/2006/relationships" ref="G8" r:id="rId4"/>
    <hyperlink xmlns:r="http://schemas.openxmlformats.org/officeDocument/2006/relationships" ref="H8" r:id="rId5"/>
    <hyperlink xmlns:r="http://schemas.openxmlformats.org/officeDocument/2006/relationships" ref="F11" r:id="rId6"/>
    <hyperlink xmlns:r="http://schemas.openxmlformats.org/officeDocument/2006/relationships" ref="G11" r:id="rId7"/>
    <hyperlink xmlns:r="http://schemas.openxmlformats.org/officeDocument/2006/relationships" ref="F15" r:id="rId8"/>
    <hyperlink xmlns:r="http://schemas.openxmlformats.org/officeDocument/2006/relationships" ref="F18" r:id="rId9"/>
    <hyperlink xmlns:r="http://schemas.openxmlformats.org/officeDocument/2006/relationships" ref="F26" r:id="rId10"/>
    <hyperlink xmlns:r="http://schemas.openxmlformats.org/officeDocument/2006/relationships" ref="F27" r:id="rId11"/>
    <hyperlink xmlns:r="http://schemas.openxmlformats.org/officeDocument/2006/relationships" ref="F30" r:id="rId12"/>
    <hyperlink xmlns:r="http://schemas.openxmlformats.org/officeDocument/2006/relationships" ref="G30" r:id="rId13"/>
    <hyperlink xmlns:r="http://schemas.openxmlformats.org/officeDocument/2006/relationships" ref="H30" r:id="rId14"/>
    <hyperlink xmlns:r="http://schemas.openxmlformats.org/officeDocument/2006/relationships" ref="I30" r:id="rId15"/>
    <hyperlink xmlns:r="http://schemas.openxmlformats.org/officeDocument/2006/relationships" ref="J30" r:id="rId16"/>
    <hyperlink xmlns:r="http://schemas.openxmlformats.org/officeDocument/2006/relationships" ref="K30" r:id="rId17"/>
    <hyperlink xmlns:r="http://schemas.openxmlformats.org/officeDocument/2006/relationships" ref="L30" r:id="rId18"/>
    <hyperlink xmlns:r="http://schemas.openxmlformats.org/officeDocument/2006/relationships" ref="M30" r:id="rId19"/>
    <hyperlink xmlns:r="http://schemas.openxmlformats.org/officeDocument/2006/relationships" ref="N30" r:id="rId20"/>
    <hyperlink xmlns:r="http://schemas.openxmlformats.org/officeDocument/2006/relationships" ref="O30" r:id="rId21"/>
    <hyperlink xmlns:r="http://schemas.openxmlformats.org/officeDocument/2006/relationships" ref="P30" r:id="rId22"/>
    <hyperlink xmlns:r="http://schemas.openxmlformats.org/officeDocument/2006/relationships" ref="Q30" r:id="rId23"/>
    <hyperlink xmlns:r="http://schemas.openxmlformats.org/officeDocument/2006/relationships" ref="R30" r:id="rId24"/>
    <hyperlink xmlns:r="http://schemas.openxmlformats.org/officeDocument/2006/relationships" ref="S30" r:id="rId25"/>
    <hyperlink xmlns:r="http://schemas.openxmlformats.org/officeDocument/2006/relationships" ref="T30" r:id="rId26"/>
    <hyperlink xmlns:r="http://schemas.openxmlformats.org/officeDocument/2006/relationships" ref="U30" r:id="rId27"/>
    <hyperlink xmlns:r="http://schemas.openxmlformats.org/officeDocument/2006/relationships" ref="V30" r:id="rId28"/>
    <hyperlink xmlns:r="http://schemas.openxmlformats.org/officeDocument/2006/relationships" ref="W30" r:id="rId29"/>
    <hyperlink xmlns:r="http://schemas.openxmlformats.org/officeDocument/2006/relationships" ref="X30" r:id="rId30"/>
    <hyperlink xmlns:r="http://schemas.openxmlformats.org/officeDocument/2006/relationships" ref="F31" r:id="rId31"/>
    <hyperlink xmlns:r="http://schemas.openxmlformats.org/officeDocument/2006/relationships" ref="G31" r:id="rId32"/>
    <hyperlink xmlns:r="http://schemas.openxmlformats.org/officeDocument/2006/relationships" ref="H31" r:id="rId3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9" customWidth="1" min="4" max="4"/>
    <col width="9" customWidth="1" min="5" max="5"/>
    <col width="8" customWidth="1" min="6" max="6"/>
    <col width="80" customWidth="1" min="7" max="7"/>
  </cols>
  <sheetData>
    <row r="1">
      <c r="A1" s="1" t="inlineStr">
        <is>
          <t>五項條件只差一項嘅股票（基準門檻）</t>
        </is>
      </c>
    </row>
    <row r="3" ht="42" customHeight="1">
      <c r="A3" s="4" t="inlineStr">
        <is>
          <t>代號</t>
        </is>
      </c>
      <c r="B3" s="4" t="inlineStr">
        <is>
          <t>唔通過嘅一項</t>
        </is>
      </c>
      <c r="C3" s="4" t="inlineStr">
        <is>
          <t>收市價</t>
        </is>
      </c>
      <c r="D3" s="4" t="inlineStr">
        <is>
          <t>距MA20%</t>
        </is>
      </c>
      <c r="E3" s="4" t="inlineStr">
        <is>
          <t>距高位%</t>
        </is>
      </c>
      <c r="F3" s="4" t="inlineStr">
        <is>
          <t>高位至今</t>
        </is>
      </c>
      <c r="G3" s="4" t="inlineStr">
        <is>
          <t>說明</t>
        </is>
      </c>
    </row>
    <row r="4">
      <c r="A4" s="27" t="inlineStr">
        <is>
          <t>ASO</t>
        </is>
      </c>
      <c r="B4" s="2" t="inlineStr">
        <is>
          <t>C1b 熱錢</t>
        </is>
      </c>
      <c r="C4" s="10" t="n">
        <v>48.09</v>
      </c>
      <c r="D4" s="16" t="n">
        <v>-0.01746356861563325</v>
      </c>
      <c r="E4" s="15" t="n">
        <v>-0.13132225433526</v>
      </c>
      <c r="F4" s="12" t="n">
        <v>13</v>
      </c>
      <c r="G4" s="3" t="inlineStr">
        <is>
          <t>升浪成交額係之前 60 日嘅 1.57×（要 ≥2.0×）</t>
        </is>
      </c>
    </row>
    <row r="5">
      <c r="A5" s="27" t="inlineStr">
        <is>
          <t>CMRC</t>
        </is>
      </c>
      <c r="B5" s="2" t="inlineStr">
        <is>
          <t>C1b 熱錢</t>
        </is>
      </c>
      <c r="C5" s="10" t="n">
        <v>3.16</v>
      </c>
      <c r="D5" s="16" t="n">
        <v>0.01152368758002531</v>
      </c>
      <c r="E5" s="15" t="n">
        <v>-0.1318681318681318</v>
      </c>
      <c r="F5" s="12" t="n">
        <v>12</v>
      </c>
      <c r="G5" s="3" t="inlineStr">
        <is>
          <t>升浪成交額係之前 60 日嘅 1.73×（要 ≥2.0×）</t>
        </is>
      </c>
    </row>
    <row r="6">
      <c r="A6" s="27" t="inlineStr">
        <is>
          <t>DELL</t>
        </is>
      </c>
      <c r="B6" s="2" t="inlineStr">
        <is>
          <t>C1b 熱錢</t>
        </is>
      </c>
      <c r="C6" s="10" t="n">
        <v>537.95</v>
      </c>
      <c r="D6" s="16" t="n">
        <v>-0.009961121718925381</v>
      </c>
      <c r="E6" s="15" t="n">
        <v>-0.08574099252209366</v>
      </c>
      <c r="F6" s="12" t="n">
        <v>9</v>
      </c>
      <c r="G6" s="3" t="inlineStr">
        <is>
          <t>升浪成交額係之前 60 日嘅 1.18×（要 ≥2.0×）</t>
        </is>
      </c>
    </row>
    <row r="7">
      <c r="A7" s="27" t="inlineStr">
        <is>
          <t>GTLB</t>
        </is>
      </c>
      <c r="B7" s="2" t="inlineStr">
        <is>
          <t>C1b 熱錢</t>
        </is>
      </c>
      <c r="C7" s="10" t="n">
        <v>47.25</v>
      </c>
      <c r="D7" s="16" t="n">
        <v>-0.02211874272409786</v>
      </c>
      <c r="E7" s="15" t="n">
        <v>-0.06007559180425703</v>
      </c>
      <c r="F7" s="12" t="n">
        <v>9</v>
      </c>
      <c r="G7" s="3" t="inlineStr">
        <is>
          <t>升浪成交額係之前 60 日嘅 1.17×（要 ≥2.0×）</t>
        </is>
      </c>
    </row>
    <row r="8">
      <c r="A8" s="27" t="inlineStr">
        <is>
          <t>OMER</t>
        </is>
      </c>
      <c r="B8" s="2" t="inlineStr">
        <is>
          <t>C1b 熱錢</t>
        </is>
      </c>
      <c r="C8" s="10" t="n">
        <v>19.04</v>
      </c>
      <c r="D8" s="16" t="n">
        <v>0.005279831045407191</v>
      </c>
      <c r="E8" s="15" t="n">
        <v>-0.09548693586698342</v>
      </c>
      <c r="F8" s="12" t="n">
        <v>6</v>
      </c>
      <c r="G8" s="3" t="inlineStr">
        <is>
          <t>升浪成交額係之前 60 日嘅 1.54×（要 ≥2.0×）</t>
        </is>
      </c>
    </row>
    <row r="9">
      <c r="A9" s="27" t="inlineStr">
        <is>
          <t>ACVA</t>
        </is>
      </c>
      <c r="B9" s="2" t="inlineStr">
        <is>
          <t>C3 回落20MA</t>
        </is>
      </c>
      <c r="C9" s="10" t="n">
        <v>10.43</v>
      </c>
      <c r="D9" s="16" t="n">
        <v>0.1077478625670398</v>
      </c>
      <c r="E9" s="15" t="n">
        <v>-0.004770992366412319</v>
      </c>
      <c r="F9" s="12" t="n">
        <v>7</v>
      </c>
      <c r="G9" s="3" t="inlineStr">
        <is>
          <t>距高位 -0.5%；收市距 MA20 +10.8%；近 3 日最低價距 MA20 +10.8%</t>
        </is>
      </c>
    </row>
    <row r="10">
      <c r="A10" s="27" t="inlineStr">
        <is>
          <t>AIP</t>
        </is>
      </c>
      <c r="B10" s="2" t="inlineStr">
        <is>
          <t>C3 回落20MA</t>
        </is>
      </c>
      <c r="C10" s="10" t="n">
        <v>23.64</v>
      </c>
      <c r="D10" s="16" t="n">
        <v>0.04794201742137294</v>
      </c>
      <c r="E10" s="15" t="n">
        <v>-0.3453337025754638</v>
      </c>
      <c r="F10" s="12" t="n">
        <v>58</v>
      </c>
      <c r="G10" s="3" t="inlineStr">
        <is>
          <t>高位喺 58 日前；距高位 -34.5%；高位時只高過 MA20 -10.7%；收市距 MA20 +4.8%</t>
        </is>
      </c>
    </row>
    <row r="11">
      <c r="A11" s="27" t="inlineStr">
        <is>
          <t>ALAB</t>
        </is>
      </c>
      <c r="B11" s="2" t="inlineStr">
        <is>
          <t>C3 回落20MA</t>
        </is>
      </c>
      <c r="C11" s="10" t="n">
        <v>355.97</v>
      </c>
      <c r="D11" s="16" t="n">
        <v>0.1367450267205508</v>
      </c>
      <c r="E11" s="15" t="n">
        <v>-0.1774044460877201</v>
      </c>
      <c r="F11" s="12" t="n">
        <v>61</v>
      </c>
      <c r="G11" s="3" t="inlineStr">
        <is>
          <t>高位喺 61 日前；收市距 MA20 +13.7%；近 3 日最低價距 MA20 +9.7%</t>
        </is>
      </c>
    </row>
    <row r="12">
      <c r="A12" s="27" t="inlineStr">
        <is>
          <t>AMLX</t>
        </is>
      </c>
      <c r="B12" s="2" t="inlineStr">
        <is>
          <t>C3 回落20MA</t>
        </is>
      </c>
      <c r="C12" s="10" t="n">
        <v>29.1</v>
      </c>
      <c r="D12" s="16" t="n">
        <v>-0.09369087384083519</v>
      </c>
      <c r="E12" s="15" t="n">
        <v>-0.2662632375189107</v>
      </c>
      <c r="F12" s="12" t="n">
        <v>28</v>
      </c>
      <c r="G12" s="3" t="inlineStr">
        <is>
          <t>MA20 唔係向上；高位喺 28 日前；收市距 MA20 -9.4%</t>
        </is>
      </c>
    </row>
    <row r="13">
      <c r="A13" s="27" t="inlineStr">
        <is>
          <t>AMWL</t>
        </is>
      </c>
      <c r="B13" s="2" t="inlineStr">
        <is>
          <t>C3 回落20MA</t>
        </is>
      </c>
      <c r="C13" s="10" t="n">
        <v>13.58</v>
      </c>
      <c r="D13" s="16" t="n">
        <v>0.02239789196310893</v>
      </c>
      <c r="E13" s="15" t="n">
        <v>-0.02090843547224219</v>
      </c>
      <c r="F13" s="12" t="n">
        <v>12</v>
      </c>
      <c r="G13" s="3" t="inlineStr">
        <is>
          <t>距高位 -2.1%</t>
        </is>
      </c>
    </row>
    <row r="14">
      <c r="A14" s="27" t="inlineStr">
        <is>
          <t>ANIX</t>
        </is>
      </c>
      <c r="B14" s="2" t="inlineStr">
        <is>
          <t>C3 回落20MA</t>
        </is>
      </c>
      <c r="C14" s="10" t="n">
        <v>2.93</v>
      </c>
      <c r="D14" s="16" t="n">
        <v>0.03753541076487421</v>
      </c>
      <c r="E14" s="15" t="n">
        <v>-0.2186666666666667</v>
      </c>
      <c r="F14" s="12" t="n">
        <v>48</v>
      </c>
      <c r="G14" s="3" t="inlineStr">
        <is>
          <t>MA20 唔係向上；高位喺 48 日前；收市距 MA20 +3.8%</t>
        </is>
      </c>
    </row>
    <row r="15">
      <c r="A15" s="27" t="inlineStr">
        <is>
          <t>AOUT</t>
        </is>
      </c>
      <c r="B15" s="2" t="inlineStr">
        <is>
          <t>C3 回落20MA</t>
        </is>
      </c>
      <c r="C15" s="10" t="n">
        <v>16.2</v>
      </c>
      <c r="D15" s="16" t="n">
        <v>0.05187974806830575</v>
      </c>
      <c r="E15" s="15" t="n">
        <v>-0.07692307692307698</v>
      </c>
      <c r="F15" s="12" t="n">
        <v>3</v>
      </c>
      <c r="G15" s="3" t="inlineStr">
        <is>
          <t>收市距 MA20 +5.2%；近 3 日最低價距 MA20 +3.5%</t>
        </is>
      </c>
    </row>
    <row r="16">
      <c r="A16" s="27" t="inlineStr">
        <is>
          <t>BBCP</t>
        </is>
      </c>
      <c r="B16" s="2" t="inlineStr">
        <is>
          <t>C3 回落20MA</t>
        </is>
      </c>
      <c r="C16" s="10" t="n">
        <v>9.69</v>
      </c>
      <c r="D16" s="16" t="n">
        <v>-0.02168151644413163</v>
      </c>
      <c r="E16" s="15" t="n">
        <v>-0.1348214285714285</v>
      </c>
      <c r="F16" s="12" t="n">
        <v>61</v>
      </c>
      <c r="G16" s="3" t="inlineStr">
        <is>
          <t>高位喺 61 日前；高位時只高過 MA20 0.4%</t>
        </is>
      </c>
    </row>
    <row r="17">
      <c r="A17" s="27" t="inlineStr">
        <is>
          <t>BIAF</t>
        </is>
      </c>
      <c r="B17" s="2" t="inlineStr">
        <is>
          <t>C3 回落20MA</t>
        </is>
      </c>
      <c r="C17" s="10" t="n">
        <v>6.56</v>
      </c>
      <c r="D17" s="16" t="n">
        <v>-0.2424723577470549</v>
      </c>
      <c r="E17" s="15" t="n">
        <v>-0.5703994760969221</v>
      </c>
      <c r="F17" s="12" t="n">
        <v>17</v>
      </c>
      <c r="G17" s="3" t="inlineStr">
        <is>
          <t>距高位 -57.0%；收市距 MA20 -24.2%</t>
        </is>
      </c>
    </row>
    <row r="18">
      <c r="A18" s="27" t="inlineStr">
        <is>
          <t>BNC</t>
        </is>
      </c>
      <c r="B18" s="2" t="inlineStr">
        <is>
          <t>C3 回落20MA</t>
        </is>
      </c>
      <c r="C18" s="10" t="n">
        <v>5.89</v>
      </c>
      <c r="D18" s="16" t="n">
        <v>0.130518234165069</v>
      </c>
      <c r="E18" s="15" t="n">
        <v>-0.1035007610350077</v>
      </c>
      <c r="F18" s="12" t="n">
        <v>7</v>
      </c>
      <c r="G18" s="3" t="inlineStr">
        <is>
          <t>收市距 MA20 +13.1%；近 3 日最低價距 MA20 +11.9%</t>
        </is>
      </c>
    </row>
    <row r="19">
      <c r="A19" s="27" t="inlineStr">
        <is>
          <t>BRUN</t>
        </is>
      </c>
      <c r="B19" s="2" t="inlineStr">
        <is>
          <t>C3 回落20MA</t>
        </is>
      </c>
      <c r="C19" s="10" t="n">
        <v>16.5</v>
      </c>
      <c r="D19" s="16" t="n">
        <v>-0.0039239360096609</v>
      </c>
      <c r="E19" s="15" t="n">
        <v>-0.489322191272052</v>
      </c>
      <c r="F19" s="12" t="n">
        <v>61</v>
      </c>
      <c r="G19" s="3" t="inlineStr">
        <is>
          <t>MA20 唔係向上；高位喺 61 日前；距高位 -48.9%；高位時只高過 MA20 -3.2%</t>
        </is>
      </c>
    </row>
    <row r="20">
      <c r="A20" s="27" t="inlineStr">
        <is>
          <t>BWMN</t>
        </is>
      </c>
      <c r="B20" s="2" t="inlineStr">
        <is>
          <t>C3 回落20MA</t>
        </is>
      </c>
      <c r="C20" s="10" t="n">
        <v>42.64</v>
      </c>
      <c r="D20" s="16" t="n">
        <v>0.002704291593185859</v>
      </c>
      <c r="E20" s="15" t="n">
        <v>0</v>
      </c>
      <c r="F20" s="12" t="n">
        <v>0</v>
      </c>
      <c r="G20" s="3" t="inlineStr">
        <is>
          <t>高位喺 0 日前；距高位 +0.0%；高位時只高過 MA20 0.3%</t>
        </is>
      </c>
    </row>
    <row r="21">
      <c r="A21" s="27" t="inlineStr">
        <is>
          <t>CECO</t>
        </is>
      </c>
      <c r="B21" s="2" t="inlineStr">
        <is>
          <t>C3 回落20MA</t>
        </is>
      </c>
      <c r="C21" s="10" t="n">
        <v>69.64</v>
      </c>
      <c r="D21" s="16" t="n">
        <v>-0.04450252800702259</v>
      </c>
      <c r="E21" s="15" t="n">
        <v>-0.1740986717267552</v>
      </c>
      <c r="F21" s="12" t="n">
        <v>58</v>
      </c>
      <c r="G21" s="3" t="inlineStr">
        <is>
          <t>高位喺 58 日前；高位時只高過 MA20 -7.2%；收市距 MA20 -4.5%</t>
        </is>
      </c>
    </row>
    <row r="22">
      <c r="A22" s="27" t="inlineStr">
        <is>
          <t>CLFD</t>
        </is>
      </c>
      <c r="B22" s="2" t="inlineStr">
        <is>
          <t>C3 回落20MA</t>
        </is>
      </c>
      <c r="C22" s="10" t="n">
        <v>31.14</v>
      </c>
      <c r="D22" s="16" t="n">
        <v>0.04227332061452449</v>
      </c>
      <c r="E22" s="15" t="n">
        <v>-0.1092677345537757</v>
      </c>
      <c r="F22" s="12" t="n">
        <v>61</v>
      </c>
      <c r="G22" s="3" t="inlineStr">
        <is>
          <t>高位喺 61 日前；高位時只高過 MA20 -9.6%；收市距 MA20 +4.2%；近 3 日最低價距 MA20 +2.3%</t>
        </is>
      </c>
    </row>
    <row r="23">
      <c r="A23" s="27" t="inlineStr">
        <is>
          <t>CLOV</t>
        </is>
      </c>
      <c r="B23" s="2" t="inlineStr">
        <is>
          <t>C3 回落20MA</t>
        </is>
      </c>
      <c r="C23" s="10" t="n">
        <v>4.31</v>
      </c>
      <c r="D23" s="16" t="n">
        <v>-0.04259454656522443</v>
      </c>
      <c r="E23" s="15" t="n">
        <v>-0.1806083650190115</v>
      </c>
      <c r="F23" s="12" t="n">
        <v>62</v>
      </c>
      <c r="G23" s="3" t="inlineStr">
        <is>
          <t>高位喺 62 日前；收市距 MA20 -4.3%</t>
        </is>
      </c>
    </row>
    <row r="24">
      <c r="A24" s="27" t="inlineStr">
        <is>
          <t>CRSR</t>
        </is>
      </c>
      <c r="B24" s="2" t="inlineStr">
        <is>
          <t>C3 回落20MA</t>
        </is>
      </c>
      <c r="C24" s="10" t="n">
        <v>13.5</v>
      </c>
      <c r="D24" s="16" t="n">
        <v>0.02653790586267313</v>
      </c>
      <c r="E24" s="15" t="n">
        <v>-0.05923344947735187</v>
      </c>
      <c r="F24" s="12" t="n">
        <v>37</v>
      </c>
      <c r="G24" s="3" t="inlineStr">
        <is>
          <t>高位喺 37 日前；近 3 日最低價距 MA20 +1.7%</t>
        </is>
      </c>
    </row>
    <row r="25">
      <c r="A25" s="27" t="inlineStr">
        <is>
          <t>DAIC</t>
        </is>
      </c>
      <c r="B25" s="2" t="inlineStr">
        <is>
          <t>C3 回落20MA</t>
        </is>
      </c>
      <c r="C25" s="10" t="n">
        <v>2.68</v>
      </c>
      <c r="D25" s="16" t="n">
        <v>-0.131983805668029</v>
      </c>
      <c r="E25" s="15" t="n">
        <v>-0.5347222222222221</v>
      </c>
      <c r="F25" s="12" t="n">
        <v>23</v>
      </c>
      <c r="G25" s="3" t="inlineStr">
        <is>
          <t>MA20 唔係向上；距高位 -53.5%；收市距 MA20 -13.2%</t>
        </is>
      </c>
    </row>
    <row r="26">
      <c r="A26" s="27" t="inlineStr">
        <is>
          <t>DTIL</t>
        </is>
      </c>
      <c r="B26" s="2" t="inlineStr">
        <is>
          <t>C3 回落20MA</t>
        </is>
      </c>
      <c r="C26" s="10" t="n">
        <v>6.26</v>
      </c>
      <c r="D26" s="16" t="n">
        <v>-0.07988535312706813</v>
      </c>
      <c r="E26" s="15" t="n">
        <v>-0.3254310344827586</v>
      </c>
      <c r="F26" s="12" t="n">
        <v>59</v>
      </c>
      <c r="G26" s="3" t="inlineStr">
        <is>
          <t>MA20 唔係向上；高位喺 59 日前；距高位 -32.5%；收市距 MA20 -8.0%</t>
        </is>
      </c>
    </row>
    <row r="27">
      <c r="A27" s="27" t="inlineStr">
        <is>
          <t>FCEL</t>
        </is>
      </c>
      <c r="B27" s="2" t="inlineStr">
        <is>
          <t>C3 回落20MA</t>
        </is>
      </c>
      <c r="C27" s="10" t="n">
        <v>16.42</v>
      </c>
      <c r="D27" s="16" t="n">
        <v>0.004219925386825363</v>
      </c>
      <c r="E27" s="15" t="n">
        <v>-0.4476959300369996</v>
      </c>
      <c r="F27" s="12" t="n">
        <v>61</v>
      </c>
      <c r="G27" s="3" t="inlineStr">
        <is>
          <t>MA20 唔係向上；高位喺 61 日前；距高位 -44.8%</t>
        </is>
      </c>
    </row>
    <row r="28">
      <c r="A28" s="27" t="inlineStr">
        <is>
          <t>FEIM</t>
        </is>
      </c>
      <c r="B28" s="2" t="inlineStr">
        <is>
          <t>C3 回落20MA</t>
        </is>
      </c>
      <c r="C28" s="10" t="n">
        <v>84.53</v>
      </c>
      <c r="D28" s="16" t="n">
        <v>0.07963471486046525</v>
      </c>
      <c r="E28" s="15" t="n">
        <v>-0.05022471910112358</v>
      </c>
      <c r="F28" s="12" t="n">
        <v>7</v>
      </c>
      <c r="G28" s="3" t="inlineStr">
        <is>
          <t>收市距 MA20 +8.0%；近 3 日最低價距 MA20 +6.6%</t>
        </is>
      </c>
    </row>
    <row r="29">
      <c r="A29" s="27" t="inlineStr">
        <is>
          <t>FRD</t>
        </is>
      </c>
      <c r="B29" s="2" t="inlineStr">
        <is>
          <t>C3 回落20MA</t>
        </is>
      </c>
      <c r="C29" s="10" t="n">
        <v>38.2</v>
      </c>
      <c r="D29" s="16" t="n">
        <v>-0.0839987530873082</v>
      </c>
      <c r="E29" s="15" t="n">
        <v>-0.2054908485856904</v>
      </c>
      <c r="F29" s="12" t="n">
        <v>31</v>
      </c>
      <c r="G29" s="3" t="inlineStr">
        <is>
          <t>MA20 唔係向上；高位喺 31 日前；收市距 MA20 -8.4%</t>
        </is>
      </c>
    </row>
    <row r="30">
      <c r="A30" s="27" t="inlineStr">
        <is>
          <t>GALT</t>
        </is>
      </c>
      <c r="B30" s="2" t="inlineStr">
        <is>
          <t>C3 回落20MA</t>
        </is>
      </c>
      <c r="C30" s="10" t="n">
        <v>3.88</v>
      </c>
      <c r="D30" s="16" t="n">
        <v>-0.03024243939015081</v>
      </c>
      <c r="E30" s="15" t="n">
        <v>-0.2734082397003745</v>
      </c>
      <c r="F30" s="12" t="n">
        <v>55</v>
      </c>
      <c r="G30" s="3" t="inlineStr">
        <is>
          <t>MA20 唔係向上；高位喺 55 日前；收市距 MA20 -3.0%</t>
        </is>
      </c>
    </row>
    <row r="31">
      <c r="A31" s="27" t="inlineStr">
        <is>
          <t>GCTS</t>
        </is>
      </c>
      <c r="B31" s="2" t="inlineStr">
        <is>
          <t>C3 回落20MA</t>
        </is>
      </c>
      <c r="C31" s="10" t="n">
        <v>2.12</v>
      </c>
      <c r="D31" s="16" t="n">
        <v>0.06239037835128669</v>
      </c>
      <c r="E31" s="15" t="n">
        <v>-0.1908396946564885</v>
      </c>
      <c r="F31" s="12" t="n">
        <v>62</v>
      </c>
      <c r="G31" s="3" t="inlineStr">
        <is>
          <t>高位喺 62 日前；高位時只高過 MA20 -2.5%；收市距 MA20 +6.2%；近 3 日最低價距 MA20 +3.7%</t>
        </is>
      </c>
    </row>
    <row r="32">
      <c r="A32" s="27" t="inlineStr">
        <is>
          <t>GEMI</t>
        </is>
      </c>
      <c r="B32" s="2" t="inlineStr">
        <is>
          <t>C3 回落20MA</t>
        </is>
      </c>
      <c r="C32" s="10" t="n">
        <v>5.16</v>
      </c>
      <c r="D32" s="16" t="n">
        <v>0.03422358069851494</v>
      </c>
      <c r="E32" s="15" t="n">
        <v>-0.1385642737896494</v>
      </c>
      <c r="F32" s="12" t="n">
        <v>7</v>
      </c>
      <c r="G32" s="3" t="inlineStr">
        <is>
          <t>收市距 MA20 +3.4%；近 3 日最低價距 MA20 +2.6%</t>
        </is>
      </c>
    </row>
    <row r="33">
      <c r="A33" s="27" t="inlineStr">
        <is>
          <t>GOSS</t>
        </is>
      </c>
      <c r="B33" s="2" t="inlineStr">
        <is>
          <t>C3 回落20MA</t>
        </is>
      </c>
      <c r="C33" s="10" t="n">
        <v>11.85</v>
      </c>
      <c r="D33" s="16" t="n">
        <v>0.00126742712293737</v>
      </c>
      <c r="E33" s="15" t="n">
        <v>-0.2844202898550724</v>
      </c>
      <c r="F33" s="12" t="n">
        <v>44</v>
      </c>
      <c r="G33" s="3" t="inlineStr">
        <is>
          <t>MA20 唔係向上；高位喺 44 日前</t>
        </is>
      </c>
    </row>
    <row r="34">
      <c r="A34" s="27" t="inlineStr">
        <is>
          <t>GRML</t>
        </is>
      </c>
      <c r="B34" s="2" t="inlineStr">
        <is>
          <t>C3 回落20MA</t>
        </is>
      </c>
      <c r="C34" s="10" t="n">
        <v>10.62</v>
      </c>
      <c r="D34" s="16" t="n">
        <v>0.4960907233922824</v>
      </c>
      <c r="E34" s="15" t="n">
        <v>-0.2867696440564138</v>
      </c>
      <c r="F34" s="12" t="n">
        <v>4</v>
      </c>
      <c r="G34" s="3" t="inlineStr">
        <is>
          <t>收市距 MA20 +49.6%；近 3 日最低價距 MA20 +41.2%</t>
        </is>
      </c>
    </row>
    <row r="35">
      <c r="A35" s="27" t="inlineStr">
        <is>
          <t>HLIT</t>
        </is>
      </c>
      <c r="B35" s="2" t="inlineStr">
        <is>
          <t>C3 回落20MA</t>
        </is>
      </c>
      <c r="C35" s="10" t="n">
        <v>10.56</v>
      </c>
      <c r="D35" s="16" t="n">
        <v>-0.06523855890944519</v>
      </c>
      <c r="E35" s="15" t="n">
        <v>-0.2531824611032532</v>
      </c>
      <c r="F35" s="12" t="n">
        <v>58</v>
      </c>
      <c r="G35" s="3" t="inlineStr">
        <is>
          <t>MA20 唔係向上；高位喺 58 日前；高位時只高過 MA20 -3.8%；收市距 MA20 -6.5%</t>
        </is>
      </c>
    </row>
    <row r="36">
      <c r="A36" s="27" t="inlineStr">
        <is>
          <t>HZO</t>
        </is>
      </c>
      <c r="B36" s="2" t="inlineStr">
        <is>
          <t>C3 回落20MA</t>
        </is>
      </c>
      <c r="C36" s="10" t="n">
        <v>52.3</v>
      </c>
      <c r="D36" s="16" t="n">
        <v>-0.0001051514659059505</v>
      </c>
      <c r="E36" s="15" t="n">
        <v>-0.004946727549467345</v>
      </c>
      <c r="F36" s="12" t="n">
        <v>8</v>
      </c>
      <c r="G36" s="3" t="inlineStr">
        <is>
          <t>距高位 -0.5%；高位時只高過 MA20 0.7%</t>
        </is>
      </c>
    </row>
    <row r="37">
      <c r="A37" s="27" t="inlineStr">
        <is>
          <t>ITGR</t>
        </is>
      </c>
      <c r="B37" s="2" t="inlineStr">
        <is>
          <t>C3 回落20MA</t>
        </is>
      </c>
      <c r="C37" s="10" t="n">
        <v>126.35</v>
      </c>
      <c r="D37" s="16" t="n">
        <v>0.001553656641879897</v>
      </c>
      <c r="E37" s="15" t="n">
        <v>-0.001185770750988135</v>
      </c>
      <c r="F37" s="12" t="n">
        <v>17</v>
      </c>
      <c r="G37" s="3" t="inlineStr">
        <is>
          <t>距高位 -0.1%；高位時只高過 MA20 1.0%</t>
        </is>
      </c>
    </row>
    <row r="38">
      <c r="A38" s="27" t="inlineStr">
        <is>
          <t>KRT</t>
        </is>
      </c>
      <c r="B38" s="2" t="inlineStr">
        <is>
          <t>C3 回落20MA</t>
        </is>
      </c>
      <c r="C38" s="10" t="n">
        <v>52.55</v>
      </c>
      <c r="D38" s="16" t="n">
        <v>0.04911159912158092</v>
      </c>
      <c r="E38" s="15" t="n">
        <v>-0.02972673559822747</v>
      </c>
      <c r="F38" s="12" t="n">
        <v>4</v>
      </c>
      <c r="G38" s="3" t="inlineStr">
        <is>
          <t>距高位 -3.0%；收市距 MA20 +4.9%；近 3 日最低價距 MA20 +4.1%</t>
        </is>
      </c>
    </row>
    <row r="39">
      <c r="A39" s="27" t="inlineStr">
        <is>
          <t>LBRX</t>
        </is>
      </c>
      <c r="B39" s="2" t="inlineStr">
        <is>
          <t>C3 回落20MA</t>
        </is>
      </c>
      <c r="C39" s="10" t="n">
        <v>38.38</v>
      </c>
      <c r="D39" s="16" t="n">
        <v>-0.1104312253010236</v>
      </c>
      <c r="E39" s="15" t="n">
        <v>-0.2243330638641875</v>
      </c>
      <c r="F39" s="12" t="n">
        <v>19</v>
      </c>
      <c r="G39" s="3" t="inlineStr">
        <is>
          <t>MA20 唔係向上；高位時只高過 MA20 4.4%；收市距 MA20 -11.0%</t>
        </is>
      </c>
    </row>
    <row r="40">
      <c r="A40" s="27" t="inlineStr">
        <is>
          <t>MRVI</t>
        </is>
      </c>
      <c r="B40" s="2" t="inlineStr">
        <is>
          <t>C3 回落20MA</t>
        </is>
      </c>
      <c r="C40" s="10" t="n">
        <v>7.66</v>
      </c>
      <c r="D40" s="16" t="n">
        <v>0.06164027580471698</v>
      </c>
      <c r="E40" s="15" t="n">
        <v>-0.1488888888888888</v>
      </c>
      <c r="F40" s="12" t="n">
        <v>25</v>
      </c>
      <c r="G40" s="3" t="inlineStr">
        <is>
          <t>MA20 唔係向上；收市距 MA20 +6.2%；近 3 日最低價距 MA20 +2.8%</t>
        </is>
      </c>
    </row>
    <row r="41">
      <c r="A41" s="27" t="inlineStr">
        <is>
          <t>NRIX</t>
        </is>
      </c>
      <c r="B41" s="2" t="inlineStr">
        <is>
          <t>C3 回落20MA</t>
        </is>
      </c>
      <c r="C41" s="10" t="n">
        <v>23.71</v>
      </c>
      <c r="D41" s="16" t="n">
        <v>-0.05102112288496097</v>
      </c>
      <c r="E41" s="15" t="n">
        <v>-0.1468154012234616</v>
      </c>
      <c r="F41" s="12" t="n">
        <v>29</v>
      </c>
      <c r="G41" s="3" t="inlineStr">
        <is>
          <t>MA20 唔係向上；高位喺 29 日前；收市距 MA20 -5.1%</t>
        </is>
      </c>
    </row>
    <row r="42">
      <c r="A42" s="27" t="inlineStr">
        <is>
          <t>NUCL</t>
        </is>
      </c>
      <c r="B42" s="2" t="inlineStr">
        <is>
          <t>C3 回落20MA</t>
        </is>
      </c>
      <c r="C42" s="10" t="n">
        <v>6.36</v>
      </c>
      <c r="D42" s="16" t="n">
        <v>-0.002274688210841869</v>
      </c>
      <c r="E42" s="15" t="n">
        <v>-0.2821670428893904</v>
      </c>
      <c r="F42" s="12" t="n">
        <v>62</v>
      </c>
      <c r="G42" s="3" t="inlineStr">
        <is>
          <t>MA20 唔係向上；高位喺 62 日前；高位時只高過 MA20 -9.8%</t>
        </is>
      </c>
    </row>
    <row r="43">
      <c r="A43" s="27" t="inlineStr">
        <is>
          <t>NVEC</t>
        </is>
      </c>
      <c r="B43" s="2" t="inlineStr">
        <is>
          <t>C3 回落20MA</t>
        </is>
      </c>
      <c r="C43" s="10" t="n">
        <v>110.08</v>
      </c>
      <c r="D43" s="16" t="n">
        <v>0.07002085024276372</v>
      </c>
      <c r="E43" s="15" t="n">
        <v>-0.179792861932792</v>
      </c>
      <c r="F43" s="12" t="n">
        <v>48</v>
      </c>
      <c r="G43" s="3" t="inlineStr">
        <is>
          <t>高位喺 48 日前；收市距 MA20 +7.0%；近 3 日最低價距 MA20 +4.9%</t>
        </is>
      </c>
    </row>
    <row r="44">
      <c r="A44" s="27" t="inlineStr">
        <is>
          <t>OABI</t>
        </is>
      </c>
      <c r="B44" s="2" t="inlineStr">
        <is>
          <t>C3 回落20MA</t>
        </is>
      </c>
      <c r="C44" s="10" t="n">
        <v>4.96</v>
      </c>
      <c r="D44" s="16" t="n">
        <v>0.09474148871599564</v>
      </c>
      <c r="E44" s="15" t="n">
        <v>-0.01587301587301593</v>
      </c>
      <c r="F44" s="12" t="n">
        <v>19</v>
      </c>
      <c r="G44" s="3" t="inlineStr">
        <is>
          <t>距高位 -1.6%；收市距 MA20 +9.5%</t>
        </is>
      </c>
    </row>
    <row r="45">
      <c r="A45" s="27" t="inlineStr">
        <is>
          <t>OCC</t>
        </is>
      </c>
      <c r="B45" s="2" t="inlineStr">
        <is>
          <t>C3 回落20MA</t>
        </is>
      </c>
      <c r="C45" s="10" t="n">
        <v>16.57</v>
      </c>
      <c r="D45" s="16" t="n">
        <v>0.1637053163845767</v>
      </c>
      <c r="E45" s="15" t="n">
        <v>-0.06910112359550569</v>
      </c>
      <c r="F45" s="12" t="n">
        <v>32</v>
      </c>
      <c r="G45" s="3" t="inlineStr">
        <is>
          <t>高位喺 32 日前；收市距 MA20 +16.4%</t>
        </is>
      </c>
    </row>
    <row r="46">
      <c r="A46" s="27" t="inlineStr">
        <is>
          <t>OESX</t>
        </is>
      </c>
      <c r="B46" s="2" t="inlineStr">
        <is>
          <t>C3 回落20MA</t>
        </is>
      </c>
      <c r="C46" s="10" t="n">
        <v>30.5</v>
      </c>
      <c r="D46" s="16" t="n">
        <v>0.09947549611578843</v>
      </c>
      <c r="E46" s="15" t="n">
        <v>-0.00294213795357956</v>
      </c>
      <c r="F46" s="12" t="n">
        <v>3</v>
      </c>
      <c r="G46" s="3" t="inlineStr">
        <is>
          <t>距高位 -0.3%；收市距 MA20 +9.9%；近 3 日最低價距 MA20 +6.9%</t>
        </is>
      </c>
    </row>
    <row r="47">
      <c r="A47" s="27" t="inlineStr">
        <is>
          <t>PAY</t>
        </is>
      </c>
      <c r="B47" s="2" t="inlineStr">
        <is>
          <t>C3 回落20MA</t>
        </is>
      </c>
      <c r="C47" s="10" t="n">
        <v>30.64</v>
      </c>
      <c r="D47" s="16" t="n">
        <v>-0.1016111770828748</v>
      </c>
      <c r="E47" s="15" t="n">
        <v>-0.3130044843049328</v>
      </c>
      <c r="F47" s="12" t="n">
        <v>40</v>
      </c>
      <c r="G47" s="3" t="inlineStr">
        <is>
          <t>MA20 唔係向上；高位喺 40 日前；距高位 -31.3%；收市距 MA20 -10.2%</t>
        </is>
      </c>
    </row>
    <row r="48">
      <c r="A48" s="27" t="inlineStr">
        <is>
          <t>PDFS</t>
        </is>
      </c>
      <c r="B48" s="2" t="inlineStr">
        <is>
          <t>C3 回落20MA</t>
        </is>
      </c>
      <c r="C48" s="10" t="n">
        <v>51.05</v>
      </c>
      <c r="D48" s="16" t="n">
        <v>0.1015568526330608</v>
      </c>
      <c r="E48" s="15" t="n">
        <v>-0.1373774923960798</v>
      </c>
      <c r="F48" s="12" t="n">
        <v>62</v>
      </c>
      <c r="G48" s="3" t="inlineStr">
        <is>
          <t>高位喺 62 日前；高位時只高過 MA20 -4.9%；收市距 MA20 +10.2%；近 3 日最低價距 MA20 +5.3%</t>
        </is>
      </c>
    </row>
    <row r="49">
      <c r="A49" s="27" t="inlineStr">
        <is>
          <t>PESI</t>
        </is>
      </c>
      <c r="B49" s="2" t="inlineStr">
        <is>
          <t>C3 回落20MA</t>
        </is>
      </c>
      <c r="C49" s="10" t="n">
        <v>15.65</v>
      </c>
      <c r="D49" s="16" t="n">
        <v>-0.09909909909909986</v>
      </c>
      <c r="E49" s="15" t="n">
        <v>-0.1945445187853834</v>
      </c>
      <c r="F49" s="12" t="n">
        <v>34</v>
      </c>
      <c r="G49" s="3" t="inlineStr">
        <is>
          <t>MA20 唔係向上；高位喺 34 日前；收市距 MA20 -9.9%</t>
        </is>
      </c>
    </row>
    <row r="50">
      <c r="A50" s="27" t="inlineStr">
        <is>
          <t>PRPO</t>
        </is>
      </c>
      <c r="B50" s="2" t="inlineStr">
        <is>
          <t>C3 回落20MA</t>
        </is>
      </c>
      <c r="C50" s="10" t="n">
        <v>23.68</v>
      </c>
      <c r="D50" s="16" t="n">
        <v>-0.08648142968742212</v>
      </c>
      <c r="E50" s="15" t="n">
        <v>-0.2390745501285347</v>
      </c>
      <c r="F50" s="12" t="n">
        <v>26</v>
      </c>
      <c r="G50" s="3" t="inlineStr">
        <is>
          <t>MA20 唔係向上；高位喺 26 日前；收市距 MA20 -8.6%</t>
        </is>
      </c>
    </row>
    <row r="51">
      <c r="A51" s="27" t="inlineStr">
        <is>
          <t>PRTH</t>
        </is>
      </c>
      <c r="B51" s="2" t="inlineStr">
        <is>
          <t>C3 回落20MA</t>
        </is>
      </c>
      <c r="C51" s="10" t="n">
        <v>7.8</v>
      </c>
      <c r="D51" s="16" t="n">
        <v>0.1908851482881015</v>
      </c>
      <c r="E51" s="15" t="n">
        <v>0</v>
      </c>
      <c r="F51" s="12" t="n">
        <v>0</v>
      </c>
      <c r="G51" s="3" t="inlineStr">
        <is>
          <t>高位喺 0 日前；距高位 +0.0%；收市距 MA20 +19.1%；近 3 日最低價距 MA20 +18.8%</t>
        </is>
      </c>
    </row>
    <row r="52">
      <c r="A52" s="27" t="inlineStr">
        <is>
          <t>RGR</t>
        </is>
      </c>
      <c r="B52" s="2" t="inlineStr">
        <is>
          <t>C3 回落20MA</t>
        </is>
      </c>
      <c r="C52" s="10" t="n">
        <v>42.48</v>
      </c>
      <c r="D52" s="16" t="n">
        <v>0.06865236094689853</v>
      </c>
      <c r="E52" s="15" t="n">
        <v>-0.007708479327260154</v>
      </c>
      <c r="F52" s="12" t="n">
        <v>3</v>
      </c>
      <c r="G52" s="3" t="inlineStr">
        <is>
          <t>距高位 -0.8%；收市距 MA20 +6.9%；近 3 日最低價距 MA20 +6.1%</t>
        </is>
      </c>
    </row>
    <row r="53">
      <c r="A53" s="27" t="inlineStr">
        <is>
          <t>ROKU</t>
        </is>
      </c>
      <c r="B53" s="2" t="inlineStr">
        <is>
          <t>C3 回落20MA</t>
        </is>
      </c>
      <c r="C53" s="10" t="n">
        <v>152.28</v>
      </c>
      <c r="D53" s="16" t="n">
        <v>-0.01467824016409247</v>
      </c>
      <c r="E53" s="15" t="n">
        <v>-0.04682023034551819</v>
      </c>
      <c r="F53" s="12" t="n">
        <v>25</v>
      </c>
      <c r="G53" s="3" t="inlineStr">
        <is>
          <t>MA20 唔係向上；高位時只高過 MA20 4.7%</t>
        </is>
      </c>
    </row>
    <row r="54">
      <c r="A54" s="27" t="inlineStr">
        <is>
          <t>RXT</t>
        </is>
      </c>
      <c r="B54" s="2" t="inlineStr">
        <is>
          <t>C3 回落20MA</t>
        </is>
      </c>
      <c r="C54" s="10" t="n">
        <v>3.725</v>
      </c>
      <c r="D54" s="16" t="n">
        <v>0.03207037473159158</v>
      </c>
      <c r="E54" s="15" t="n">
        <v>-0.4489644970414201</v>
      </c>
      <c r="F54" s="12" t="n">
        <v>60</v>
      </c>
      <c r="G54" s="3" t="inlineStr">
        <is>
          <t>高位喺 60 日前；距高位 -44.9%；收市距 MA20 +3.2%；近 3 日最低價距 MA20 +3.1%</t>
        </is>
      </c>
    </row>
    <row r="55">
      <c r="A55" s="27" t="inlineStr">
        <is>
          <t>SAFT</t>
        </is>
      </c>
      <c r="B55" s="2" t="inlineStr">
        <is>
          <t>C3 回落20MA</t>
        </is>
      </c>
      <c r="C55" s="10" t="n">
        <v>103.58</v>
      </c>
      <c r="D55" s="16" t="n">
        <v>0.001324400877784848</v>
      </c>
      <c r="E55" s="15" t="n">
        <v>-0.002023316311783541</v>
      </c>
      <c r="F55" s="12" t="n">
        <v>23</v>
      </c>
      <c r="G55" s="3" t="inlineStr">
        <is>
          <t>MA20 唔係向上；距高位 -0.2%；高位時只高過 MA20 0.3%</t>
        </is>
      </c>
    </row>
    <row r="56">
      <c r="A56" s="27" t="inlineStr">
        <is>
          <t>SHAZ</t>
        </is>
      </c>
      <c r="B56" s="2" t="inlineStr">
        <is>
          <t>C3 回落20MA</t>
        </is>
      </c>
      <c r="C56" s="10" t="n">
        <v>54.6</v>
      </c>
      <c r="D56" s="16" t="n">
        <v>-0.02289748476632691</v>
      </c>
      <c r="E56" s="15" t="n">
        <v>-0.3175</v>
      </c>
      <c r="F56" s="12" t="n">
        <v>58</v>
      </c>
      <c r="G56" s="3" t="inlineStr">
        <is>
          <t>MA20 唔係向上；高位喺 58 日前；距高位 -31.8%；高位時只高過 MA20 2.3%</t>
        </is>
      </c>
    </row>
    <row r="57">
      <c r="A57" s="27" t="inlineStr">
        <is>
          <t>SMTI</t>
        </is>
      </c>
      <c r="B57" s="2" t="inlineStr">
        <is>
          <t>C3 回落20MA</t>
        </is>
      </c>
      <c r="C57" s="10" t="n">
        <v>35.14</v>
      </c>
      <c r="D57" s="16" t="n">
        <v>0.003125847475771604</v>
      </c>
      <c r="E57" s="15" t="n">
        <v>-0.003968253968253954</v>
      </c>
      <c r="F57" s="12" t="n">
        <v>6</v>
      </c>
      <c r="G57" s="3" t="inlineStr">
        <is>
          <t>距高位 -0.4%；高位時只高過 MA20 1.1%</t>
        </is>
      </c>
    </row>
    <row r="58">
      <c r="A58" s="27" t="inlineStr">
        <is>
          <t>SWBI</t>
        </is>
      </c>
      <c r="B58" s="2" t="inlineStr">
        <is>
          <t>C3 回落20MA</t>
        </is>
      </c>
      <c r="C58" s="10" t="n">
        <v>14.06</v>
      </c>
      <c r="D58" s="16" t="n">
        <v>0.04271729457134454</v>
      </c>
      <c r="E58" s="15" t="n">
        <v>-0.1021711366538952</v>
      </c>
      <c r="F58" s="12" t="n">
        <v>56</v>
      </c>
      <c r="G58" s="3" t="inlineStr">
        <is>
          <t>高位喺 56 日前；高位時只高過 MA20 2.3%；收市距 MA20 +4.3%；近 3 日最低價距 MA20 +3.2%</t>
        </is>
      </c>
    </row>
    <row r="59">
      <c r="A59" s="27" t="inlineStr">
        <is>
          <t>TLYS</t>
        </is>
      </c>
      <c r="B59" s="2" t="inlineStr">
        <is>
          <t>C3 回落20MA</t>
        </is>
      </c>
      <c r="C59" s="10" t="n">
        <v>4.63</v>
      </c>
      <c r="D59" s="16" t="n">
        <v>0.06375646180356598</v>
      </c>
      <c r="E59" s="15" t="n">
        <v>-0.05894308943089432</v>
      </c>
      <c r="F59" s="12" t="n">
        <v>12</v>
      </c>
      <c r="G59" s="3" t="inlineStr">
        <is>
          <t>收市距 MA20 +6.4%</t>
        </is>
      </c>
    </row>
    <row r="60">
      <c r="A60" s="27" t="inlineStr">
        <is>
          <t>TNON</t>
        </is>
      </c>
      <c r="B60" s="2" t="inlineStr">
        <is>
          <t>C3 回落20MA</t>
        </is>
      </c>
      <c r="C60" s="10" t="n">
        <v>4.09</v>
      </c>
      <c r="D60" s="16" t="n">
        <v>0.04871794871793633</v>
      </c>
      <c r="E60" s="15" t="n">
        <v>-0.6415425065731815</v>
      </c>
      <c r="F60" s="12" t="n">
        <v>29</v>
      </c>
      <c r="G60" s="3" t="inlineStr">
        <is>
          <t>MA20 唔係向上；高位喺 29 日前；距高位 -64.2%；收市距 MA20 +4.9%</t>
        </is>
      </c>
    </row>
    <row r="61">
      <c r="A61" s="27" t="inlineStr">
        <is>
          <t>UTMD</t>
        </is>
      </c>
      <c r="B61" s="2" t="inlineStr">
        <is>
          <t>C3 回落20MA</t>
        </is>
      </c>
      <c r="C61" s="10" t="n">
        <v>74.05</v>
      </c>
      <c r="D61" s="16" t="n">
        <v>0.01594226758863138</v>
      </c>
      <c r="E61" s="15" t="n">
        <v>-0.03404643882076697</v>
      </c>
      <c r="F61" s="12" t="n">
        <v>6</v>
      </c>
      <c r="G61" s="3" t="inlineStr">
        <is>
          <t>高位時只高過 MA20 6.5%；近 3 日最低價距 MA20 +1.6%</t>
        </is>
      </c>
    </row>
    <row r="62">
      <c r="A62" s="27" t="inlineStr">
        <is>
          <t>VNCE</t>
        </is>
      </c>
      <c r="B62" s="2" t="inlineStr">
        <is>
          <t>C3 回落20MA</t>
        </is>
      </c>
      <c r="C62" s="10" t="n">
        <v>10.07</v>
      </c>
      <c r="D62" s="16" t="n">
        <v>0.1753034547152179</v>
      </c>
      <c r="E62" s="15" t="n">
        <v>-0.1243478260869565</v>
      </c>
      <c r="F62" s="12" t="n">
        <v>3</v>
      </c>
      <c r="G62" s="3" t="inlineStr">
        <is>
          <t>收市距 MA20 +17.5%；近 3 日最低價距 MA20 +12.2%</t>
        </is>
      </c>
    </row>
    <row r="63">
      <c r="A63" s="27" t="inlineStr">
        <is>
          <t>VREX</t>
        </is>
      </c>
      <c r="B63" s="2" t="inlineStr">
        <is>
          <t>C3 回落20MA</t>
        </is>
      </c>
      <c r="C63" s="10" t="n">
        <v>18.45</v>
      </c>
      <c r="D63" s="16" t="n">
        <v>-0.001488296576912296</v>
      </c>
      <c r="E63" s="15" t="n">
        <v>-0.006996770721205525</v>
      </c>
      <c r="F63" s="12" t="n">
        <v>35</v>
      </c>
      <c r="G63" s="3" t="inlineStr">
        <is>
          <t>MA20 唔係向上；高位喺 35 日前；距高位 -0.7%</t>
        </is>
      </c>
    </row>
    <row r="64">
      <c r="A64" s="27" t="inlineStr">
        <is>
          <t>MTW</t>
        </is>
      </c>
      <c r="B64" s="2" t="inlineStr">
        <is>
          <t>C4 波幅減低</t>
        </is>
      </c>
      <c r="C64" s="10" t="n">
        <v>21.46</v>
      </c>
      <c r="D64" s="16" t="n">
        <v>0.001867413632121506</v>
      </c>
      <c r="E64" s="15" t="n">
        <v>-0.05711775043936729</v>
      </c>
      <c r="F64" s="12" t="n">
        <v>7</v>
      </c>
      <c r="G64" s="3" t="inlineStr">
        <is>
          <t>ATR5/ATR20 1.08（要 ≤0.9）；ATR5 係升浪期 ATR 嘅 1.00×（要 ≤0.7）</t>
        </is>
      </c>
    </row>
    <row r="65">
      <c r="A65" s="27" t="inlineStr">
        <is>
          <t>NEO</t>
        </is>
      </c>
      <c r="B65" s="2" t="inlineStr">
        <is>
          <t>C4 波幅減低</t>
        </is>
      </c>
      <c r="C65" s="10" t="n">
        <v>18.36</v>
      </c>
      <c r="D65" s="16" t="n">
        <v>-0.008559008559007042</v>
      </c>
      <c r="E65" s="15" t="n">
        <v>-0.07785032646911105</v>
      </c>
      <c r="F65" s="12" t="n">
        <v>8</v>
      </c>
      <c r="G65" s="3" t="inlineStr">
        <is>
          <t>ATR5/ATR20 1.10（要 ≤0.9）；ATR5 係升浪期 ATR 嘅 0.97×（要 ≤0.7）</t>
        </is>
      </c>
    </row>
    <row r="66">
      <c r="A66" s="27" t="inlineStr">
        <is>
          <t>PURR</t>
        </is>
      </c>
      <c r="B66" s="2" t="inlineStr">
        <is>
          <t>C4 波幅減低</t>
        </is>
      </c>
      <c r="C66" s="10" t="n">
        <v>12.27</v>
      </c>
      <c r="D66" s="16" t="n">
        <v>-0.01410148246353959</v>
      </c>
      <c r="E66" s="15" t="n">
        <v>-0.1291696238466998</v>
      </c>
      <c r="F66" s="12" t="n">
        <v>4</v>
      </c>
      <c r="G66" s="3" t="inlineStr">
        <is>
          <t>ATR5/ATR20 0.80（要 ≤0.9）；ATR5 係升浪期 ATR 嘅 0.76×（要 ≤0.7）</t>
        </is>
      </c>
    </row>
  </sheetData>
  <autoFilter ref="A3:G3"/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8" r:id="rId55"/>
    <hyperlink xmlns:r="http://schemas.openxmlformats.org/officeDocument/2006/relationships" ref="A59" r:id="rId56"/>
    <hyperlink xmlns:r="http://schemas.openxmlformats.org/officeDocument/2006/relationships" ref="A60" r:id="rId57"/>
    <hyperlink xmlns:r="http://schemas.openxmlformats.org/officeDocument/2006/relationships" ref="A61" r:id="rId58"/>
    <hyperlink xmlns:r="http://schemas.openxmlformats.org/officeDocument/2006/relationships" ref="A62" r:id="rId59"/>
    <hyperlink xmlns:r="http://schemas.openxmlformats.org/officeDocument/2006/relationships" ref="A63" r:id="rId60"/>
    <hyperlink xmlns:r="http://schemas.openxmlformats.org/officeDocument/2006/relationships" ref="A64" r:id="rId61"/>
    <hyperlink xmlns:r="http://schemas.openxmlformats.org/officeDocument/2006/relationships" ref="A65" r:id="rId62"/>
    <hyperlink xmlns:r="http://schemas.openxmlformats.org/officeDocument/2006/relationships" ref="A66" r:id="rId6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24" customWidth="1" min="10" max="10"/>
    <col width="90" customWidth="1" min="11" max="11"/>
  </cols>
  <sheetData>
    <row r="1">
      <c r="A1" s="1" t="inlineStr">
        <is>
          <t>而家處於「上升中 20MA 回調位」（通過 C3）嘅全部股票，同佢哋差邊項</t>
        </is>
      </c>
    </row>
    <row r="3" ht="42" customHeight="1">
      <c r="A3" s="4" t="inlineStr">
        <is>
          <t>梯隊</t>
        </is>
      </c>
      <c r="B3" s="4" t="inlineStr">
        <is>
          <t>代號</t>
        </is>
      </c>
      <c r="C3" s="4" t="inlineStr">
        <is>
          <t>收市價</t>
        </is>
      </c>
      <c r="D3" s="4" t="inlineStr">
        <is>
          <t>距MA20%</t>
        </is>
      </c>
      <c r="E3" s="4" t="inlineStr">
        <is>
          <t>距高位%</t>
        </is>
      </c>
      <c r="F3" s="4" t="inlineStr">
        <is>
          <t>升浪成交額比</t>
        </is>
      </c>
      <c r="G3" s="4" t="inlineStr">
        <is>
          <t>事件日量比</t>
        </is>
      </c>
      <c r="H3" s="4" t="inlineStr">
        <is>
          <t>ATR5/ATR20</t>
        </is>
      </c>
      <c r="I3" s="4" t="inlineStr">
        <is>
          <t>ATR5/升浪ATR</t>
        </is>
      </c>
      <c r="J3" s="4" t="inlineStr">
        <is>
          <t>唔過嘅條件</t>
        </is>
      </c>
      <c r="K3" s="4" t="inlineStr">
        <is>
          <t>說明</t>
        </is>
      </c>
    </row>
    <row r="4">
      <c r="A4" s="5" t="n">
        <v>1</v>
      </c>
      <c r="B4" s="31" t="inlineStr">
        <is>
          <t>BSVN</t>
        </is>
      </c>
      <c r="C4" s="10" t="n">
        <v>54.53</v>
      </c>
      <c r="D4" s="16" t="n">
        <v>-0.004</v>
      </c>
      <c r="E4" s="15" t="n">
        <v>-0.0505</v>
      </c>
      <c r="F4" s="9" t="n">
        <v>3.43</v>
      </c>
      <c r="G4" s="17" t="n">
        <v>3.09</v>
      </c>
      <c r="H4" s="9" t="n">
        <v>0.647</v>
      </c>
      <c r="I4" s="9" t="n">
        <v>0.625</v>
      </c>
      <c r="J4" s="3" t="inlineStr">
        <is>
          <t>全部通過</t>
        </is>
      </c>
      <c r="K4" s="3" t="inlineStr"/>
    </row>
    <row r="5">
      <c r="A5" s="5" t="n">
        <v>1</v>
      </c>
      <c r="B5" s="31" t="inlineStr">
        <is>
          <t>CSR</t>
        </is>
      </c>
      <c r="C5" s="10" t="n">
        <v>54.4</v>
      </c>
      <c r="D5" s="16" t="n">
        <v>-0.0219</v>
      </c>
      <c r="E5" s="15" t="n">
        <v>-0.07199999999999999</v>
      </c>
      <c r="F5" s="9" t="n">
        <v>3.01</v>
      </c>
      <c r="G5" s="17" t="n">
        <v>15.22</v>
      </c>
      <c r="H5" s="9" t="n">
        <v>0.71</v>
      </c>
      <c r="I5" s="9" t="n">
        <v>0.505</v>
      </c>
      <c r="J5" s="3" t="inlineStr">
        <is>
          <t>全部通過</t>
        </is>
      </c>
      <c r="K5" s="3" t="inlineStr"/>
    </row>
    <row r="6">
      <c r="A6" s="5" t="n">
        <v>1</v>
      </c>
      <c r="B6" s="31" t="inlineStr">
        <is>
          <t>RLGT</t>
        </is>
      </c>
      <c r="C6" s="10" t="n">
        <v>8.69</v>
      </c>
      <c r="D6" s="16" t="n">
        <v>0.0105</v>
      </c>
      <c r="E6" s="15" t="n">
        <v>-0.1142</v>
      </c>
      <c r="F6" s="9" t="n">
        <v>6.8</v>
      </c>
      <c r="G6" s="17" t="n">
        <v>23.13</v>
      </c>
      <c r="H6" s="9" t="n">
        <v>0.534</v>
      </c>
      <c r="I6" s="9" t="n">
        <v>0.322</v>
      </c>
      <c r="J6" s="3" t="inlineStr">
        <is>
          <t>全部通過</t>
        </is>
      </c>
      <c r="K6" s="3" t="inlineStr"/>
    </row>
    <row r="7">
      <c r="A7" s="5" t="n">
        <v>2</v>
      </c>
      <c r="B7" s="26" t="inlineStr">
        <is>
          <t>ASO</t>
        </is>
      </c>
      <c r="C7" s="10" t="n">
        <v>48.09</v>
      </c>
      <c r="D7" s="16" t="n">
        <v>-0.0175</v>
      </c>
      <c r="E7" s="15" t="n">
        <v>-0.1313</v>
      </c>
      <c r="F7" s="9" t="n">
        <v>1.57</v>
      </c>
      <c r="G7" s="17" t="n">
        <v>3.98</v>
      </c>
      <c r="H7" s="9" t="n">
        <v>0.657</v>
      </c>
      <c r="I7" s="9" t="n">
        <v>0.589</v>
      </c>
      <c r="J7" s="3" t="inlineStr">
        <is>
          <t>C1b 熱錢</t>
        </is>
      </c>
      <c r="K7" s="3" t="inlineStr">
        <is>
          <t>C1b 熱錢：升浪成交額係之前 60 日嘅 1.57×（要 ≥2.0×）</t>
        </is>
      </c>
    </row>
    <row r="8">
      <c r="A8" s="5" t="n">
        <v>2</v>
      </c>
      <c r="B8" s="26" t="inlineStr">
        <is>
          <t>CMRC</t>
        </is>
      </c>
      <c r="C8" s="10" t="n">
        <v>3.16</v>
      </c>
      <c r="D8" s="16" t="n">
        <v>0.0115</v>
      </c>
      <c r="E8" s="15" t="n">
        <v>-0.1319</v>
      </c>
      <c r="F8" s="9" t="n">
        <v>1.73</v>
      </c>
      <c r="G8" s="17" t="n">
        <v>4.4</v>
      </c>
      <c r="H8" s="9" t="n">
        <v>0.641</v>
      </c>
      <c r="I8" s="9" t="n">
        <v>0.515</v>
      </c>
      <c r="J8" s="3" t="inlineStr">
        <is>
          <t>C1b 熱錢</t>
        </is>
      </c>
      <c r="K8" s="3" t="inlineStr">
        <is>
          <t>C1b 熱錢：升浪成交額係之前 60 日嘅 1.73×（要 ≥2.0×）</t>
        </is>
      </c>
    </row>
    <row r="9">
      <c r="A9" s="5" t="n">
        <v>2</v>
      </c>
      <c r="B9" s="26" t="inlineStr">
        <is>
          <t>OMER</t>
        </is>
      </c>
      <c r="C9" s="10" t="n">
        <v>19.04</v>
      </c>
      <c r="D9" s="16" t="n">
        <v>0.0053</v>
      </c>
      <c r="E9" s="15" t="n">
        <v>-0.0955</v>
      </c>
      <c r="F9" s="9" t="n">
        <v>1.54</v>
      </c>
      <c r="G9" s="17" t="n">
        <v>7.07</v>
      </c>
      <c r="H9" s="9" t="n">
        <v>0.751</v>
      </c>
      <c r="I9" s="9" t="n">
        <v>0.5590000000000001</v>
      </c>
      <c r="J9" s="3" t="inlineStr">
        <is>
          <t>C1b 熱錢</t>
        </is>
      </c>
      <c r="K9" s="3" t="inlineStr">
        <is>
          <t>C1b 熱錢：升浪成交額係之前 60 日嘅 1.54×（要 ≥2.0×）</t>
        </is>
      </c>
    </row>
    <row r="10">
      <c r="A10" s="5" t="n">
        <v>2</v>
      </c>
      <c r="B10" s="26" t="inlineStr">
        <is>
          <t>PURR</t>
        </is>
      </c>
      <c r="C10" s="10" t="n">
        <v>12.27</v>
      </c>
      <c r="D10" s="16" t="n">
        <v>-0.0141</v>
      </c>
      <c r="E10" s="15" t="n">
        <v>-0.1292</v>
      </c>
      <c r="F10" s="9" t="n">
        <v>2.01</v>
      </c>
      <c r="G10" s="17" t="n">
        <v>5.66</v>
      </c>
      <c r="H10" s="9" t="n">
        <v>0.801</v>
      </c>
      <c r="I10" s="9" t="n">
        <v>0.757</v>
      </c>
      <c r="J10" s="3" t="inlineStr">
        <is>
          <t>C4 波幅減低</t>
        </is>
      </c>
      <c r="K10" s="3" t="inlineStr">
        <is>
          <t>C4 波幅減低：ATR5/ATR20 0.80（要 ≤0.9）；ATR5 係升浪期 ATR 嘅 0.76×（要 ≤0.7）</t>
        </is>
      </c>
    </row>
    <row r="11">
      <c r="A11" s="5" t="n">
        <v>2</v>
      </c>
      <c r="B11" s="26" t="inlineStr">
        <is>
          <t>FLXS</t>
        </is>
      </c>
      <c r="C11" s="10" t="n">
        <v>84.65000000000001</v>
      </c>
      <c r="D11" s="16" t="n">
        <v>0.0157</v>
      </c>
      <c r="E11" s="15" t="n">
        <v>-0.0528</v>
      </c>
      <c r="F11" s="9" t="n">
        <v>1.78</v>
      </c>
      <c r="G11" s="17" t="n">
        <v>5.27</v>
      </c>
      <c r="H11" s="9" t="n">
        <v>0.9350000000000001</v>
      </c>
      <c r="I11" s="9" t="n">
        <v>0.824</v>
      </c>
      <c r="J11" s="3" t="inlineStr">
        <is>
          <t>C1b 熱錢、C4 波幅減低</t>
        </is>
      </c>
      <c r="K11" s="3" t="inlineStr">
        <is>
          <t>C1b 熱錢：升浪成交額係之前 60 日嘅 1.78×（要 ≥2.0×）；C4 波幅減低：ATR5/ATR20 0.94（要 ≤0.9）；ATR5 係升浪期 ATR 嘅 0.82×（要 ≤0.7）</t>
        </is>
      </c>
    </row>
    <row r="12">
      <c r="A12" s="5" t="n">
        <v>2</v>
      </c>
      <c r="B12" s="26" t="inlineStr">
        <is>
          <t>RNG</t>
        </is>
      </c>
      <c r="C12" s="10" t="n">
        <v>74.7</v>
      </c>
      <c r="D12" s="16" t="n">
        <v>0.0077</v>
      </c>
      <c r="E12" s="15" t="n">
        <v>-0.0641</v>
      </c>
      <c r="F12" s="9" t="n">
        <v>1.58</v>
      </c>
      <c r="G12" s="17" t="n">
        <v>5.35</v>
      </c>
      <c r="H12" s="9" t="n">
        <v>0.864</v>
      </c>
      <c r="I12" s="9" t="n">
        <v>0.737</v>
      </c>
      <c r="J12" s="3" t="inlineStr">
        <is>
          <t>C1b 熱錢、C4 波幅減低</t>
        </is>
      </c>
      <c r="K12" s="3" t="inlineStr">
        <is>
          <t>C1b 熱錢：升浪成交額係之前 60 日嘅 1.58×（要 ≥2.0×）；C4 波幅減低：ATR5/ATR20 0.86（要 ≤0.9）；ATR5 係升浪期 ATR 嘅 0.74×（要 ≤0.7）</t>
        </is>
      </c>
    </row>
    <row r="13">
      <c r="A13" s="6" t="n"/>
      <c r="B13" s="27" t="inlineStr">
        <is>
          <t>DELL</t>
        </is>
      </c>
      <c r="C13" s="10" t="n">
        <v>537.95</v>
      </c>
      <c r="D13" s="16" t="n">
        <v>-0.01</v>
      </c>
      <c r="E13" s="15" t="n">
        <v>-0.0857</v>
      </c>
      <c r="F13" s="9" t="n">
        <v>1.18</v>
      </c>
      <c r="G13" s="17" t="n">
        <v>5.62</v>
      </c>
      <c r="H13" s="9" t="n">
        <v>0.671</v>
      </c>
      <c r="I13" s="9" t="n">
        <v>0.607</v>
      </c>
      <c r="J13" s="3" t="inlineStr">
        <is>
          <t>C1b 熱錢</t>
        </is>
      </c>
      <c r="K13" s="3" t="inlineStr">
        <is>
          <t>C1b 熱錢：升浪成交額係之前 60 日嘅 1.18×（要 ≥2.0×）</t>
        </is>
      </c>
    </row>
    <row r="14">
      <c r="A14" s="6" t="n"/>
      <c r="B14" s="27" t="inlineStr">
        <is>
          <t>GTLB</t>
        </is>
      </c>
      <c r="C14" s="10" t="n">
        <v>47.25</v>
      </c>
      <c r="D14" s="16" t="n">
        <v>-0.0221</v>
      </c>
      <c r="E14" s="15" t="n">
        <v>-0.0601</v>
      </c>
      <c r="F14" s="9" t="n">
        <v>1.17</v>
      </c>
      <c r="G14" s="17" t="n">
        <v>6.53</v>
      </c>
      <c r="H14" s="9" t="n">
        <v>0.764</v>
      </c>
      <c r="I14" s="9" t="n">
        <v>0.654</v>
      </c>
      <c r="J14" s="3" t="inlineStr">
        <is>
          <t>C1b 熱錢</t>
        </is>
      </c>
      <c r="K14" s="3" t="inlineStr">
        <is>
          <t>C1b 熱錢：升浪成交額係之前 60 日嘅 1.17×（要 ≥2.0×）</t>
        </is>
      </c>
    </row>
    <row r="15">
      <c r="A15" s="6" t="n"/>
      <c r="B15" s="27" t="inlineStr">
        <is>
          <t>MTW</t>
        </is>
      </c>
      <c r="C15" s="10" t="n">
        <v>21.46</v>
      </c>
      <c r="D15" s="16" t="n">
        <v>0.0019</v>
      </c>
      <c r="E15" s="15" t="n">
        <v>-0.0571</v>
      </c>
      <c r="F15" s="9" t="n">
        <v>2.05</v>
      </c>
      <c r="G15" s="17" t="n">
        <v>5.16</v>
      </c>
      <c r="H15" s="9" t="n">
        <v>1.077</v>
      </c>
      <c r="I15" s="9" t="n">
        <v>0.997</v>
      </c>
      <c r="J15" s="3" t="inlineStr">
        <is>
          <t>C4 波幅減低</t>
        </is>
      </c>
      <c r="K15" s="3" t="inlineStr">
        <is>
          <t>C4 波幅減低：ATR5/ATR20 1.08（要 ≤0.9）；ATR5 係升浪期 ATR 嘅 1.00×（要 ≤0.7）</t>
        </is>
      </c>
    </row>
    <row r="16">
      <c r="A16" s="6" t="n"/>
      <c r="B16" s="27" t="inlineStr">
        <is>
          <t>NEO</t>
        </is>
      </c>
      <c r="C16" s="10" t="n">
        <v>18.36</v>
      </c>
      <c r="D16" s="16" t="n">
        <v>-0.0086</v>
      </c>
      <c r="E16" s="15" t="n">
        <v>-0.0779</v>
      </c>
      <c r="F16" s="9" t="n">
        <v>2.04</v>
      </c>
      <c r="G16" s="17" t="n">
        <v>3.07</v>
      </c>
      <c r="H16" s="9" t="n">
        <v>1.099</v>
      </c>
      <c r="I16" s="9" t="n">
        <v>0.971</v>
      </c>
      <c r="J16" s="3" t="inlineStr">
        <is>
          <t>C4 波幅減低</t>
        </is>
      </c>
      <c r="K16" s="3" t="inlineStr">
        <is>
          <t>C4 波幅減低：ATR5/ATR20 1.10（要 ≤0.9）；ATR5 係升浪期 ATR 嘅 0.97×（要 ≤0.7）</t>
        </is>
      </c>
    </row>
    <row r="17">
      <c r="A17" s="6" t="n"/>
      <c r="B17" s="27" t="inlineStr">
        <is>
          <t>ACFN</t>
        </is>
      </c>
      <c r="C17" s="10" t="n">
        <v>20</v>
      </c>
      <c r="D17" s="16" t="n">
        <v>-0.0203</v>
      </c>
      <c r="E17" s="15" t="n">
        <v>-0.09950000000000001</v>
      </c>
      <c r="F17" s="9" t="n">
        <v>3.88</v>
      </c>
      <c r="G17" s="17" t="n"/>
      <c r="H17" s="9" t="n">
        <v>0.95</v>
      </c>
      <c r="I17" s="9" t="n">
        <v>0.979</v>
      </c>
      <c r="J17" s="3" t="inlineStr">
        <is>
          <t>C1a 事件日、C4 波幅減低</t>
        </is>
      </c>
      <c r="K17" s="3" t="inlineStr">
        <is>
          <t>C1a 事件日：高位前 60 日最大量日只有 33.8× 50日均量（當日 +5.2%）；要 ≥3× 兼當日 ≥+8% 或開市跳空 ≥+5%；C4 波幅減低：ATR5/ATR20 0.95（要 ≤0.9）；ATR5 係升浪期 ATR 嘅 0.98×（要 ≤0.7）</t>
        </is>
      </c>
    </row>
    <row r="18">
      <c r="A18" s="6" t="n"/>
      <c r="B18" s="27" t="inlineStr">
        <is>
          <t>AGPU</t>
        </is>
      </c>
      <c r="C18" s="10" t="n">
        <v>11.37</v>
      </c>
      <c r="D18" s="16" t="n">
        <v>-0.0034</v>
      </c>
      <c r="E18" s="15" t="n">
        <v>-0.12</v>
      </c>
      <c r="F18" s="9" t="n">
        <v>0.17</v>
      </c>
      <c r="G18" s="17" t="n">
        <v>8.789999999999999</v>
      </c>
      <c r="H18" s="9" t="n">
        <v>0.9360000000000001</v>
      </c>
      <c r="I18" s="9" t="n">
        <v>0.789</v>
      </c>
      <c r="J18" s="3" t="inlineStr">
        <is>
          <t>C1b 熱錢、C4 波幅減低</t>
        </is>
      </c>
      <c r="K18" s="3" t="inlineStr">
        <is>
          <t>C1b 熱錢：升浪成交額係之前 60 日嘅 0.17×（要 ≥2.0×）；C4 波幅減低：ATR5/ATR20 0.94（要 ≤0.9）；ATR5 係升浪期 ATR 嘅 0.79×（要 ≤0.7）</t>
        </is>
      </c>
    </row>
    <row r="19">
      <c r="A19" s="6" t="n"/>
      <c r="B19" s="27" t="inlineStr">
        <is>
          <t>BLTE</t>
        </is>
      </c>
      <c r="C19" s="10" t="n">
        <v>169.82</v>
      </c>
      <c r="D19" s="16" t="n">
        <v>-0.0183</v>
      </c>
      <c r="E19" s="15" t="n">
        <v>-0.1229</v>
      </c>
      <c r="F19" s="9" t="n">
        <v>1.14</v>
      </c>
      <c r="G19" s="17" t="n">
        <v>4.13</v>
      </c>
      <c r="H19" s="9" t="n">
        <v>0.756</v>
      </c>
      <c r="I19" s="9" t="n">
        <v>0.736</v>
      </c>
      <c r="J19" s="3" t="inlineStr">
        <is>
          <t>C1b 熱錢、C4 波幅減低</t>
        </is>
      </c>
      <c r="K19" s="3" t="inlineStr">
        <is>
          <t>C1b 熱錢：升浪成交額係之前 60 日嘅 1.14×（要 ≥2.0×）；C4 波幅減低：ATR5/ATR20 0.76（要 ≤0.9）；ATR5 係升浪期 ATR 嘅 0.74×（要 ≤0.7）</t>
        </is>
      </c>
    </row>
    <row r="20">
      <c r="A20" s="6" t="n"/>
      <c r="B20" s="27" t="inlineStr">
        <is>
          <t>CORT</t>
        </is>
      </c>
      <c r="C20" s="10" t="n">
        <v>115.23</v>
      </c>
      <c r="D20" s="16" t="n">
        <v>0.0125</v>
      </c>
      <c r="E20" s="15" t="n">
        <v>-0.0675</v>
      </c>
      <c r="F20" s="9" t="n">
        <v>1.66</v>
      </c>
      <c r="G20" s="17" t="n">
        <v>4.17</v>
      </c>
      <c r="H20" s="9" t="n">
        <v>0.986</v>
      </c>
      <c r="I20" s="9" t="n">
        <v>0.986</v>
      </c>
      <c r="J20" s="3" t="inlineStr">
        <is>
          <t>C1b 熱錢、C4 波幅減低</t>
        </is>
      </c>
      <c r="K20" s="3" t="inlineStr">
        <is>
          <t>C1b 熱錢：升浪成交額係之前 60 日嘅 1.66×（要 ≥2.0×）；C4 波幅減低：ATR5/ATR20 0.99（要 ≤0.9）；ATR5 係升浪期 ATR 嘅 0.99×（要 ≤0.7）</t>
        </is>
      </c>
    </row>
    <row r="21">
      <c r="A21" s="6" t="n"/>
      <c r="B21" s="27" t="inlineStr">
        <is>
          <t>DHX</t>
        </is>
      </c>
      <c r="C21" s="10" t="n">
        <v>4.7</v>
      </c>
      <c r="D21" s="16" t="n">
        <v>0.0021</v>
      </c>
      <c r="E21" s="15" t="n">
        <v>-0.0581</v>
      </c>
      <c r="F21" s="9" t="n">
        <v>1.1</v>
      </c>
      <c r="G21" s="17" t="n"/>
      <c r="H21" s="9" t="n">
        <v>0.8120000000000001</v>
      </c>
      <c r="I21" s="9" t="n">
        <v>0.621</v>
      </c>
      <c r="J21" s="3" t="inlineStr">
        <is>
          <t>C1a 事件日、C1b 熱錢</t>
        </is>
      </c>
      <c r="K21" s="3" t="inlineStr">
        <is>
          <t>C1a 事件日：高位前 60 日最大量日只有 3.0× 50日均量（當日 +3.8%）；要 ≥3× 兼當日 ≥+8% 或開市跳空 ≥+5%；C1b 熱錢：升浪成交額係之前 60 日嘅 1.10×（要 ≥2.0×）</t>
        </is>
      </c>
    </row>
    <row r="22">
      <c r="A22" s="6" t="n"/>
      <c r="B22" s="27" t="inlineStr">
        <is>
          <t>DJCO</t>
        </is>
      </c>
      <c r="C22" s="10" t="n">
        <v>646.22</v>
      </c>
      <c r="D22" s="16" t="n">
        <v>-0.0108</v>
      </c>
      <c r="E22" s="15" t="n">
        <v>-0.0603</v>
      </c>
      <c r="F22" s="9" t="n">
        <v>1.31</v>
      </c>
      <c r="G22" s="17" t="n"/>
      <c r="H22" s="9" t="n">
        <v>0.803</v>
      </c>
      <c r="I22" s="9" t="n">
        <v>0.652</v>
      </c>
      <c r="J22" s="3" t="inlineStr">
        <is>
          <t>C1a 事件日、C1b 熱錢</t>
        </is>
      </c>
      <c r="K22" s="3" t="inlineStr">
        <is>
          <t>C1a 事件日：高位前 60 日最大量日只有 2.4× 50日均量（當日 +0.4%）；要 ≥3× 兼當日 ≥+8% 或開市跳空 ≥+5%；C1b 熱錢：升浪成交額係之前 60 日嘅 1.31×（要 ≥2.0×）</t>
        </is>
      </c>
    </row>
    <row r="23">
      <c r="A23" s="6" t="n"/>
      <c r="B23" s="27" t="inlineStr">
        <is>
          <t>DOCU</t>
        </is>
      </c>
      <c r="C23" s="10" t="n">
        <v>67.15000000000001</v>
      </c>
      <c r="D23" s="16" t="n">
        <v>-0.008800000000000001</v>
      </c>
      <c r="E23" s="15" t="n">
        <v>-0.0654</v>
      </c>
      <c r="F23" s="9" t="n">
        <v>1.05</v>
      </c>
      <c r="G23" s="17" t="n"/>
      <c r="H23" s="9" t="n">
        <v>0.759</v>
      </c>
      <c r="I23" s="9" t="n">
        <v>0.667</v>
      </c>
      <c r="J23" s="3" t="inlineStr">
        <is>
          <t>C1a 事件日、C1b 熱錢</t>
        </is>
      </c>
      <c r="K23" s="3" t="inlineStr">
        <is>
          <t>C1a 事件日：高位前 60 日最大量日只有 2.5× 50日均量（當日 +2.1%）；要 ≥3× 兼當日 ≥+8% 或開市跳空 ≥+5%；C1b 熱錢：升浪成交額係之前 60 日嘅 1.05×（要 ≥2.0×）</t>
        </is>
      </c>
    </row>
    <row r="24">
      <c r="A24" s="6" t="n"/>
      <c r="B24" s="27" t="inlineStr">
        <is>
          <t>EAF</t>
        </is>
      </c>
      <c r="C24" s="10" t="n">
        <v>8.27</v>
      </c>
      <c r="D24" s="16" t="n">
        <v>0.0154</v>
      </c>
      <c r="E24" s="15" t="n">
        <v>-0.272</v>
      </c>
      <c r="F24" s="9" t="n">
        <v>1.28</v>
      </c>
      <c r="G24" s="17" t="n">
        <v>3.85</v>
      </c>
      <c r="H24" s="9" t="n">
        <v>0.841</v>
      </c>
      <c r="I24" s="9" t="n">
        <v>1.037</v>
      </c>
      <c r="J24" s="3" t="inlineStr">
        <is>
          <t>C1b 熱錢、C4 波幅減低</t>
        </is>
      </c>
      <c r="K24" s="3" t="inlineStr">
        <is>
          <t>C1b 熱錢：升浪成交額係之前 60 日嘅 1.28×（要 ≥2.0×）；C4 波幅減低：ATR5/ATR20 0.84（要 ≤0.9）；ATR5 係升浪期 ATR 嘅 1.04×（要 ≤0.7）</t>
        </is>
      </c>
    </row>
    <row r="25">
      <c r="A25" s="6" t="n"/>
      <c r="B25" s="27" t="inlineStr">
        <is>
          <t>HYPD</t>
        </is>
      </c>
      <c r="C25" s="10" t="n">
        <v>3.745</v>
      </c>
      <c r="D25" s="16" t="n">
        <v>0.0232</v>
      </c>
      <c r="E25" s="15" t="n">
        <v>-0.1019</v>
      </c>
      <c r="F25" s="9" t="n">
        <v>0.91</v>
      </c>
      <c r="G25" s="17" t="n">
        <v>5.12</v>
      </c>
      <c r="H25" s="9" t="n">
        <v>0.983</v>
      </c>
      <c r="I25" s="9" t="n">
        <v>0.922</v>
      </c>
      <c r="J25" s="3" t="inlineStr">
        <is>
          <t>C1b 熱錢、C4 波幅減低</t>
        </is>
      </c>
      <c r="K25" s="3" t="inlineStr">
        <is>
          <t>C1b 熱錢：升浪成交額係之前 60 日嘅 0.91×（要 ≥2.0×）；C4 波幅減低：ATR5/ATR20 0.98（要 ≤0.9）；ATR5 係升浪期 ATR 嘅 0.92×（要 ≤0.7）</t>
        </is>
      </c>
    </row>
    <row r="26">
      <c r="A26" s="6" t="n"/>
      <c r="B26" s="27" t="inlineStr">
        <is>
          <t>IBTA</t>
        </is>
      </c>
      <c r="C26" s="10" t="n">
        <v>39.4</v>
      </c>
      <c r="D26" s="16" t="n">
        <v>-0.0225</v>
      </c>
      <c r="E26" s="15" t="n">
        <v>-0.0708</v>
      </c>
      <c r="F26" s="9" t="n">
        <v>1.7</v>
      </c>
      <c r="G26" s="17" t="n">
        <v>6.99</v>
      </c>
      <c r="H26" s="9" t="n">
        <v>1.037</v>
      </c>
      <c r="I26" s="9" t="n">
        <v>0.63</v>
      </c>
      <c r="J26" s="3" t="inlineStr">
        <is>
          <t>C1b 熱錢、C4 波幅減低</t>
        </is>
      </c>
      <c r="K26" s="3" t="inlineStr">
        <is>
          <t>C1b 熱錢：升浪成交額係之前 60 日嘅 1.70×（要 ≥2.0×）；C4 波幅減低：ATR5/ATR20 1.04（要 ≤0.9）；ATR5 係升浪期 ATR 嘅 0.63×（要 ≤0.7）</t>
        </is>
      </c>
    </row>
    <row r="27">
      <c r="A27" s="6" t="n"/>
      <c r="B27" s="27" t="inlineStr">
        <is>
          <t>OPRT</t>
        </is>
      </c>
      <c r="C27" s="10" t="n">
        <v>8.140000000000001</v>
      </c>
      <c r="D27" s="16" t="n">
        <v>0.0139</v>
      </c>
      <c r="E27" s="15" t="n">
        <v>-0.048</v>
      </c>
      <c r="F27" s="9" t="n">
        <v>1.33</v>
      </c>
      <c r="G27" s="17" t="n">
        <v>4.39</v>
      </c>
      <c r="H27" s="9" t="n">
        <v>0.867</v>
      </c>
      <c r="I27" s="9" t="n">
        <v>0.756</v>
      </c>
      <c r="J27" s="3" t="inlineStr">
        <is>
          <t>C1b 熱錢、C4 波幅減低</t>
        </is>
      </c>
      <c r="K27" s="3" t="inlineStr">
        <is>
          <t>C1b 熱錢：升浪成交額係之前 60 日嘅 1.33×（要 ≥2.0×）；C4 波幅減低：ATR5/ATR20 0.87（要 ≤0.9）；ATR5 係升浪期 ATR 嘅 0.76×（要 ≤0.7）</t>
        </is>
      </c>
    </row>
    <row r="28">
      <c r="A28" s="6" t="n"/>
      <c r="B28" s="27" t="inlineStr">
        <is>
          <t>SMMT</t>
        </is>
      </c>
      <c r="C28" s="10" t="n">
        <v>16.91</v>
      </c>
      <c r="D28" s="16" t="n">
        <v>-0.0013</v>
      </c>
      <c r="E28" s="15" t="n">
        <v>-0.082</v>
      </c>
      <c r="F28" s="9" t="n">
        <v>1.28</v>
      </c>
      <c r="G28" s="17" t="n">
        <v>3.2</v>
      </c>
      <c r="H28" s="9" t="n">
        <v>1.332</v>
      </c>
      <c r="I28" s="9" t="n">
        <v>1.345</v>
      </c>
      <c r="J28" s="3" t="inlineStr">
        <is>
          <t>C1b 熱錢、C4 波幅減低</t>
        </is>
      </c>
      <c r="K28" s="3" t="inlineStr">
        <is>
          <t>C1b 熱錢：升浪成交額係之前 60 日嘅 1.28×（要 ≥2.0×）；C4 波幅減低：ATR5/ATR20 1.33（要 ≤0.9）；ATR5 係升浪期 ATR 嘅 1.35×（要 ≤0.7）</t>
        </is>
      </c>
    </row>
    <row r="29">
      <c r="A29" s="6" t="n"/>
      <c r="B29" s="27" t="inlineStr">
        <is>
          <t>SNOW</t>
        </is>
      </c>
      <c r="C29" s="10" t="n">
        <v>339.56</v>
      </c>
      <c r="D29" s="16" t="n">
        <v>0.0195</v>
      </c>
      <c r="E29" s="15" t="n">
        <v>-0.0474</v>
      </c>
      <c r="F29" s="9" t="n">
        <v>1</v>
      </c>
      <c r="G29" s="17" t="n">
        <v>4.2</v>
      </c>
      <c r="H29" s="9" t="n">
        <v>0.798</v>
      </c>
      <c r="I29" s="9" t="n">
        <v>0.831</v>
      </c>
      <c r="J29" s="3" t="inlineStr">
        <is>
          <t>C1b 熱錢、C4 波幅減低</t>
        </is>
      </c>
      <c r="K29" s="3" t="inlineStr">
        <is>
          <t>C1b 熱錢：升浪成交額係之前 60 日嘅 1.00×（要 ≥2.0×）；C4 波幅減低：ATR5/ATR20 0.80（要 ≤0.9）；ATR5 係升浪期 ATR 嘅 0.83×（要 ≤0.7）</t>
        </is>
      </c>
    </row>
    <row r="30">
      <c r="A30" s="6" t="n"/>
      <c r="B30" s="27" t="inlineStr">
        <is>
          <t>ATRC</t>
        </is>
      </c>
      <c r="C30" s="10" t="n">
        <v>56.2</v>
      </c>
      <c r="D30" s="16" t="n">
        <v>-0.0019</v>
      </c>
      <c r="E30" s="15" t="n">
        <v>-0.0752</v>
      </c>
      <c r="F30" s="9" t="n">
        <v>1.98</v>
      </c>
      <c r="G30" s="17" t="n"/>
      <c r="H30" s="9" t="n">
        <v>1.013</v>
      </c>
      <c r="I30" s="9" t="n">
        <v>0.978</v>
      </c>
      <c r="J30" s="3" t="inlineStr">
        <is>
          <t>C1a 事件日、C1b 熱錢、C4 波幅減低</t>
        </is>
      </c>
      <c r="K30" s="3" t="inlineStr">
        <is>
          <t>C1a 事件日：高位前 60 日最大量日只有 9.5× 50日均量（當日 -1.7%）；要 ≥3× 兼當日 ≥+8% 或開市跳空 ≥+5%；C1b 熱錢：升浪成交額係之前 60 日嘅 1.98×（要 ≥2.0×）；C4 波幅減低：ATR5/ATR20 1.01（要 ≤0.9）；ATR5 係升浪期 ATR 嘅 0.98×（要 ≤0.7）</t>
        </is>
      </c>
    </row>
    <row r="31">
      <c r="A31" s="6" t="n"/>
      <c r="B31" s="27" t="inlineStr">
        <is>
          <t>BBY</t>
        </is>
      </c>
      <c r="C31" s="10" t="n">
        <v>88.23999999999999</v>
      </c>
      <c r="D31" s="16" t="n">
        <v>-0.0283</v>
      </c>
      <c r="E31" s="15" t="n">
        <v>-0.06950000000000001</v>
      </c>
      <c r="F31" s="9" t="n">
        <v>1.16</v>
      </c>
      <c r="G31" s="17" t="n"/>
      <c r="H31" s="9" t="n">
        <v>0.882</v>
      </c>
      <c r="I31" s="9" t="n">
        <v>0.844</v>
      </c>
      <c r="J31" s="3" t="inlineStr">
        <is>
          <t>C1a 事件日、C1b 熱錢、C4 波幅減低</t>
        </is>
      </c>
      <c r="K31" s="3" t="inlineStr">
        <is>
          <t>C1a 事件日：高位前 60 日最大量日只有 2.5× 50日均量（當日 -4.4%）；要 ≥3× 兼當日 ≥+8% 或開市跳空 ≥+5%；C1b 熱錢：升浪成交額係之前 60 日嘅 1.16×（要 ≥2.0×）；C4 波幅減低：ATR5/ATR20 0.88（要 ≤0.9）；ATR5 係升浪期 ATR 嘅 0.84×（要 ≤0.7）</t>
        </is>
      </c>
    </row>
    <row r="32">
      <c r="A32" s="6" t="n"/>
      <c r="B32" s="27" t="inlineStr">
        <is>
          <t>CODA</t>
        </is>
      </c>
      <c r="C32" s="10" t="n">
        <v>10.73</v>
      </c>
      <c r="D32" s="16" t="n">
        <v>0.0162</v>
      </c>
      <c r="E32" s="15" t="n">
        <v>-0.0394</v>
      </c>
      <c r="F32" s="9" t="n">
        <v>0.5600000000000001</v>
      </c>
      <c r="G32" s="17" t="n"/>
      <c r="H32" s="9" t="n">
        <v>0.887</v>
      </c>
      <c r="I32" s="9" t="n">
        <v>0.894</v>
      </c>
      <c r="J32" s="3" t="inlineStr">
        <is>
          <t>C1a 事件日、C1b 熱錢、C4 波幅減低</t>
        </is>
      </c>
      <c r="K32" s="3" t="inlineStr">
        <is>
          <t>C1a 事件日：高位前 60 日最大量日只有 5.0× 50日均量（當日 +7.1%）；要 ≥3× 兼當日 ≥+8% 或開市跳空 ≥+5%；C1b 熱錢：升浪成交額係之前 60 日嘅 0.56×（要 ≥2.0×）；C4 波幅減低：ATR5/ATR20 0.89（要 ≤0.9）；ATR5 係升浪期 ATR 嘅 0.89×（要 ≤0.7）</t>
        </is>
      </c>
    </row>
    <row r="33">
      <c r="A33" s="6" t="n"/>
      <c r="B33" s="27" t="inlineStr">
        <is>
          <t>COIN</t>
        </is>
      </c>
      <c r="C33" s="10" t="n">
        <v>186.41</v>
      </c>
      <c r="D33" s="16" t="n">
        <v>0.0042</v>
      </c>
      <c r="E33" s="15" t="n">
        <v>-0.07290000000000001</v>
      </c>
      <c r="F33" s="9" t="n">
        <v>0.87</v>
      </c>
      <c r="G33" s="17" t="n"/>
      <c r="H33" s="9" t="n">
        <v>0.782</v>
      </c>
      <c r="I33" s="9" t="n">
        <v>0.766</v>
      </c>
      <c r="J33" s="3" t="inlineStr">
        <is>
          <t>C1a 事件日、C1b 熱錢、C4 波幅減低</t>
        </is>
      </c>
      <c r="K33" s="3" t="inlineStr">
        <is>
          <t>C1a 事件日：高位前 60 日最大量日只有 2.9× 50日均量（當日 +8.2%）；要 ≥3× 兼當日 ≥+8% 或開市跳空 ≥+5%；C1b 熱錢：升浪成交額係之前 60 日嘅 0.87×（要 ≥2.0×）；C4 波幅減低：ATR5/ATR20 0.78（要 ≤0.9）；ATR5 係升浪期 ATR 嘅 0.77×（要 ≤0.7）</t>
        </is>
      </c>
    </row>
    <row r="34">
      <c r="A34" s="6" t="n"/>
      <c r="B34" s="27" t="inlineStr">
        <is>
          <t>CVI</t>
        </is>
      </c>
      <c r="C34" s="10" t="n">
        <v>50.99</v>
      </c>
      <c r="D34" s="16" t="n">
        <v>0.0229</v>
      </c>
      <c r="E34" s="15" t="n">
        <v>-0.0582</v>
      </c>
      <c r="F34" s="9" t="n">
        <v>1.22</v>
      </c>
      <c r="G34" s="17" t="n"/>
      <c r="H34" s="9" t="n">
        <v>0.899</v>
      </c>
      <c r="I34" s="9" t="n">
        <v>0.847</v>
      </c>
      <c r="J34" s="3" t="inlineStr">
        <is>
          <t>C1a 事件日、C1b 熱錢、C4 波幅減低</t>
        </is>
      </c>
      <c r="K34" s="3" t="inlineStr">
        <is>
          <t>C1a 事件日：高位前 60 日最大量日只有 2.6× 50日均量（當日 +10.0%）；要 ≥3× 兼當日 ≥+8% 或開市跳空 ≥+5%；C1b 熱錢：升浪成交額係之前 60 日嘅 1.22×（要 ≥2.0×）；C4 波幅減低：ATR5/ATR20 0.90（要 ≤0.9）；ATR5 係升浪期 ATR 嘅 0.85×（要 ≤0.7）</t>
        </is>
      </c>
    </row>
    <row r="35">
      <c r="A35" s="6" t="n"/>
      <c r="B35" s="27" t="inlineStr">
        <is>
          <t>DC</t>
        </is>
      </c>
      <c r="C35" s="10" t="n">
        <v>6.09</v>
      </c>
      <c r="D35" s="16" t="n">
        <v>-0.0094</v>
      </c>
      <c r="E35" s="15" t="n">
        <v>-0.1174</v>
      </c>
      <c r="F35" s="9" t="n">
        <v>1.09</v>
      </c>
      <c r="G35" s="17" t="n"/>
      <c r="H35" s="9" t="n">
        <v>0.844</v>
      </c>
      <c r="I35" s="9" t="n">
        <v>0.839</v>
      </c>
      <c r="J35" s="3" t="inlineStr">
        <is>
          <t>C1a 事件日、C1b 熱錢、C4 波幅減低</t>
        </is>
      </c>
      <c r="K35" s="3" t="inlineStr">
        <is>
          <t>C1a 事件日：高位前 60 日最大量日只有 4.9× 50日均量（當日 +3.9%）；要 ≥3× 兼當日 ≥+8% 或開市跳空 ≥+5%；C1b 熱錢：升浪成交額係之前 60 日嘅 1.09×（要 ≥2.0×）；C4 波幅減低：ATR5/ATR20 0.84（要 ≤0.9）；ATR5 係升浪期 ATR 嘅 0.84×（要 ≤0.7）</t>
        </is>
      </c>
    </row>
    <row r="36">
      <c r="A36" s="6" t="n"/>
      <c r="B36" s="27" t="inlineStr">
        <is>
          <t>DINO</t>
        </is>
      </c>
      <c r="C36" s="10" t="n">
        <v>107.32</v>
      </c>
      <c r="D36" s="16" t="n">
        <v>-0.0105</v>
      </c>
      <c r="E36" s="15" t="n">
        <v>-0.07969999999999999</v>
      </c>
      <c r="F36" s="9" t="n">
        <v>1.59</v>
      </c>
      <c r="G36" s="17" t="n"/>
      <c r="H36" s="9" t="n">
        <v>0.856</v>
      </c>
      <c r="I36" s="9" t="n">
        <v>0.929</v>
      </c>
      <c r="J36" s="3" t="inlineStr">
        <is>
          <t>C1a 事件日、C1b 熱錢、C4 波幅減低</t>
        </is>
      </c>
      <c r="K36" s="3" t="inlineStr">
        <is>
          <t>C1a 事件日：高位前 60 日最大量日只有 1.9× 50日均量（當日 +2.8%）；要 ≥3× 兼當日 ≥+8% 或開市跳空 ≥+5%；C1b 熱錢：升浪成交額係之前 60 日嘅 1.59×（要 ≥2.0×）；C4 波幅減低：ATR5/ATR20 0.86（要 ≤0.9）；ATR5 係升浪期 ATR 嘅 0.93×（要 ≤0.7）</t>
        </is>
      </c>
    </row>
    <row r="37">
      <c r="A37" s="6" t="n"/>
      <c r="B37" s="27" t="inlineStr">
        <is>
          <t>FIVN</t>
        </is>
      </c>
      <c r="C37" s="10" t="n">
        <v>34.01</v>
      </c>
      <c r="D37" s="16" t="n">
        <v>0.0036</v>
      </c>
      <c r="E37" s="15" t="n">
        <v>-0.1201</v>
      </c>
      <c r="F37" s="9" t="n">
        <v>1.17</v>
      </c>
      <c r="G37" s="17" t="n"/>
      <c r="H37" s="9" t="n">
        <v>0.769</v>
      </c>
      <c r="I37" s="9" t="n">
        <v>0.709</v>
      </c>
      <c r="J37" s="3" t="inlineStr">
        <is>
          <t>C1a 事件日、C1b 熱錢、C4 波幅減低</t>
        </is>
      </c>
      <c r="K37" s="3" t="inlineStr">
        <is>
          <t>C1a 事件日：高位前 60 日最大量日只有 5.8× 50日均量（當日 -0.5%）；要 ≥3× 兼當日 ≥+8% 或開市跳空 ≥+5%；C1b 熱錢：升浪成交額係之前 60 日嘅 1.17×（要 ≥2.0×）；C4 波幅減低：ATR5/ATR20 0.77（要 ≤0.9）；ATR5 係升浪期 ATR 嘅 0.71×（要 ≤0.7）</t>
        </is>
      </c>
    </row>
    <row r="38">
      <c r="A38" s="6" t="n"/>
      <c r="B38" s="27" t="inlineStr">
        <is>
          <t>INSP</t>
        </is>
      </c>
      <c r="C38" s="10" t="n">
        <v>69.36</v>
      </c>
      <c r="D38" s="16" t="n">
        <v>-0.0071</v>
      </c>
      <c r="E38" s="15" t="n">
        <v>-0.09660000000000001</v>
      </c>
      <c r="F38" s="9" t="n">
        <v>0.91</v>
      </c>
      <c r="G38" s="17" t="n"/>
      <c r="H38" s="9" t="n">
        <v>0.795</v>
      </c>
      <c r="I38" s="9" t="n">
        <v>0.831</v>
      </c>
      <c r="J38" s="3" t="inlineStr">
        <is>
          <t>C1a 事件日、C1b 熱錢、C4 波幅減低</t>
        </is>
      </c>
      <c r="K38" s="3" t="inlineStr">
        <is>
          <t>C1a 事件日：高位前 60 日最大量日只有 4.6× 50日均量（當日 +5.2%）；要 ≥3× 兼當日 ≥+8% 或開市跳空 ≥+5%；C1b 熱錢：升浪成交額係之前 60 日嘅 0.91×（要 ≥2.0×）；C4 波幅減低：ATR5/ATR20 0.79（要 ≤0.9）；ATR5 係升浪期 ATR 嘅 0.83×（要 ≤0.7）</t>
        </is>
      </c>
    </row>
    <row r="39">
      <c r="A39" s="6" t="n"/>
      <c r="B39" s="27" t="inlineStr">
        <is>
          <t>LAND</t>
        </is>
      </c>
      <c r="C39" s="10" t="n">
        <v>9.460000000000001</v>
      </c>
      <c r="D39" s="16" t="n">
        <v>-0.008</v>
      </c>
      <c r="E39" s="15" t="n">
        <v>-0.0376</v>
      </c>
      <c r="F39" s="9" t="n">
        <v>1.24</v>
      </c>
      <c r="G39" s="17" t="n"/>
      <c r="H39" s="9" t="n">
        <v>1.028</v>
      </c>
      <c r="I39" s="9" t="n">
        <v>0.981</v>
      </c>
      <c r="J39" s="3" t="inlineStr">
        <is>
          <t>C1a 事件日、C1b 熱錢、C4 波幅減低</t>
        </is>
      </c>
      <c r="K39" s="3" t="inlineStr">
        <is>
          <t>C1a 事件日：高位前 60 日最大量日只有 3.3× 50日均量（當日 +1.3%）；要 ≥3× 兼當日 ≥+8% 或開市跳空 ≥+5%；C1b 熱錢：升浪成交額係之前 60 日嘅 1.24×（要 ≥2.0×）；C4 波幅減低：ATR5/ATR20 1.03（要 ≤0.9）；ATR5 係升浪期 ATR 嘅 0.98×（要 ≤0.7）</t>
        </is>
      </c>
    </row>
    <row r="40">
      <c r="A40" s="6" t="n"/>
      <c r="B40" s="27" t="inlineStr">
        <is>
          <t>LPG</t>
        </is>
      </c>
      <c r="C40" s="10" t="n">
        <v>55.06</v>
      </c>
      <c r="D40" s="16" t="n">
        <v>0.0024</v>
      </c>
      <c r="E40" s="15" t="n">
        <v>-0.0557</v>
      </c>
      <c r="F40" s="9" t="n">
        <v>1.1</v>
      </c>
      <c r="G40" s="17" t="n"/>
      <c r="H40" s="9" t="n">
        <v>1.05</v>
      </c>
      <c r="I40" s="9" t="n">
        <v>0.9389999999999999</v>
      </c>
      <c r="J40" s="3" t="inlineStr">
        <is>
          <t>C1a 事件日、C1b 熱錢、C4 波幅減低</t>
        </is>
      </c>
      <c r="K40" s="3" t="inlineStr">
        <is>
          <t>C1a 事件日：高位前 60 日最大量日只有 2.3× 50日均量（當日 -2.4%）；要 ≥3× 兼當日 ≥+8% 或開市跳空 ≥+5%；C1b 熱錢：升浪成交額係之前 60 日嘅 1.10×（要 ≥2.0×）；C4 波幅減低：ATR5/ATR20 1.05（要 ≤0.9）；ATR5 係升浪期 ATR 嘅 0.94×（要 ≤0.7）</t>
        </is>
      </c>
    </row>
    <row r="41">
      <c r="A41" s="6" t="n"/>
      <c r="B41" s="27" t="inlineStr">
        <is>
          <t>MPC</t>
        </is>
      </c>
      <c r="C41" s="10" t="n">
        <v>395.42</v>
      </c>
      <c r="D41" s="16" t="n">
        <v>-0.0064</v>
      </c>
      <c r="E41" s="15" t="n">
        <v>-0.0694</v>
      </c>
      <c r="F41" s="9" t="n">
        <v>1.46</v>
      </c>
      <c r="G41" s="17" t="n"/>
      <c r="H41" s="9" t="n">
        <v>0.869</v>
      </c>
      <c r="I41" s="9" t="n">
        <v>1.006</v>
      </c>
      <c r="J41" s="3" t="inlineStr">
        <is>
          <t>C1a 事件日、C1b 熱錢、C4 波幅減低</t>
        </is>
      </c>
      <c r="K41" s="3" t="inlineStr">
        <is>
          <t>C1a 事件日：高位前 60 日最大量日只有 4.2× 50日均量（當日 +0.7%）；要 ≥3× 兼當日 ≥+8% 或開市跳空 ≥+5%；C1b 熱錢：升浪成交額係之前 60 日嘅 1.46×（要 ≥2.0×）；C4 波幅減低：ATR5/ATR20 0.87（要 ≤0.9）；ATR5 係升浪期 ATR 嘅 1.01×（要 ≤0.7）</t>
        </is>
      </c>
    </row>
    <row r="42">
      <c r="A42" s="6" t="n"/>
      <c r="B42" s="27" t="inlineStr">
        <is>
          <t>MUR</t>
        </is>
      </c>
      <c r="C42" s="10" t="n">
        <v>37.02</v>
      </c>
      <c r="D42" s="16" t="n">
        <v>-0.009900000000000001</v>
      </c>
      <c r="E42" s="15" t="n">
        <v>-0.0837</v>
      </c>
      <c r="F42" s="9" t="n">
        <v>0.8100000000000001</v>
      </c>
      <c r="G42" s="17" t="n"/>
      <c r="H42" s="9" t="n">
        <v>0.906</v>
      </c>
      <c r="I42" s="9" t="n">
        <v>0.8159999999999999</v>
      </c>
      <c r="J42" s="3" t="inlineStr">
        <is>
          <t>C1a 事件日、C1b 熱錢、C4 波幅減低</t>
        </is>
      </c>
      <c r="K42" s="3" t="inlineStr">
        <is>
          <t>C1a 事件日：高位前 60 日最大量日只有 2.3× 50日均量（當日 +4.6%）；要 ≥3× 兼當日 ≥+8% 或開市跳空 ≥+5%；C1b 熱錢：升浪成交額係之前 60 日嘅 0.81×（要 ≥2.0×）；C4 波幅減低：ATR5/ATR20 0.91（要 ≤0.9）；ATR5 係升浪期 ATR 嘅 0.82×（要 ≤0.7）</t>
        </is>
      </c>
    </row>
    <row r="43">
      <c r="A43" s="6" t="n"/>
      <c r="B43" s="27" t="inlineStr">
        <is>
          <t>NEOG</t>
        </is>
      </c>
      <c r="C43" s="10" t="n">
        <v>12.8</v>
      </c>
      <c r="D43" s="16" t="n">
        <v>0.0117</v>
      </c>
      <c r="E43" s="15" t="n">
        <v>-0.0844</v>
      </c>
      <c r="F43" s="9" t="n">
        <v>1.1</v>
      </c>
      <c r="G43" s="17" t="n"/>
      <c r="H43" s="9" t="n">
        <v>1.135</v>
      </c>
      <c r="I43" s="9" t="n">
        <v>1.13</v>
      </c>
      <c r="J43" s="3" t="inlineStr">
        <is>
          <t>C1a 事件日、C1b 熱錢、C4 波幅減低</t>
        </is>
      </c>
      <c r="K43" s="3" t="inlineStr">
        <is>
          <t>C1a 事件日：高位前 60 日最大量日只有 3.5× 50日均量（當日 +1.3%）；要 ≥3× 兼當日 ≥+8% 或開市跳空 ≥+5%；C1b 熱錢：升浪成交額係之前 60 日嘅 1.10×（要 ≥2.0×）；C4 波幅減低：ATR5/ATR20 1.14（要 ≤0.9）；ATR5 係升浪期 ATR 嘅 1.13×（要 ≤0.7）</t>
        </is>
      </c>
    </row>
    <row r="44">
      <c r="A44" s="6" t="n"/>
      <c r="B44" s="27" t="inlineStr">
        <is>
          <t>NUTX</t>
        </is>
      </c>
      <c r="C44" s="10" t="n">
        <v>211.66</v>
      </c>
      <c r="D44" s="16" t="n">
        <v>0.0298</v>
      </c>
      <c r="E44" s="15" t="n">
        <v>-0.0384</v>
      </c>
      <c r="F44" s="9" t="n">
        <v>1.47</v>
      </c>
      <c r="G44" s="17" t="n"/>
      <c r="H44" s="9" t="n">
        <v>0.926</v>
      </c>
      <c r="I44" s="9" t="n">
        <v>0.777</v>
      </c>
      <c r="J44" s="3" t="inlineStr">
        <is>
          <t>C1a 事件日、C1b 熱錢、C4 波幅減低</t>
        </is>
      </c>
      <c r="K44" s="3" t="inlineStr">
        <is>
          <t>C1a 事件日：高位前 60 日最大量日只有 2.8× 50日均量（當日 +21.9%）；要 ≥3× 兼當日 ≥+8% 或開市跳空 ≥+5%；C1b 熱錢：升浪成交額係之前 60 日嘅 1.47×（要 ≥2.0×）；C4 波幅減低：ATR5/ATR20 0.93（要 ≤0.9）；ATR5 係升浪期 ATR 嘅 0.78×（要 ≤0.7）</t>
        </is>
      </c>
    </row>
    <row r="45">
      <c r="A45" s="6" t="n"/>
      <c r="B45" s="27" t="inlineStr">
        <is>
          <t>PDEX</t>
        </is>
      </c>
      <c r="C45" s="10" t="n">
        <v>69</v>
      </c>
      <c r="D45" s="16" t="n">
        <v>0.0094</v>
      </c>
      <c r="E45" s="15" t="n">
        <v>-0.0601</v>
      </c>
      <c r="F45" s="9" t="n">
        <v>1.18</v>
      </c>
      <c r="G45" s="17" t="n"/>
      <c r="H45" s="9" t="n">
        <v>0.622</v>
      </c>
      <c r="I45" s="9" t="n">
        <v>0.704</v>
      </c>
      <c r="J45" s="3" t="inlineStr">
        <is>
          <t>C1a 事件日、C1b 熱錢、C4 波幅減低</t>
        </is>
      </c>
      <c r="K45" s="3" t="inlineStr">
        <is>
          <t>C1a 事件日：高位前 60 日最大量日只有 4.6× 50日均量（當日 -2.2%）；要 ≥3× 兼當日 ≥+8% 或開市跳空 ≥+5%；C1b 熱錢：升浪成交額係之前 60 日嘅 1.18×（要 ≥2.0×）；C4 波幅減低：ATR5/ATR20 0.62（要 ≤0.9）；ATR5 係升浪期 ATR 嘅 0.70×（要 ≤0.7）</t>
        </is>
      </c>
    </row>
    <row r="46">
      <c r="A46" s="6" t="n"/>
      <c r="B46" s="27" t="inlineStr">
        <is>
          <t>PNTG</t>
        </is>
      </c>
      <c r="C46" s="10" t="n">
        <v>39</v>
      </c>
      <c r="D46" s="16" t="n">
        <v>-0.0162</v>
      </c>
      <c r="E46" s="15" t="n">
        <v>-0.0819</v>
      </c>
      <c r="F46" s="9" t="n">
        <v>1.46</v>
      </c>
      <c r="G46" s="17" t="n"/>
      <c r="H46" s="9" t="n">
        <v>0.96</v>
      </c>
      <c r="I46" s="9" t="n">
        <v>0.97</v>
      </c>
      <c r="J46" s="3" t="inlineStr">
        <is>
          <t>C1a 事件日、C1b 熱錢、C4 波幅減低</t>
        </is>
      </c>
      <c r="K46" s="3" t="inlineStr">
        <is>
          <t>C1a 事件日：高位前 60 日最大量日只有 4.3× 50日均量（當日 +6.3%）；要 ≥3× 兼當日 ≥+8% 或開市跳空 ≥+5%；C1b 熱錢：升浪成交額係之前 60 日嘅 1.46×（要 ≥2.0×）；C4 波幅減低：ATR5/ATR20 0.96（要 ≤0.9）；ATR5 係升浪期 ATR 嘅 0.97×（要 ≤0.7）</t>
        </is>
      </c>
    </row>
    <row r="47">
      <c r="A47" s="6" t="n"/>
      <c r="B47" s="27" t="inlineStr">
        <is>
          <t>PRAA</t>
        </is>
      </c>
      <c r="C47" s="10" t="n">
        <v>19.49</v>
      </c>
      <c r="D47" s="16" t="n">
        <v>-0.0111</v>
      </c>
      <c r="E47" s="15" t="n">
        <v>-0.07190000000000001</v>
      </c>
      <c r="F47" s="9" t="n">
        <v>1.14</v>
      </c>
      <c r="G47" s="17" t="n"/>
      <c r="H47" s="9" t="n">
        <v>1.132</v>
      </c>
      <c r="I47" s="9" t="n">
        <v>1.098</v>
      </c>
      <c r="J47" s="3" t="inlineStr">
        <is>
          <t>C1a 事件日、C1b 熱錢、C4 波幅減低</t>
        </is>
      </c>
      <c r="K47" s="3" t="inlineStr">
        <is>
          <t>C1a 事件日：高位前 60 日最大量日只有 2.3× 50日均量（當日 +2.1%）；要 ≥3× 兼當日 ≥+8% 或開市跳空 ≥+5%；C1b 熱錢：升浪成交額係之前 60 日嘅 1.14×（要 ≥2.0×）；C4 波幅減低：ATR5/ATR20 1.13（要 ≤0.9）；ATR5 係升浪期 ATR 嘅 1.10×（要 ≤0.7）</t>
        </is>
      </c>
    </row>
    <row r="48">
      <c r="A48" s="6" t="n"/>
      <c r="B48" s="27" t="inlineStr">
        <is>
          <t>PSX</t>
        </is>
      </c>
      <c r="C48" s="10" t="n">
        <v>255.31</v>
      </c>
      <c r="D48" s="16" t="n">
        <v>-0.0153</v>
      </c>
      <c r="E48" s="15" t="n">
        <v>-0.0689</v>
      </c>
      <c r="F48" s="9" t="n">
        <v>1.3</v>
      </c>
      <c r="G48" s="17" t="n"/>
      <c r="H48" s="9" t="n">
        <v>0.839</v>
      </c>
      <c r="I48" s="9" t="n">
        <v>0.882</v>
      </c>
      <c r="J48" s="3" t="inlineStr">
        <is>
          <t>C1a 事件日、C1b 熱錢、C4 波幅減低</t>
        </is>
      </c>
      <c r="K48" s="3" t="inlineStr">
        <is>
          <t>C1a 事件日：高位前 60 日最大量日只有 1.6× 50日均量（當日 +1.1%）；要 ≥3× 兼當日 ≥+8% 或開市跳空 ≥+5%；C1b 熱錢：升浪成交額係之前 60 日嘅 1.30×（要 ≥2.0×）；C4 波幅減低：ATR5/ATR20 0.84（要 ≤0.9）；ATR5 係升浪期 ATR 嘅 0.88×（要 ≤0.7）</t>
        </is>
      </c>
    </row>
    <row r="49">
      <c r="A49" s="6" t="n"/>
      <c r="B49" s="27" t="inlineStr">
        <is>
          <t>QCOM</t>
        </is>
      </c>
      <c r="C49" s="10" t="n">
        <v>184.04</v>
      </c>
      <c r="D49" s="16" t="n">
        <v>0.0009</v>
      </c>
      <c r="E49" s="15" t="n">
        <v>-0.0888</v>
      </c>
      <c r="F49" s="9" t="n">
        <v>0.48</v>
      </c>
      <c r="G49" s="17" t="n"/>
      <c r="H49" s="9" t="n">
        <v>0.912</v>
      </c>
      <c r="I49" s="9" t="n">
        <v>1.087</v>
      </c>
      <c r="J49" s="3" t="inlineStr">
        <is>
          <t>C1a 事件日、C1b 熱錢、C4 波幅減低</t>
        </is>
      </c>
      <c r="K49" s="3" t="inlineStr">
        <is>
          <t>C1a 事件日：高位前 60 日最大量日只有 4.7× 50日均量（當日 -5.8%）；要 ≥3× 兼當日 ≥+8% 或開市跳空 ≥+5%；C1b 熱錢：升浪成交額係之前 60 日嘅 0.48×（要 ≥2.0×）；C4 波幅減低：ATR5/ATR20 0.91（要 ≤0.9）；ATR5 係升浪期 ATR 嘅 1.09×（要 ≤0.7）</t>
        </is>
      </c>
    </row>
    <row r="50">
      <c r="A50" s="6" t="n"/>
      <c r="B50" s="27" t="inlineStr">
        <is>
          <t>QRVO</t>
        </is>
      </c>
      <c r="C50" s="10" t="n">
        <v>114.48</v>
      </c>
      <c r="D50" s="16" t="n">
        <v>0.0149</v>
      </c>
      <c r="E50" s="15" t="n">
        <v>-0.0427</v>
      </c>
      <c r="F50" s="9" t="n">
        <v>1.06</v>
      </c>
      <c r="G50" s="17" t="n"/>
      <c r="H50" s="9" t="n">
        <v>0.765</v>
      </c>
      <c r="I50" s="9" t="n">
        <v>0.95</v>
      </c>
      <c r="J50" s="3" t="inlineStr">
        <is>
          <t>C1a 事件日、C1b 熱錢、C4 波幅減低</t>
        </is>
      </c>
      <c r="K50" s="3" t="inlineStr">
        <is>
          <t>C1a 事件日：高位前 60 日最大量日只有 2.6× 50日均量（當日 -1.9%）；要 ≥3× 兼當日 ≥+8% 或開市跳空 ≥+5%；C1b 熱錢：升浪成交額係之前 60 日嘅 1.06×（要 ≥2.0×）；C4 波幅減低：ATR5/ATR20 0.77（要 ≤0.9）；ATR5 係升浪期 ATR 嘅 0.95×（要 ≤0.7）</t>
        </is>
      </c>
    </row>
    <row r="51">
      <c r="A51" s="6" t="n"/>
      <c r="B51" s="27" t="inlineStr">
        <is>
          <t>RUSHB</t>
        </is>
      </c>
      <c r="C51" s="10" t="n">
        <v>53.91</v>
      </c>
      <c r="D51" s="16" t="n">
        <v>0.0165</v>
      </c>
      <c r="E51" s="15" t="n">
        <v>-0.0542</v>
      </c>
      <c r="F51" s="9" t="n">
        <v>1.52</v>
      </c>
      <c r="G51" s="17" t="n"/>
      <c r="H51" s="9" t="n">
        <v>0.75</v>
      </c>
      <c r="I51" s="9" t="n">
        <v>0.82</v>
      </c>
      <c r="J51" s="3" t="inlineStr">
        <is>
          <t>C1a 事件日、C1b 熱錢、C4 波幅減低</t>
        </is>
      </c>
      <c r="K51" s="3" t="inlineStr">
        <is>
          <t>C1a 事件日：高位前 60 日最大量日只有 6.2× 50日均量（當日 -0.1%）；要 ≥3× 兼當日 ≥+8% 或開市跳空 ≥+5%；C1b 熱錢：升浪成交額係之前 60 日嘅 1.52×（要 ≥2.0×）；C4 波幅減低：ATR5/ATR20 0.75（要 ≤0.9）；ATR5 係升浪期 ATR 嘅 0.82×（要 ≤0.7）</t>
        </is>
      </c>
    </row>
    <row r="52">
      <c r="A52" s="6" t="n"/>
      <c r="B52" s="27" t="inlineStr">
        <is>
          <t>SPCE</t>
        </is>
      </c>
      <c r="C52" s="10" t="n">
        <v>2.99</v>
      </c>
      <c r="D52" s="16" t="n">
        <v>-0.0253</v>
      </c>
      <c r="E52" s="15" t="n">
        <v>-0.0994</v>
      </c>
      <c r="F52" s="9" t="n">
        <v>0.16</v>
      </c>
      <c r="G52" s="17" t="n"/>
      <c r="H52" s="9" t="n">
        <v>0.982</v>
      </c>
      <c r="I52" s="9" t="n">
        <v>0.898</v>
      </c>
      <c r="J52" s="3" t="inlineStr">
        <is>
          <t>C1a 事件日、C1b 熱錢、C4 波幅減低</t>
        </is>
      </c>
      <c r="K52" s="3" t="inlineStr">
        <is>
          <t>C1a 事件日：高位前 60 日最大量日只有 2.1× 50日均量（當日 -1.3%）；要 ≥3× 兼當日 ≥+8% 或開市跳空 ≥+5%；C1b 熱錢：升浪成交額係之前 60 日嘅 0.16×（要 ≥2.0×）；C4 波幅減低：ATR5/ATR20 0.98（要 ≤0.9）；ATR5 係升浪期 ATR 嘅 0.90×（要 ≤0.7）</t>
        </is>
      </c>
    </row>
    <row r="53">
      <c r="A53" s="6" t="n"/>
      <c r="B53" s="27" t="inlineStr">
        <is>
          <t>SWKS</t>
        </is>
      </c>
      <c r="C53" s="10" t="n">
        <v>85.48</v>
      </c>
      <c r="D53" s="16" t="n">
        <v>0.0147</v>
      </c>
      <c r="E53" s="15" t="n">
        <v>-0.0653</v>
      </c>
      <c r="F53" s="9" t="n">
        <v>1.32</v>
      </c>
      <c r="G53" s="17" t="n"/>
      <c r="H53" s="9" t="n">
        <v>0.752</v>
      </c>
      <c r="I53" s="9" t="n">
        <v>0.9340000000000001</v>
      </c>
      <c r="J53" s="3" t="inlineStr">
        <is>
          <t>C1a 事件日、C1b 熱錢、C4 波幅減低</t>
        </is>
      </c>
      <c r="K53" s="3" t="inlineStr">
        <is>
          <t>C1a 事件日：高位前 60 日最大量日只有 3.6× 50日均量（當日 +1.9%）；要 ≥3× 兼當日 ≥+8% 或開市跳空 ≥+5%；C1b 熱錢：升浪成交額係之前 60 日嘅 1.32×（要 ≥2.0×）；C4 波幅減低：ATR5/ATR20 0.75（要 ≤0.9）；ATR5 係升浪期 ATR 嘅 0.93×（要 ≤0.7）</t>
        </is>
      </c>
    </row>
    <row r="54">
      <c r="A54" s="6" t="n"/>
      <c r="B54" s="27" t="inlineStr">
        <is>
          <t>TARS</t>
        </is>
      </c>
      <c r="C54" s="10" t="n">
        <v>78.61</v>
      </c>
      <c r="D54" s="16" t="n">
        <v>-0.0129</v>
      </c>
      <c r="E54" s="15" t="n">
        <v>-0.1341</v>
      </c>
      <c r="F54" s="9" t="n">
        <v>1.05</v>
      </c>
      <c r="G54" s="17" t="n"/>
      <c r="H54" s="9" t="n">
        <v>0.787</v>
      </c>
      <c r="I54" s="9" t="n">
        <v>0.714</v>
      </c>
      <c r="J54" s="3" t="inlineStr">
        <is>
          <t>C1a 事件日、C1b 熱錢、C4 波幅減低</t>
        </is>
      </c>
      <c r="K54" s="3" t="inlineStr">
        <is>
          <t>C1a 事件日：高位前 60 日最大量日只有 4.0× 50日均量（當日 -3.3%）；要 ≥3× 兼當日 ≥+8% 或開市跳空 ≥+5%；C1b 熱錢：升浪成交額係之前 60 日嘅 1.05×（要 ≥2.0×）；C4 波幅減低：ATR5/ATR20 0.79（要 ≤0.9）；ATR5 係升浪期 ATR 嘅 0.71×（要 ≤0.7）</t>
        </is>
      </c>
    </row>
    <row r="55">
      <c r="A55" s="6" t="n"/>
      <c r="B55" s="27" t="inlineStr">
        <is>
          <t>TH</t>
        </is>
      </c>
      <c r="C55" s="10" t="n">
        <v>19.72</v>
      </c>
      <c r="D55" s="16" t="n">
        <v>-0.0047</v>
      </c>
      <c r="E55" s="15" t="n">
        <v>-0.08069999999999999</v>
      </c>
      <c r="F55" s="9" t="n">
        <v>1.35</v>
      </c>
      <c r="G55" s="17" t="n"/>
      <c r="H55" s="9" t="n">
        <v>1.035</v>
      </c>
      <c r="I55" s="9" t="n">
        <v>0.875</v>
      </c>
      <c r="J55" s="3" t="inlineStr">
        <is>
          <t>C1a 事件日、C1b 熱錢、C4 波幅減低</t>
        </is>
      </c>
      <c r="K55" s="3" t="inlineStr">
        <is>
          <t>C1a 事件日：高位前 60 日最大量日只有 9.2× 50日均量（當日 -5.2%）；要 ≥3× 兼當日 ≥+8% 或開市跳空 ≥+5%；C1b 熱錢：升浪成交額係之前 60 日嘅 1.35×（要 ≥2.0×）；C4 波幅減低：ATR5/ATR20 1.03（要 ≤0.9）；ATR5 係升浪期 ATR 嘅 0.87×（要 ≤0.7）</t>
        </is>
      </c>
    </row>
    <row r="56">
      <c r="A56" s="6" t="n"/>
      <c r="B56" s="27" t="inlineStr">
        <is>
          <t>VLO</t>
        </is>
      </c>
      <c r="C56" s="10" t="n">
        <v>387.61</v>
      </c>
      <c r="D56" s="16" t="n">
        <v>0.0009</v>
      </c>
      <c r="E56" s="15" t="n">
        <v>-0.0621</v>
      </c>
      <c r="F56" s="9" t="n">
        <v>1.25</v>
      </c>
      <c r="G56" s="17" t="n"/>
      <c r="H56" s="9" t="n">
        <v>0.921</v>
      </c>
      <c r="I56" s="9" t="n">
        <v>1.041</v>
      </c>
      <c r="J56" s="3" t="inlineStr">
        <is>
          <t>C1a 事件日、C1b 熱錢、C4 波幅減低</t>
        </is>
      </c>
      <c r="K56" s="3" t="inlineStr">
        <is>
          <t>C1a 事件日：高位前 60 日最大量日只有 3.4× 50日均量（當日 +0.2%）；要 ≥3× 兼當日 ≥+8% 或開市跳空 ≥+5%；C1b 熱錢：升浪成交額係之前 60 日嘅 1.25×（要 ≥2.0×）；C4 波幅減低：ATR5/ATR20 0.92（要 ≤0.9）；ATR5 係升浪期 ATR 嘅 1.04×（要 ≤0.7）</t>
        </is>
      </c>
    </row>
    <row r="57">
      <c r="A57" s="6" t="n"/>
      <c r="B57" s="27" t="inlineStr">
        <is>
          <t>SNX</t>
        </is>
      </c>
      <c r="C57" s="10" t="n">
        <v>256.85</v>
      </c>
      <c r="D57" s="16" t="n">
        <v>-0.027</v>
      </c>
      <c r="E57" s="15" t="n">
        <v>-0.1078</v>
      </c>
      <c r="F57" s="9" t="n">
        <v>0.91</v>
      </c>
      <c r="G57" s="17" t="n"/>
      <c r="H57" s="9" t="n">
        <v>1.504</v>
      </c>
      <c r="I57" s="9" t="n">
        <v>1.916</v>
      </c>
      <c r="J57" s="3" t="inlineStr">
        <is>
          <t>C1a 事件日、C1b 熱錢、C2 曾有10MA上升、C4 波幅減低</t>
        </is>
      </c>
      <c r="K57" s="3" t="inlineStr">
        <is>
          <t>C1a 事件日：高位前 60 日最大量日只有 4.4× 50日均量（當日 +0.7%）；要 ≥3× 兼當日 ≥+8% 或開市跳空 ≥+5%；C1b 熱錢：升浪成交額係之前 60 日嘅 0.91×（要 ≥2.0×）；C2 曾有10MA上升：近 30 日 MA10 最大 10 日升幅 +4.9%（2026-09-24；要 ≥5%），嗰時最後三值遞升、10 步升 100%（要 ≥70%）；C4 波幅減低：ATR5/ATR20 1.50（要 ≤0.9）；ATR5 係升浪期 ATR 嘅 1.92×（要 ≤0.7）</t>
        </is>
      </c>
    </row>
  </sheetData>
  <autoFilter ref="A3:K3"/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  <hyperlink xmlns:r="http://schemas.openxmlformats.org/officeDocument/2006/relationships" ref="B34" r:id="rId31"/>
    <hyperlink xmlns:r="http://schemas.openxmlformats.org/officeDocument/2006/relationships" ref="B35" r:id="rId32"/>
    <hyperlink xmlns:r="http://schemas.openxmlformats.org/officeDocument/2006/relationships" ref="B36" r:id="rId33"/>
    <hyperlink xmlns:r="http://schemas.openxmlformats.org/officeDocument/2006/relationships" ref="B37" r:id="rId34"/>
    <hyperlink xmlns:r="http://schemas.openxmlformats.org/officeDocument/2006/relationships" ref="B38" r:id="rId35"/>
    <hyperlink xmlns:r="http://schemas.openxmlformats.org/officeDocument/2006/relationships" ref="B39" r:id="rId36"/>
    <hyperlink xmlns:r="http://schemas.openxmlformats.org/officeDocument/2006/relationships" ref="B40" r:id="rId37"/>
    <hyperlink xmlns:r="http://schemas.openxmlformats.org/officeDocument/2006/relationships" ref="B41" r:id="rId38"/>
    <hyperlink xmlns:r="http://schemas.openxmlformats.org/officeDocument/2006/relationships" ref="B42" r:id="rId39"/>
    <hyperlink xmlns:r="http://schemas.openxmlformats.org/officeDocument/2006/relationships" ref="B43" r:id="rId40"/>
    <hyperlink xmlns:r="http://schemas.openxmlformats.org/officeDocument/2006/relationships" ref="B44" r:id="rId41"/>
    <hyperlink xmlns:r="http://schemas.openxmlformats.org/officeDocument/2006/relationships" ref="B45" r:id="rId42"/>
    <hyperlink xmlns:r="http://schemas.openxmlformats.org/officeDocument/2006/relationships" ref="B46" r:id="rId43"/>
    <hyperlink xmlns:r="http://schemas.openxmlformats.org/officeDocument/2006/relationships" ref="B47" r:id="rId44"/>
    <hyperlink xmlns:r="http://schemas.openxmlformats.org/officeDocument/2006/relationships" ref="B48" r:id="rId45"/>
    <hyperlink xmlns:r="http://schemas.openxmlformats.org/officeDocument/2006/relationships" ref="B49" r:id="rId46"/>
    <hyperlink xmlns:r="http://schemas.openxmlformats.org/officeDocument/2006/relationships" ref="B50" r:id="rId47"/>
    <hyperlink xmlns:r="http://schemas.openxmlformats.org/officeDocument/2006/relationships" ref="B51" r:id="rId48"/>
    <hyperlink xmlns:r="http://schemas.openxmlformats.org/officeDocument/2006/relationships" ref="B52" r:id="rId49"/>
    <hyperlink xmlns:r="http://schemas.openxmlformats.org/officeDocument/2006/relationships" ref="B53" r:id="rId50"/>
    <hyperlink xmlns:r="http://schemas.openxmlformats.org/officeDocument/2006/relationships" ref="B54" r:id="rId51"/>
    <hyperlink xmlns:r="http://schemas.openxmlformats.org/officeDocument/2006/relationships" ref="B55" r:id="rId52"/>
    <hyperlink xmlns:r="http://schemas.openxmlformats.org/officeDocument/2006/relationships" ref="B56" r:id="rId53"/>
    <hyperlink xmlns:r="http://schemas.openxmlformats.org/officeDocument/2006/relationships" ref="B57" r:id="rId54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2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24" customWidth="1" min="3" max="3"/>
    <col width="26" customWidth="1" min="4" max="4"/>
    <col width="9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30" customWidth="1" min="22" max="22"/>
  </cols>
  <sheetData>
    <row r="1">
      <c r="A1" s="1" t="inlineStr">
        <is>
          <t>而家邊啲板塊有熱錢及消息驅動：通過 C1a（事件日）同 C1b（升浪熱錢）嘅全部 203 隻，唔理有冇回落到 20MA</t>
        </is>
      </c>
    </row>
    <row r="3" ht="42" customHeight="1">
      <c r="A3" s="4" t="inlineStr">
        <is>
          <t>板塊</t>
        </is>
      </c>
      <c r="B3" s="4" t="inlineStr">
        <is>
          <t>熱錢股數目</t>
        </is>
      </c>
      <c r="C3" s="4" t="inlineStr">
        <is>
          <t>佔熱錢股比例</t>
        </is>
      </c>
      <c r="D3" s="4" t="inlineStr">
        <is>
          <t>佔股票池比例</t>
        </is>
      </c>
      <c r="E3" s="4" t="inlineStr">
        <is>
          <t>集中度（倍）</t>
        </is>
      </c>
      <c r="F3" s="4" t="inlineStr">
        <is>
          <t>近 15 日有事件日</t>
        </is>
      </c>
      <c r="G3" s="4" t="inlineStr">
        <is>
          <t>仍高於 MA20 &gt;3%</t>
        </is>
      </c>
      <c r="H3" s="4" t="inlineStr">
        <is>
          <t>貼近 MA20 ±3%</t>
        </is>
      </c>
      <c r="I3" s="4" t="inlineStr">
        <is>
          <t>跌穿 MA20 &gt;3%</t>
        </is>
      </c>
      <c r="J3" s="4" t="inlineStr">
        <is>
          <t>曾有 10MA 上升</t>
        </is>
      </c>
    </row>
    <row r="4">
      <c r="A4" s="29" t="inlineStr">
        <is>
          <t>醫療保健</t>
        </is>
      </c>
      <c r="B4" s="6" t="n">
        <v>68</v>
      </c>
      <c r="C4" s="13">
        <f>B4/203</f>
        <v/>
      </c>
      <c r="D4" s="15" t="n">
        <v>0.1701665459811731</v>
      </c>
      <c r="E4" s="19">
        <f>C4/D4</f>
        <v/>
      </c>
      <c r="F4" s="6" t="n">
        <v>5</v>
      </c>
      <c r="G4" s="6" t="n">
        <v>25</v>
      </c>
      <c r="H4" s="6" t="n">
        <v>14</v>
      </c>
      <c r="I4" s="6" t="n">
        <v>29</v>
      </c>
      <c r="J4" s="6" t="n">
        <v>52</v>
      </c>
    </row>
    <row r="5">
      <c r="A5" s="29" t="inlineStr">
        <is>
          <t>科技</t>
        </is>
      </c>
      <c r="B5" s="6" t="n">
        <v>38</v>
      </c>
      <c r="C5" s="13">
        <f>B5/203</f>
        <v/>
      </c>
      <c r="D5" s="15" t="n">
        <v>0.1292541636495293</v>
      </c>
      <c r="E5" s="19">
        <f>C5/D5</f>
        <v/>
      </c>
      <c r="F5" s="6" t="n">
        <v>0</v>
      </c>
      <c r="G5" s="6" t="n">
        <v>22</v>
      </c>
      <c r="H5" s="6" t="n">
        <v>10</v>
      </c>
      <c r="I5" s="6" t="n">
        <v>6</v>
      </c>
      <c r="J5" s="6" t="n">
        <v>28</v>
      </c>
    </row>
    <row r="6">
      <c r="A6" s="29" t="inlineStr">
        <is>
          <t>非必需消費</t>
        </is>
      </c>
      <c r="B6" s="6" t="n">
        <v>35</v>
      </c>
      <c r="C6" s="13">
        <f>B6/203</f>
        <v/>
      </c>
      <c r="D6" s="15" t="n">
        <v>0.1803041274438812</v>
      </c>
      <c r="E6" s="19">
        <f>C6/D6</f>
        <v/>
      </c>
      <c r="F6" s="6" t="n">
        <v>5</v>
      </c>
      <c r="G6" s="6" t="n">
        <v>11</v>
      </c>
      <c r="H6" s="6" t="n">
        <v>12</v>
      </c>
      <c r="I6" s="6" t="n">
        <v>12</v>
      </c>
      <c r="J6" s="6" t="n">
        <v>23</v>
      </c>
    </row>
    <row r="7">
      <c r="A7" s="29" t="inlineStr">
        <is>
          <t>工業</t>
        </is>
      </c>
      <c r="B7" s="6" t="n">
        <v>27</v>
      </c>
      <c r="C7" s="13">
        <f>B7/203</f>
        <v/>
      </c>
      <c r="D7" s="15" t="n">
        <v>0.1285300506879073</v>
      </c>
      <c r="E7" s="19">
        <f>C7/D7</f>
        <v/>
      </c>
      <c r="F7" s="6" t="n">
        <v>3</v>
      </c>
      <c r="G7" s="6" t="n">
        <v>9</v>
      </c>
      <c r="H7" s="6" t="n">
        <v>6</v>
      </c>
      <c r="I7" s="6" t="n">
        <v>12</v>
      </c>
      <c r="J7" s="6" t="n">
        <v>16</v>
      </c>
    </row>
    <row r="8">
      <c r="A8" s="29" t="inlineStr">
        <is>
          <t>金融</t>
        </is>
      </c>
      <c r="B8" s="6" t="n">
        <v>13</v>
      </c>
      <c r="C8" s="13">
        <f>B8/203</f>
        <v/>
      </c>
      <c r="D8" s="15" t="n">
        <v>0.1824764663287473</v>
      </c>
      <c r="E8" s="19">
        <f>C8/D8</f>
        <v/>
      </c>
      <c r="F8" s="6" t="n">
        <v>1</v>
      </c>
      <c r="G8" s="6" t="n">
        <v>3</v>
      </c>
      <c r="H8" s="6" t="n">
        <v>6</v>
      </c>
      <c r="I8" s="6" t="n">
        <v>4</v>
      </c>
      <c r="J8" s="6" t="n">
        <v>8</v>
      </c>
    </row>
    <row r="9">
      <c r="A9" s="29" t="inlineStr">
        <is>
          <t>其他</t>
        </is>
      </c>
      <c r="B9" s="6" t="n">
        <v>5</v>
      </c>
      <c r="C9" s="13">
        <f>B9/203</f>
        <v/>
      </c>
      <c r="D9" s="15" t="n">
        <v>0.008689355539464157</v>
      </c>
      <c r="E9" s="19">
        <f>C9/D9</f>
        <v/>
      </c>
      <c r="F9" s="6" t="n">
        <v>0</v>
      </c>
      <c r="G9" s="6" t="n">
        <v>1</v>
      </c>
      <c r="H9" s="6" t="n">
        <v>2</v>
      </c>
      <c r="I9" s="6" t="n">
        <v>2</v>
      </c>
      <c r="J9" s="6" t="n">
        <v>3</v>
      </c>
    </row>
    <row r="10">
      <c r="A10" s="29" t="inlineStr">
        <is>
          <t>通訊服務</t>
        </is>
      </c>
      <c r="B10" s="6" t="n">
        <v>5</v>
      </c>
      <c r="C10" s="13">
        <f>B10/203</f>
        <v/>
      </c>
      <c r="D10" s="15" t="n">
        <v>0.01810282404055033</v>
      </c>
      <c r="E10" s="19">
        <f>C10/D10</f>
        <v/>
      </c>
      <c r="F10" s="6" t="n">
        <v>0</v>
      </c>
      <c r="G10" s="6" t="n">
        <v>0</v>
      </c>
      <c r="H10" s="6" t="n">
        <v>3</v>
      </c>
      <c r="I10" s="6" t="n">
        <v>2</v>
      </c>
      <c r="J10" s="6" t="n">
        <v>1</v>
      </c>
    </row>
    <row r="11">
      <c r="A11" s="29" t="inlineStr">
        <is>
          <t>房地產</t>
        </is>
      </c>
      <c r="B11" s="6" t="n">
        <v>4</v>
      </c>
      <c r="C11" s="13">
        <f>B11/203</f>
        <v/>
      </c>
      <c r="D11" s="15" t="n">
        <v>0.05611875452570601</v>
      </c>
      <c r="E11" s="19">
        <f>C11/D11</f>
        <v/>
      </c>
      <c r="F11" s="6" t="n">
        <v>1</v>
      </c>
      <c r="G11" s="6" t="n">
        <v>1</v>
      </c>
      <c r="H11" s="6" t="n">
        <v>1</v>
      </c>
      <c r="I11" s="6" t="n">
        <v>2</v>
      </c>
      <c r="J11" s="6" t="n">
        <v>3</v>
      </c>
    </row>
    <row r="12">
      <c r="A12" s="29" t="inlineStr">
        <is>
          <t>必需消費</t>
        </is>
      </c>
      <c r="B12" s="6" t="n">
        <v>3</v>
      </c>
      <c r="C12" s="13">
        <f>B12/203</f>
        <v/>
      </c>
      <c r="D12" s="15" t="n">
        <v>0.03113685734974656</v>
      </c>
      <c r="E12" s="19">
        <f>C12/D12</f>
        <v/>
      </c>
      <c r="F12" s="6" t="n">
        <v>0</v>
      </c>
      <c r="G12" s="6" t="n">
        <v>1</v>
      </c>
      <c r="H12" s="6" t="n">
        <v>1</v>
      </c>
      <c r="I12" s="6" t="n">
        <v>1</v>
      </c>
      <c r="J12" s="6" t="n">
        <v>1</v>
      </c>
    </row>
    <row r="13">
      <c r="A13" s="29" t="inlineStr">
        <is>
          <t>公用事業</t>
        </is>
      </c>
      <c r="B13" s="6" t="n">
        <v>2</v>
      </c>
      <c r="C13" s="13">
        <f>B13/203</f>
        <v/>
      </c>
      <c r="D13" s="15" t="n">
        <v>0.03403330919623461</v>
      </c>
      <c r="E13" s="19">
        <f>C13/D13</f>
        <v/>
      </c>
      <c r="F13" s="6" t="n">
        <v>1</v>
      </c>
      <c r="G13" s="6" t="n">
        <v>2</v>
      </c>
      <c r="H13" s="6" t="n">
        <v>0</v>
      </c>
      <c r="I13" s="6" t="n">
        <v>0</v>
      </c>
      <c r="J13" s="6" t="n">
        <v>2</v>
      </c>
    </row>
    <row r="14">
      <c r="A14" s="29" t="inlineStr">
        <is>
          <t>能源</t>
        </is>
      </c>
      <c r="B14" s="6" t="n">
        <v>2</v>
      </c>
      <c r="C14" s="13">
        <f>B14/203</f>
        <v/>
      </c>
      <c r="D14" s="15" t="n">
        <v>0.03692976104272266</v>
      </c>
      <c r="E14" s="19">
        <f>C14/D14</f>
        <v/>
      </c>
      <c r="F14" s="6" t="n">
        <v>1</v>
      </c>
      <c r="G14" s="6" t="n">
        <v>1</v>
      </c>
      <c r="H14" s="6" t="n">
        <v>1</v>
      </c>
      <c r="I14" s="6" t="n">
        <v>0</v>
      </c>
      <c r="J14" s="6" t="n">
        <v>2</v>
      </c>
    </row>
    <row r="15">
      <c r="A15" s="29" t="inlineStr">
        <is>
          <t>原材料</t>
        </is>
      </c>
      <c r="B15" s="6" t="n">
        <v>1</v>
      </c>
      <c r="C15" s="13">
        <f>B15/203</f>
        <v/>
      </c>
      <c r="D15" s="15" t="n">
        <v>0.02027516292541636</v>
      </c>
      <c r="E15" s="19">
        <f>C15/D15</f>
        <v/>
      </c>
      <c r="F15" s="6" t="n">
        <v>0</v>
      </c>
      <c r="G15" s="6" t="n">
        <v>0</v>
      </c>
      <c r="H15" s="6" t="n">
        <v>1</v>
      </c>
      <c r="I15" s="6" t="n">
        <v>0</v>
      </c>
      <c r="J15" s="6" t="n">
        <v>1</v>
      </c>
    </row>
    <row r="17">
      <c r="A17" s="29" t="inlineStr">
        <is>
          <t>集中度 = 板塊佔熱錢股比例 ÷ 板塊佔股票池比例；&gt;1 即熱錢喺呢個板塊比例偏高。「近 15 日有事件日」= 事件日喺 2026-09-10 或之後</t>
        </is>
      </c>
    </row>
    <row r="19" ht="42" customHeight="1">
      <c r="A19" s="4" t="inlineStr">
        <is>
          <t>板塊</t>
        </is>
      </c>
      <c r="B19" s="4" t="inlineStr">
        <is>
          <t>代號</t>
        </is>
      </c>
      <c r="C19" s="4" t="inlineStr">
        <is>
          <t>公司</t>
        </is>
      </c>
      <c r="D19" s="4" t="inlineStr">
        <is>
          <t>行業</t>
        </is>
      </c>
      <c r="E19" s="4" t="inlineStr">
        <is>
          <t>市值組</t>
        </is>
      </c>
      <c r="F19" s="4" t="inlineStr">
        <is>
          <t>收市價</t>
        </is>
      </c>
      <c r="G19" s="4" t="inlineStr">
        <is>
          <t>事件日</t>
        </is>
      </c>
      <c r="H19" s="4" t="inlineStr">
        <is>
          <t>事件日升幅</t>
        </is>
      </c>
      <c r="I19" s="4" t="inlineStr">
        <is>
          <t>事件日跳空</t>
        </is>
      </c>
      <c r="J19" s="4" t="inlineStr">
        <is>
          <t>事件日量比</t>
        </is>
      </c>
      <c r="K19" s="4" t="inlineStr">
        <is>
          <t>升浪起點</t>
        </is>
      </c>
      <c r="L19" s="4" t="inlineStr">
        <is>
          <t>升浪幅度%</t>
        </is>
      </c>
      <c r="M19" s="4" t="inlineStr">
        <is>
          <t>升浪成交額比</t>
        </is>
      </c>
      <c r="N19" s="4" t="inlineStr">
        <is>
          <t>高位日期</t>
        </is>
      </c>
      <c r="O19" s="4" t="inlineStr">
        <is>
          <t>高位至今</t>
        </is>
      </c>
      <c r="P19" s="4" t="inlineStr">
        <is>
          <t>距高位%</t>
        </is>
      </c>
      <c r="Q19" s="4" t="inlineStr">
        <is>
          <t>距MA20%</t>
        </is>
      </c>
      <c r="R19" s="4" t="inlineStr">
        <is>
          <t>狀態</t>
        </is>
      </c>
      <c r="S19" s="4" t="inlineStr">
        <is>
          <t>曾有10MA上升</t>
        </is>
      </c>
      <c r="T19" s="4" t="inlineStr">
        <is>
          <t>ATR5/ATR20</t>
        </is>
      </c>
      <c r="U19" s="4" t="inlineStr">
        <is>
          <t>ATR5/升浪ATR</t>
        </is>
      </c>
      <c r="V19" s="4" t="inlineStr">
        <is>
          <t>新條件唔過嘅</t>
        </is>
      </c>
    </row>
    <row r="20">
      <c r="A20" s="2" t="inlineStr">
        <is>
          <t>醫療保健</t>
        </is>
      </c>
      <c r="B20" s="27" t="inlineStr">
        <is>
          <t>BTSG</t>
        </is>
      </c>
      <c r="C20" s="2" t="inlineStr">
        <is>
          <t>BrightSpring Health Services Inc.</t>
        </is>
      </c>
      <c r="D20" s="2" t="inlineStr">
        <is>
          <t>Medical/Nursing Services</t>
        </is>
      </c>
      <c r="E20" s="2" t="inlineStr">
        <is>
          <t>大型</t>
        </is>
      </c>
      <c r="F20" s="10" t="n">
        <v>56.75</v>
      </c>
      <c r="G20" s="2" t="inlineStr">
        <is>
          <t>2026-05-01</t>
        </is>
      </c>
      <c r="H20" s="15" t="n">
        <v>0.09610173024807178</v>
      </c>
      <c r="I20" s="15" t="n">
        <v>0.02147175317907024</v>
      </c>
      <c r="J20" s="17" t="n">
        <v>3.305538221419966</v>
      </c>
      <c r="K20" s="2" t="inlineStr">
        <is>
          <t>2026-04-23</t>
        </is>
      </c>
      <c r="L20" s="14" t="n">
        <v>0.5447033898305083</v>
      </c>
      <c r="M20" s="9" t="n">
        <v>2.312868975304557</v>
      </c>
      <c r="N20" s="2" t="inlineStr">
        <is>
          <t>2026-07-24</t>
        </is>
      </c>
      <c r="O20" s="12" t="n">
        <v>47</v>
      </c>
      <c r="P20" s="15" t="n">
        <v>-0.2216431216568372</v>
      </c>
      <c r="Q20" s="16" t="n">
        <v>-0.02560888713374476</v>
      </c>
      <c r="R20" s="2" t="inlineStr">
        <is>
          <t>貼近 MA20</t>
        </is>
      </c>
      <c r="S20" s="2" t="inlineStr"/>
      <c r="T20" s="9" t="n">
        <v>0.8369667959606528</v>
      </c>
      <c r="U20" s="9" t="n">
        <v>0.7690811964817637</v>
      </c>
      <c r="V20" s="3" t="inlineStr">
        <is>
          <t>C2 曾有10MA上升、C3 回落20MA、C4 波幅減低</t>
        </is>
      </c>
    </row>
    <row r="21">
      <c r="A21" s="2" t="inlineStr">
        <is>
          <t>醫療保健</t>
        </is>
      </c>
      <c r="B21" s="27" t="inlineStr">
        <is>
          <t>IMDX</t>
        </is>
      </c>
      <c r="C21" s="2" t="inlineStr">
        <is>
          <t>Insight Molecular Diagnostics Inc.</t>
        </is>
      </c>
      <c r="D21" s="2" t="inlineStr">
        <is>
          <t>Biotechnology: In Vitro &amp; In Vivo Diagnostic Substances</t>
        </is>
      </c>
      <c r="E21" s="2" t="inlineStr">
        <is>
          <t>小型</t>
        </is>
      </c>
      <c r="F21" s="10" t="n">
        <v>3.59</v>
      </c>
      <c r="G21" s="2" t="inlineStr">
        <is>
          <t>2026-05-04</t>
        </is>
      </c>
      <c r="H21" s="15" t="n">
        <v>0.2511961722488041</v>
      </c>
      <c r="I21" s="15" t="n">
        <v>0</v>
      </c>
      <c r="J21" s="17" t="n">
        <v>6.023515224600542</v>
      </c>
      <c r="K21" s="2" t="inlineStr">
        <is>
          <t>2026-04-13</t>
        </is>
      </c>
      <c r="L21" s="14" t="n">
        <v>0.9133333333333333</v>
      </c>
      <c r="M21" s="9" t="n">
        <v>3.037725968907039</v>
      </c>
      <c r="N21" s="2" t="inlineStr">
        <is>
          <t>2026-07-02</t>
        </is>
      </c>
      <c r="O21" s="12" t="n">
        <v>62</v>
      </c>
      <c r="P21" s="15" t="n">
        <v>-0.3745644599303136</v>
      </c>
      <c r="Q21" s="16" t="n">
        <v>-0.08488401733367634</v>
      </c>
      <c r="R21" s="2" t="inlineStr">
        <is>
          <t>跌穿 MA20</t>
        </is>
      </c>
      <c r="S21" s="2" t="inlineStr"/>
      <c r="T21" s="9" t="n">
        <v>1.213884720960805</v>
      </c>
      <c r="U21" s="9" t="n">
        <v>0.9408735578480921</v>
      </c>
      <c r="V21" s="3" t="inlineStr">
        <is>
          <t>C2 曾有10MA上升、C3 回落20MA、C4 波幅減低</t>
        </is>
      </c>
    </row>
    <row r="22">
      <c r="A22" s="2" t="inlineStr">
        <is>
          <t>醫療保健</t>
        </is>
      </c>
      <c r="B22" s="27" t="inlineStr">
        <is>
          <t>EWTX</t>
        </is>
      </c>
      <c r="C22" s="2" t="inlineStr">
        <is>
          <t>Edgewise Therapeutics Inc.</t>
        </is>
      </c>
      <c r="D22" s="2" t="inlineStr">
        <is>
          <t>Biotechnology: Pharmaceutical Preparations</t>
        </is>
      </c>
      <c r="E22" s="2" t="inlineStr">
        <is>
          <t>中型</t>
        </is>
      </c>
      <c r="F22" s="10" t="n">
        <v>40.6</v>
      </c>
      <c r="G22" s="2" t="inlineStr">
        <is>
          <t>2026-05-05</t>
        </is>
      </c>
      <c r="H22" s="15" t="n">
        <v>0.2085850556438791</v>
      </c>
      <c r="I22" s="15" t="n">
        <v>0.2440381558028617</v>
      </c>
      <c r="J22" s="17" t="n">
        <v>5.473122055043326</v>
      </c>
      <c r="K22" s="2" t="inlineStr">
        <is>
          <t>2026-04-29</t>
        </is>
      </c>
      <c r="L22" s="14" t="n">
        <v>0.5878489326765191</v>
      </c>
      <c r="M22" s="9" t="n">
        <v>2.087308535456625</v>
      </c>
      <c r="N22" s="2" t="inlineStr">
        <is>
          <t>2026-07-09</t>
        </is>
      </c>
      <c r="O22" s="12" t="n">
        <v>58</v>
      </c>
      <c r="P22" s="15" t="n">
        <v>-0.1602895553257497</v>
      </c>
      <c r="Q22" s="16" t="n">
        <v>-0.05332618275934209</v>
      </c>
      <c r="R22" s="2" t="inlineStr">
        <is>
          <t>跌穿 MA20</t>
        </is>
      </c>
      <c r="S22" s="2" t="inlineStr">
        <is>
          <t>有</t>
        </is>
      </c>
      <c r="T22" s="9" t="n">
        <v>1.077591319011322</v>
      </c>
      <c r="U22" s="9" t="n">
        <v>0.8435004937034962</v>
      </c>
      <c r="V22" s="3" t="inlineStr">
        <is>
          <t>C3 回落20MA、C4 波幅減低</t>
        </is>
      </c>
    </row>
    <row r="23">
      <c r="A23" s="2" t="inlineStr">
        <is>
          <t>醫療保健</t>
        </is>
      </c>
      <c r="B23" s="27" t="inlineStr">
        <is>
          <t>FATE</t>
        </is>
      </c>
      <c r="C23" s="2" t="inlineStr">
        <is>
          <t>Fate Therapeutics Inc.</t>
        </is>
      </c>
      <c r="D23" s="2" t="inlineStr">
        <is>
          <t>Biotechnology: Biological Products (No Diagnostic Substances)</t>
        </is>
      </c>
      <c r="E23" s="2" t="inlineStr">
        <is>
          <t>小型</t>
        </is>
      </c>
      <c r="F23" s="10" t="n">
        <v>2.37</v>
      </c>
      <c r="G23" s="2" t="inlineStr">
        <is>
          <t>2026-05-05</t>
        </is>
      </c>
      <c r="H23" s="15" t="n">
        <v>0.3111111111111111</v>
      </c>
      <c r="I23" s="15" t="n">
        <v>0.1388888888888888</v>
      </c>
      <c r="J23" s="17" t="n">
        <v>6.468243323255685</v>
      </c>
      <c r="K23" s="2" t="inlineStr">
        <is>
          <t>2026-04-08</t>
        </is>
      </c>
      <c r="L23" s="14" t="n">
        <v>1.635593220338983</v>
      </c>
      <c r="M23" s="9" t="n">
        <v>4.150030461256198</v>
      </c>
      <c r="N23" s="2" t="inlineStr">
        <is>
          <t>2026-07-09</t>
        </is>
      </c>
      <c r="O23" s="12" t="n">
        <v>58</v>
      </c>
      <c r="P23" s="15" t="n">
        <v>-0.2379421221864951</v>
      </c>
      <c r="Q23" s="16" t="n">
        <v>-0.02187371027651508</v>
      </c>
      <c r="R23" s="2" t="inlineStr">
        <is>
          <t>貼近 MA20</t>
        </is>
      </c>
      <c r="S23" s="2" t="inlineStr"/>
      <c r="T23" s="9" t="n">
        <v>1.124900449087018</v>
      </c>
      <c r="U23" s="9" t="n">
        <v>0.5839638833653217</v>
      </c>
      <c r="V23" s="3" t="inlineStr">
        <is>
          <t>C2 曾有10MA上升、C3 回落20MA、C4 波幅減低</t>
        </is>
      </c>
    </row>
    <row r="24">
      <c r="A24" s="2" t="inlineStr">
        <is>
          <t>醫療保健</t>
        </is>
      </c>
      <c r="B24" s="27" t="inlineStr">
        <is>
          <t>IART</t>
        </is>
      </c>
      <c r="C24" s="2" t="inlineStr">
        <is>
          <t>Integra LifeSciences Holdings Corporation</t>
        </is>
      </c>
      <c r="D24" s="2" t="inlineStr">
        <is>
          <t>Medical/Dental Instruments</t>
        </is>
      </c>
      <c r="E24" s="2" t="inlineStr">
        <is>
          <t>小型</t>
        </is>
      </c>
      <c r="F24" s="10" t="n">
        <v>16.28</v>
      </c>
      <c r="G24" s="2" t="inlineStr">
        <is>
          <t>2026-05-05</t>
        </is>
      </c>
      <c r="H24" s="15" t="n">
        <v>0.2413145539906103</v>
      </c>
      <c r="I24" s="15" t="n">
        <v>0.1483568075117372</v>
      </c>
      <c r="J24" s="17" t="n">
        <v>3.778764094523673</v>
      </c>
      <c r="K24" s="2" t="inlineStr">
        <is>
          <t>2026-04-29</t>
        </is>
      </c>
      <c r="L24" s="14" t="n">
        <v>0.9692460317460319</v>
      </c>
      <c r="M24" s="9" t="n">
        <v>2.061317941135761</v>
      </c>
      <c r="N24" s="2" t="inlineStr">
        <is>
          <t>2026-07-16</t>
        </is>
      </c>
      <c r="O24" s="12" t="n">
        <v>53</v>
      </c>
      <c r="P24" s="15" t="n">
        <v>-0.1798488664987405</v>
      </c>
      <c r="Q24" s="16" t="n">
        <v>0.01867784625973745</v>
      </c>
      <c r="R24" s="2" t="inlineStr">
        <is>
          <t>貼近 MA20</t>
        </is>
      </c>
      <c r="S24" s="2" t="inlineStr"/>
      <c r="T24" s="9" t="n">
        <v>0.8210641854286552</v>
      </c>
      <c r="U24" s="9" t="n">
        <v>0.609361155891969</v>
      </c>
      <c r="V24" s="3" t="inlineStr">
        <is>
          <t>C2 曾有10MA上升、C3 回落20MA</t>
        </is>
      </c>
    </row>
    <row r="25">
      <c r="A25" s="2" t="inlineStr">
        <is>
          <t>醫療保健</t>
        </is>
      </c>
      <c r="B25" s="27" t="inlineStr">
        <is>
          <t>VCYT</t>
        </is>
      </c>
      <c r="C25" s="2" t="inlineStr">
        <is>
          <t>Veracyte Inc.</t>
        </is>
      </c>
      <c r="D25" s="2" t="inlineStr">
        <is>
          <t>Medical Specialities</t>
        </is>
      </c>
      <c r="E25" s="2" t="inlineStr">
        <is>
          <t>中型</t>
        </is>
      </c>
      <c r="F25" s="10" t="n">
        <v>46.04</v>
      </c>
      <c r="G25" s="2" t="inlineStr">
        <is>
          <t>2026-05-06</t>
        </is>
      </c>
      <c r="H25" s="15" t="n">
        <v>0.2493175614194723</v>
      </c>
      <c r="I25" s="15" t="n">
        <v>0.1828935395814377</v>
      </c>
      <c r="J25" s="17" t="n">
        <v>3.292886468038693</v>
      </c>
      <c r="K25" s="2" t="inlineStr">
        <is>
          <t>2026-04-29</t>
        </is>
      </c>
      <c r="L25" s="14" t="n">
        <v>0.8810572687224669</v>
      </c>
      <c r="M25" s="9" t="n">
        <v>2.010477658610224</v>
      </c>
      <c r="N25" s="2" t="inlineStr">
        <is>
          <t>2026-07-30</t>
        </is>
      </c>
      <c r="O25" s="12" t="n">
        <v>43</v>
      </c>
      <c r="P25" s="15" t="n">
        <v>-0.2298427567748411</v>
      </c>
      <c r="Q25" s="16" t="n">
        <v>0.06880241432343404</v>
      </c>
      <c r="R25" s="2" t="inlineStr">
        <is>
          <t>仍高於 MA20</t>
        </is>
      </c>
      <c r="S25" s="2" t="inlineStr"/>
      <c r="T25" s="9" t="n">
        <v>1.243882639961637</v>
      </c>
      <c r="U25" s="9" t="n">
        <v>1.274364170177225</v>
      </c>
      <c r="V25" s="3" t="inlineStr">
        <is>
          <t>C2 曾有10MA上升、C3 回落20MA、C4 波幅減低</t>
        </is>
      </c>
    </row>
    <row r="26">
      <c r="A26" s="2" t="inlineStr">
        <is>
          <t>醫療保健</t>
        </is>
      </c>
      <c r="B26" s="27" t="inlineStr">
        <is>
          <t>AGL</t>
        </is>
      </c>
      <c r="C26" s="2" t="inlineStr">
        <is>
          <t>agilon health inc.</t>
        </is>
      </c>
      <c r="D26" s="2" t="inlineStr">
        <is>
          <t>Misc Health and Biotechnology Services</t>
        </is>
      </c>
      <c r="E26" s="2" t="inlineStr">
        <is>
          <t>小型</t>
        </is>
      </c>
      <c r="F26" s="10" t="n">
        <v>79.59</v>
      </c>
      <c r="G26" s="2" t="inlineStr">
        <is>
          <t>2026-05-07</t>
        </is>
      </c>
      <c r="H26" s="15" t="n">
        <v>1.178096947935368</v>
      </c>
      <c r="I26" s="15" t="n">
        <v>0.5651705565529623</v>
      </c>
      <c r="J26" s="17" t="n">
        <v>12.37030389847765</v>
      </c>
      <c r="K26" s="2" t="inlineStr">
        <is>
          <t>2026-04-21</t>
        </is>
      </c>
      <c r="L26" s="14" t="n">
        <v>4.303921568627451</v>
      </c>
      <c r="M26" s="9" t="n">
        <v>6.636900927731044</v>
      </c>
      <c r="N26" s="2" t="inlineStr">
        <is>
          <t>2026-07-17</t>
        </is>
      </c>
      <c r="O26" s="12" t="n">
        <v>52</v>
      </c>
      <c r="P26" s="15" t="n">
        <v>-0.387014787430684</v>
      </c>
      <c r="Q26" s="16" t="n">
        <v>-0.08276863504356258</v>
      </c>
      <c r="R26" s="2" t="inlineStr">
        <is>
          <t>跌穿 MA20</t>
        </is>
      </c>
      <c r="S26" s="2" t="inlineStr"/>
      <c r="T26" s="9" t="n">
        <v>1.278128722720195</v>
      </c>
      <c r="U26" s="9" t="n">
        <v>0.6260377429058508</v>
      </c>
      <c r="V26" s="3" t="inlineStr">
        <is>
          <t>C2 曾有10MA上升、C3 回落20MA、C4 波幅減低</t>
        </is>
      </c>
    </row>
    <row r="27">
      <c r="A27" s="2" t="inlineStr">
        <is>
          <t>醫療保健</t>
        </is>
      </c>
      <c r="B27" s="27" t="inlineStr">
        <is>
          <t>PTCT</t>
        </is>
      </c>
      <c r="C27" s="2" t="inlineStr">
        <is>
          <t>PTC Therapeutics Inc.</t>
        </is>
      </c>
      <c r="D27" s="2" t="inlineStr">
        <is>
          <t>Biotechnology: Pharmaceutical Preparations</t>
        </is>
      </c>
      <c r="E27" s="2" t="inlineStr">
        <is>
          <t>中型</t>
        </is>
      </c>
      <c r="F27" s="10" t="n">
        <v>64.78</v>
      </c>
      <c r="G27" s="2" t="inlineStr">
        <is>
          <t>2026-05-08</t>
        </is>
      </c>
      <c r="H27" s="15" t="n">
        <v>0.1426577763994419</v>
      </c>
      <c r="I27" s="15" t="n">
        <v>0.1485501628159405</v>
      </c>
      <c r="J27" s="17" t="n">
        <v>5.145847807609973</v>
      </c>
      <c r="K27" s="2" t="inlineStr">
        <is>
          <t>2026-05-07</t>
        </is>
      </c>
      <c r="L27" s="14" t="n">
        <v>0.3885873778880446</v>
      </c>
      <c r="M27" s="9" t="n">
        <v>2.080468235756402</v>
      </c>
      <c r="N27" s="2" t="inlineStr">
        <is>
          <t>2026-07-09</t>
        </is>
      </c>
      <c r="O27" s="12" t="n">
        <v>58</v>
      </c>
      <c r="P27" s="15" t="n">
        <v>-0.2766052484645449</v>
      </c>
      <c r="Q27" s="16" t="n">
        <v>-0.02556427169277498</v>
      </c>
      <c r="R27" s="2" t="inlineStr">
        <is>
          <t>貼近 MA20</t>
        </is>
      </c>
      <c r="S27" s="2" t="inlineStr"/>
      <c r="T27" s="9" t="n">
        <v>1.05150940220796</v>
      </c>
      <c r="U27" s="9" t="n">
        <v>0.7124246771695422</v>
      </c>
      <c r="V27" s="3" t="inlineStr">
        <is>
          <t>C2 曾有10MA上升、C3 回落20MA、C4 波幅減低</t>
        </is>
      </c>
    </row>
    <row r="28">
      <c r="A28" s="2" t="inlineStr">
        <is>
          <t>醫療保健</t>
        </is>
      </c>
      <c r="B28" s="27" t="inlineStr">
        <is>
          <t>FENC</t>
        </is>
      </c>
      <c r="C28" s="2" t="inlineStr">
        <is>
          <t>Fennec Pharmaceuticals Inc.</t>
        </is>
      </c>
      <c r="D28" s="2" t="inlineStr">
        <is>
          <t>Biotechnology: Biological Products (No Diagnostic Substances)</t>
        </is>
      </c>
      <c r="E28" s="2" t="inlineStr">
        <is>
          <t>小型</t>
        </is>
      </c>
      <c r="F28" s="10" t="n">
        <v>10.65</v>
      </c>
      <c r="G28" s="2" t="inlineStr">
        <is>
          <t>2026-05-14</t>
        </is>
      </c>
      <c r="H28" s="15" t="n">
        <v>0.3648449039881834</v>
      </c>
      <c r="I28" s="15" t="n">
        <v>0.06351550960118169</v>
      </c>
      <c r="J28" s="17" t="n">
        <v>12.26626291029038</v>
      </c>
      <c r="K28" s="2" t="inlineStr">
        <is>
          <t>2026-05-13</t>
        </is>
      </c>
      <c r="L28" s="14" t="n">
        <v>0.8877400295420974</v>
      </c>
      <c r="M28" s="9" t="n">
        <v>2.295086165421687</v>
      </c>
      <c r="N28" s="2" t="inlineStr">
        <is>
          <t>2026-08-11</t>
        </is>
      </c>
      <c r="O28" s="12" t="n">
        <v>35</v>
      </c>
      <c r="P28" s="15" t="n">
        <v>-0.1666666666666666</v>
      </c>
      <c r="Q28" s="16" t="n">
        <v>-0.04473595694584742</v>
      </c>
      <c r="R28" s="2" t="inlineStr">
        <is>
          <t>跌穿 MA20</t>
        </is>
      </c>
      <c r="S28" s="2" t="inlineStr">
        <is>
          <t>有</t>
        </is>
      </c>
      <c r="T28" s="9" t="n">
        <v>1.053178768137373</v>
      </c>
      <c r="U28" s="9" t="n">
        <v>0.7443369111649651</v>
      </c>
      <c r="V28" s="3" t="inlineStr">
        <is>
          <t>C3 回落20MA、C4 波幅減低</t>
        </is>
      </c>
    </row>
    <row r="29">
      <c r="A29" s="2" t="inlineStr">
        <is>
          <t>醫療保健</t>
        </is>
      </c>
      <c r="B29" s="27" t="inlineStr">
        <is>
          <t>RLAY</t>
        </is>
      </c>
      <c r="C29" s="2" t="inlineStr">
        <is>
          <t>Relay Therapeutics Inc.</t>
        </is>
      </c>
      <c r="D29" s="2" t="inlineStr">
        <is>
          <t>Biotechnology: Biological Products (No Diagnostic Substances)</t>
        </is>
      </c>
      <c r="E29" s="2" t="inlineStr">
        <is>
          <t>中型</t>
        </is>
      </c>
      <c r="F29" s="10" t="n">
        <v>18.05</v>
      </c>
      <c r="G29" s="2" t="inlineStr">
        <is>
          <t>2026-05-19</t>
        </is>
      </c>
      <c r="H29" s="15" t="n">
        <v>-0.002479338842975132</v>
      </c>
      <c r="I29" s="15" t="n">
        <v>0.07438016528925617</v>
      </c>
      <c r="J29" s="17" t="n">
        <v>5.631973496298464</v>
      </c>
      <c r="K29" s="2" t="inlineStr">
        <is>
          <t>2026-05-19</t>
        </is>
      </c>
      <c r="L29" s="14" t="n">
        <v>0.7191383595691798</v>
      </c>
      <c r="M29" s="9" t="n">
        <v>2.150724343401468</v>
      </c>
      <c r="N29" s="2" t="inlineStr">
        <is>
          <t>2026-07-09</t>
        </is>
      </c>
      <c r="O29" s="12" t="n">
        <v>58</v>
      </c>
      <c r="P29" s="15" t="n">
        <v>-0.1301204819277109</v>
      </c>
      <c r="Q29" s="16" t="n">
        <v>-0.0292045393427649</v>
      </c>
      <c r="R29" s="2" t="inlineStr">
        <is>
          <t>貼近 MA20</t>
        </is>
      </c>
      <c r="S29" s="2" t="inlineStr">
        <is>
          <t>有</t>
        </is>
      </c>
      <c r="T29" s="9" t="n">
        <v>0.9356561314055223</v>
      </c>
      <c r="U29" s="9" t="n">
        <v>0.5577880153275283</v>
      </c>
      <c r="V29" s="3" t="inlineStr">
        <is>
          <t>C3 回落20MA、C4 波幅減低</t>
        </is>
      </c>
    </row>
    <row r="30">
      <c r="A30" s="2" t="inlineStr">
        <is>
          <t>醫療保健</t>
        </is>
      </c>
      <c r="B30" s="27" t="inlineStr">
        <is>
          <t>NRXP</t>
        </is>
      </c>
      <c r="C30" s="2" t="inlineStr">
        <is>
          <t>NRX Pharmaceuticals Inc.</t>
        </is>
      </c>
      <c r="D30" s="2" t="inlineStr">
        <is>
          <t>Biotechnology: Pharmaceutical Preparations</t>
        </is>
      </c>
      <c r="E30" s="2" t="inlineStr">
        <is>
          <t>小型</t>
        </is>
      </c>
      <c r="F30" s="10" t="n">
        <v>2.92</v>
      </c>
      <c r="G30" s="2" t="inlineStr">
        <is>
          <t>2026-05-26</t>
        </is>
      </c>
      <c r="H30" s="15" t="n">
        <v>0.338509316770186</v>
      </c>
      <c r="I30" s="15" t="n">
        <v>0.02173913043478248</v>
      </c>
      <c r="J30" s="17" t="n">
        <v>4.021956808889432</v>
      </c>
      <c r="K30" s="2" t="inlineStr">
        <is>
          <t>2026-05-11</t>
        </is>
      </c>
      <c r="L30" s="14" t="n">
        <v>0.5886524822695038</v>
      </c>
      <c r="M30" s="9" t="n">
        <v>2.283026976430339</v>
      </c>
      <c r="N30" s="2" t="inlineStr">
        <is>
          <t>2026-07-22</t>
        </is>
      </c>
      <c r="O30" s="12" t="n">
        <v>49</v>
      </c>
      <c r="P30" s="15" t="n">
        <v>-0.3482142857142858</v>
      </c>
      <c r="Q30" s="16" t="n">
        <v>-0.1080565101183645</v>
      </c>
      <c r="R30" s="2" t="inlineStr">
        <is>
          <t>跌穿 MA20</t>
        </is>
      </c>
      <c r="S30" s="2" t="inlineStr">
        <is>
          <t>有</t>
        </is>
      </c>
      <c r="T30" s="9" t="n">
        <v>1.038586261089714</v>
      </c>
      <c r="U30" s="9" t="n">
        <v>0.5132666566571793</v>
      </c>
      <c r="V30" s="3" t="inlineStr">
        <is>
          <t>C3 回落20MA、C4 波幅減低</t>
        </is>
      </c>
    </row>
    <row r="31">
      <c r="A31" s="2" t="inlineStr">
        <is>
          <t>醫療保健</t>
        </is>
      </c>
      <c r="B31" s="27" t="inlineStr">
        <is>
          <t>QTTB</t>
        </is>
      </c>
      <c r="C31" s="2" t="inlineStr">
        <is>
          <t>Q32 Bio Inc.</t>
        </is>
      </c>
      <c r="D31" s="2" t="inlineStr">
        <is>
          <t>Biotechnology: Pharmaceutical Preparations</t>
        </is>
      </c>
      <c r="E31" s="2" t="inlineStr">
        <is>
          <t>小型</t>
        </is>
      </c>
      <c r="F31" s="10" t="n">
        <v>8.27</v>
      </c>
      <c r="G31" s="2" t="inlineStr">
        <is>
          <t>2026-05-27</t>
        </is>
      </c>
      <c r="H31" s="15" t="n">
        <v>0.8124118476727786</v>
      </c>
      <c r="I31" s="15" t="n">
        <v>0.2933709449929478</v>
      </c>
      <c r="J31" s="17" t="n">
        <v>64.99913960520171</v>
      </c>
      <c r="K31" s="2" t="inlineStr">
        <is>
          <t>2026-05-01</t>
        </is>
      </c>
      <c r="L31" s="14" t="n">
        <v>3.242063492063492</v>
      </c>
      <c r="M31" s="9" t="n">
        <v>13.458973755825</v>
      </c>
      <c r="N31" s="2" t="inlineStr">
        <is>
          <t>2026-07-13</t>
        </is>
      </c>
      <c r="O31" s="12" t="n">
        <v>56</v>
      </c>
      <c r="P31" s="15" t="n">
        <v>-0.6131898971000935</v>
      </c>
      <c r="Q31" s="16" t="n">
        <v>-0.2238749941344842</v>
      </c>
      <c r="R31" s="2" t="inlineStr">
        <is>
          <t>跌穿 MA20</t>
        </is>
      </c>
      <c r="S31" s="2" t="inlineStr"/>
      <c r="T31" s="9" t="n">
        <v>1.37854533007296</v>
      </c>
      <c r="U31" s="9" t="n">
        <v>0.6561101845353596</v>
      </c>
      <c r="V31" s="3" t="inlineStr">
        <is>
          <t>C2 曾有10MA上升、C3 回落20MA、C4 波幅減低</t>
        </is>
      </c>
    </row>
    <row r="32">
      <c r="A32" s="2" t="inlineStr">
        <is>
          <t>醫療保健</t>
        </is>
      </c>
      <c r="B32" s="27" t="inlineStr">
        <is>
          <t>LEGN</t>
        </is>
      </c>
      <c r="C32" s="2" t="inlineStr">
        <is>
          <t>Legend Biotech Corporation American Depositary Shares</t>
        </is>
      </c>
      <c r="D32" s="2" t="inlineStr">
        <is>
          <t>Biotechnology: Pharmaceutical Preparations</t>
        </is>
      </c>
      <c r="E32" s="2" t="inlineStr">
        <is>
          <t>中型</t>
        </is>
      </c>
      <c r="F32" s="10" t="n">
        <v>19.89</v>
      </c>
      <c r="G32" s="2" t="inlineStr">
        <is>
          <t>2026-06-02</t>
        </is>
      </c>
      <c r="H32" s="15" t="n">
        <v>0.4221873774990199</v>
      </c>
      <c r="I32" s="15" t="n">
        <v>-0.005488043904351203</v>
      </c>
      <c r="J32" s="17" t="n">
        <v>6.621265735721332</v>
      </c>
      <c r="K32" s="2" t="inlineStr">
        <is>
          <t>2026-04-13</t>
        </is>
      </c>
      <c r="L32" s="14" t="n">
        <v>0.6907857546636518</v>
      </c>
      <c r="M32" s="9" t="n">
        <v>2.041765284963645</v>
      </c>
      <c r="N32" s="2" t="inlineStr">
        <is>
          <t>2026-07-02</t>
        </is>
      </c>
      <c r="O32" s="12" t="n">
        <v>62</v>
      </c>
      <c r="P32" s="15" t="n">
        <v>-0.3350050150451354</v>
      </c>
      <c r="Q32" s="16" t="n">
        <v>0.03891355445286071</v>
      </c>
      <c r="R32" s="2" t="inlineStr">
        <is>
          <t>仍高於 MA20</t>
        </is>
      </c>
      <c r="S32" s="2" t="inlineStr">
        <is>
          <t>有</t>
        </is>
      </c>
      <c r="T32" s="9" t="n">
        <v>1.051902383170116</v>
      </c>
      <c r="U32" s="9" t="n">
        <v>0.6175143011206653</v>
      </c>
      <c r="V32" s="3" t="inlineStr">
        <is>
          <t>C3 回落20MA、C4 波幅減低</t>
        </is>
      </c>
    </row>
    <row r="33">
      <c r="A33" s="2" t="inlineStr">
        <is>
          <t>醫療保健</t>
        </is>
      </c>
      <c r="B33" s="27" t="inlineStr">
        <is>
          <t>LQDA</t>
        </is>
      </c>
      <c r="C33" s="2" t="inlineStr">
        <is>
          <t>Liquidia Corporation</t>
        </is>
      </c>
      <c r="D33" s="2" t="inlineStr">
        <is>
          <t>Biotechnology: Pharmaceutical Preparations</t>
        </is>
      </c>
      <c r="E33" s="2" t="inlineStr">
        <is>
          <t>中型</t>
        </is>
      </c>
      <c r="F33" s="10" t="n">
        <v>30.26</v>
      </c>
      <c r="G33" s="2" t="inlineStr">
        <is>
          <t>2026-06-04</t>
        </is>
      </c>
      <c r="H33" s="15" t="n">
        <v>0.1230023343508708</v>
      </c>
      <c r="I33" s="15" t="n">
        <v>-0.009876099838390995</v>
      </c>
      <c r="J33" s="17" t="n">
        <v>3.248985476844349</v>
      </c>
      <c r="K33" s="2" t="inlineStr">
        <is>
          <t>2026-05-08</t>
        </is>
      </c>
      <c r="L33" s="14" t="n">
        <v>1.152009456264776</v>
      </c>
      <c r="M33" s="9" t="n">
        <v>2.78176272098869</v>
      </c>
      <c r="N33" s="2" t="inlineStr">
        <is>
          <t>2026-08-10</t>
        </is>
      </c>
      <c r="O33" s="12" t="n">
        <v>36</v>
      </c>
      <c r="P33" s="15" t="n">
        <v>-0.6675821157860047</v>
      </c>
      <c r="Q33" s="16" t="n">
        <v>-0.5448494739296217</v>
      </c>
      <c r="R33" s="2" t="inlineStr">
        <is>
          <t>跌穿 MA20</t>
        </is>
      </c>
      <c r="S33" s="2" t="inlineStr"/>
      <c r="T33" s="9" t="n">
        <v>2.432746986695668</v>
      </c>
      <c r="U33" s="9" t="n">
        <v>2.644907228963656</v>
      </c>
      <c r="V33" s="3" t="inlineStr">
        <is>
          <t>C2 曾有10MA上升、C3 回落20MA、C4 波幅減低</t>
        </is>
      </c>
    </row>
    <row r="34">
      <c r="A34" s="2" t="inlineStr">
        <is>
          <t>醫療保健</t>
        </is>
      </c>
      <c r="B34" s="27" t="inlineStr">
        <is>
          <t>NRIX</t>
        </is>
      </c>
      <c r="C34" s="2" t="inlineStr">
        <is>
          <t>Nurix Therapeutics Inc. Common stock</t>
        </is>
      </c>
      <c r="D34" s="2" t="inlineStr">
        <is>
          <t>Biotechnology: Pharmaceutical Preparations</t>
        </is>
      </c>
      <c r="E34" s="2" t="inlineStr">
        <is>
          <t>中型</t>
        </is>
      </c>
      <c r="F34" s="10" t="n">
        <v>23.71</v>
      </c>
      <c r="G34" s="2" t="inlineStr">
        <is>
          <t>2026-06-08</t>
        </is>
      </c>
      <c r="H34" s="15" t="n">
        <v>0.06830601092896171</v>
      </c>
      <c r="I34" s="15" t="n">
        <v>0.1424180327868854</v>
      </c>
      <c r="J34" s="17" t="n">
        <v>19.06019609333435</v>
      </c>
      <c r="K34" s="2" t="inlineStr">
        <is>
          <t>2026-06-05</t>
        </is>
      </c>
      <c r="L34" s="14" t="n">
        <v>0.8982240437158469</v>
      </c>
      <c r="M34" s="9" t="n">
        <v>2.37664701425971</v>
      </c>
      <c r="N34" s="2" t="inlineStr">
        <is>
          <t>2026-08-19</t>
        </is>
      </c>
      <c r="O34" s="12" t="n">
        <v>29</v>
      </c>
      <c r="P34" s="15" t="n">
        <v>-0.1468154012234616</v>
      </c>
      <c r="Q34" s="16" t="n">
        <v>-0.05102112288496097</v>
      </c>
      <c r="R34" s="2" t="inlineStr">
        <is>
          <t>跌穿 MA20</t>
        </is>
      </c>
      <c r="S34" s="2" t="inlineStr">
        <is>
          <t>有</t>
        </is>
      </c>
      <c r="T34" s="9" t="n">
        <v>0.8743771737057416</v>
      </c>
      <c r="U34" s="9" t="n">
        <v>0.6025266358204047</v>
      </c>
      <c r="V34" s="3" t="inlineStr">
        <is>
          <t>C3 回落20MA</t>
        </is>
      </c>
    </row>
    <row r="35">
      <c r="A35" s="2" t="inlineStr">
        <is>
          <t>醫療保健</t>
        </is>
      </c>
      <c r="B35" s="27" t="inlineStr">
        <is>
          <t>TNGX</t>
        </is>
      </c>
      <c r="C35" s="2" t="inlineStr">
        <is>
          <t>Tango Therapeutics Inc.</t>
        </is>
      </c>
      <c r="D35" s="2" t="inlineStr">
        <is>
          <t>Biotechnology: Pharmaceutical Preparations</t>
        </is>
      </c>
      <c r="E35" s="2" t="inlineStr">
        <is>
          <t>中型</t>
        </is>
      </c>
      <c r="F35" s="10" t="n">
        <v>24.95</v>
      </c>
      <c r="G35" s="2" t="inlineStr">
        <is>
          <t>2026-06-08</t>
        </is>
      </c>
      <c r="H35" s="15" t="n">
        <v>0.5296735905044512</v>
      </c>
      <c r="I35" s="15" t="n">
        <v>0.4839268051434225</v>
      </c>
      <c r="J35" s="17" t="n">
        <v>7.533221043330595</v>
      </c>
      <c r="K35" s="2" t="inlineStr">
        <is>
          <t>2026-05-27</t>
        </is>
      </c>
      <c r="L35" s="14" t="n">
        <v>0.5806615776081425</v>
      </c>
      <c r="M35" s="9" t="n">
        <v>2.240984322755581</v>
      </c>
      <c r="N35" s="2" t="inlineStr">
        <is>
          <t>2026-07-10</t>
        </is>
      </c>
      <c r="O35" s="12" t="n">
        <v>57</v>
      </c>
      <c r="P35" s="15" t="n">
        <v>-0.1967160334835801</v>
      </c>
      <c r="Q35" s="16" t="n">
        <v>0.05274261603375519</v>
      </c>
      <c r="R35" s="2" t="inlineStr">
        <is>
          <t>仍高於 MA20</t>
        </is>
      </c>
      <c r="S35" s="2" t="inlineStr"/>
      <c r="T35" s="9" t="n">
        <v>0.9125820318687629</v>
      </c>
      <c r="U35" s="9" t="n">
        <v>0.6405438682816056</v>
      </c>
      <c r="V35" s="3" t="inlineStr">
        <is>
          <t>C2 曾有10MA上升、C3 回落20MA、C4 波幅減低</t>
        </is>
      </c>
    </row>
    <row r="36">
      <c r="A36" s="2" t="inlineStr">
        <is>
          <t>醫療保健</t>
        </is>
      </c>
      <c r="B36" s="27" t="inlineStr">
        <is>
          <t>RNAC</t>
        </is>
      </c>
      <c r="C36" s="2" t="inlineStr">
        <is>
          <t>Cartesian Therapeutics Inc.</t>
        </is>
      </c>
      <c r="D36" s="2" t="inlineStr">
        <is>
          <t>Biotechnology: Pharmaceutical Preparations</t>
        </is>
      </c>
      <c r="E36" s="2" t="inlineStr">
        <is>
          <t>小型</t>
        </is>
      </c>
      <c r="F36" s="10" t="n">
        <v>7.21</v>
      </c>
      <c r="G36" s="2" t="inlineStr">
        <is>
          <t>2026-06-09</t>
        </is>
      </c>
      <c r="H36" s="15" t="n">
        <v>0.1689419795221843</v>
      </c>
      <c r="I36" s="15" t="n">
        <v>0.1962457337883958</v>
      </c>
      <c r="J36" s="17" t="n">
        <v>19.7163392645582</v>
      </c>
      <c r="K36" s="2" t="inlineStr">
        <is>
          <t>2026-06-05</t>
        </is>
      </c>
      <c r="L36" s="14" t="n">
        <v>0.8133561643835616</v>
      </c>
      <c r="M36" s="9" t="n">
        <v>3.976584368596137</v>
      </c>
      <c r="N36" s="2" t="inlineStr">
        <is>
          <t>2026-07-02</t>
        </is>
      </c>
      <c r="O36" s="12" t="n">
        <v>62</v>
      </c>
      <c r="P36" s="15" t="n">
        <v>-0.3191690273843248</v>
      </c>
      <c r="Q36" s="16" t="n">
        <v>-0.1100962725253022</v>
      </c>
      <c r="R36" s="2" t="inlineStr">
        <is>
          <t>跌穿 MA20</t>
        </is>
      </c>
      <c r="S36" s="2" t="inlineStr">
        <is>
          <t>有</t>
        </is>
      </c>
      <c r="T36" s="9" t="n">
        <v>0.9360975065977445</v>
      </c>
      <c r="U36" s="9" t="n">
        <v>0.3798310049298878</v>
      </c>
      <c r="V36" s="3" t="inlineStr">
        <is>
          <t>C3 回落20MA、C4 波幅減低</t>
        </is>
      </c>
    </row>
    <row r="37">
      <c r="A37" s="2" t="inlineStr">
        <is>
          <t>醫療保健</t>
        </is>
      </c>
      <c r="B37" s="27" t="inlineStr">
        <is>
          <t>CLOV</t>
        </is>
      </c>
      <c r="C37" s="2" t="inlineStr">
        <is>
          <t>Clover Health Investments Corp. Class A</t>
        </is>
      </c>
      <c r="D37" s="2" t="inlineStr">
        <is>
          <t>Medical Specialities</t>
        </is>
      </c>
      <c r="E37" s="2" t="inlineStr">
        <is>
          <t>中型</t>
        </is>
      </c>
      <c r="F37" s="10" t="n">
        <v>4.31</v>
      </c>
      <c r="G37" s="2" t="inlineStr">
        <is>
          <t>2026-06-10</t>
        </is>
      </c>
      <c r="H37" s="15" t="n">
        <v>0.1398601398601398</v>
      </c>
      <c r="I37" s="15" t="n">
        <v>0.06293706293706292</v>
      </c>
      <c r="J37" s="17" t="n">
        <v>3.785606537330995</v>
      </c>
      <c r="K37" s="2" t="inlineStr">
        <is>
          <t>2026-04-01</t>
        </is>
      </c>
      <c r="L37" s="14" t="n">
        <v>2.094117647058824</v>
      </c>
      <c r="M37" s="9" t="n">
        <v>2.169006552642386</v>
      </c>
      <c r="N37" s="2" t="inlineStr">
        <is>
          <t>2026-07-02</t>
        </is>
      </c>
      <c r="O37" s="12" t="n">
        <v>62</v>
      </c>
      <c r="P37" s="15" t="n">
        <v>-0.1806083650190115</v>
      </c>
      <c r="Q37" s="16" t="n">
        <v>-0.04259454656522443</v>
      </c>
      <c r="R37" s="2" t="inlineStr">
        <is>
          <t>跌穿 MA20</t>
        </is>
      </c>
      <c r="S37" s="2" t="inlineStr">
        <is>
          <t>有</t>
        </is>
      </c>
      <c r="T37" s="9" t="n">
        <v>0.8849532807081507</v>
      </c>
      <c r="U37" s="9" t="n">
        <v>0.6479802140405967</v>
      </c>
      <c r="V37" s="3" t="inlineStr">
        <is>
          <t>C3 回落20MA</t>
        </is>
      </c>
    </row>
    <row r="38">
      <c r="A38" s="2" t="inlineStr">
        <is>
          <t>醫療保健</t>
        </is>
      </c>
      <c r="B38" s="27" t="inlineStr">
        <is>
          <t>MBX</t>
        </is>
      </c>
      <c r="C38" s="2" t="inlineStr">
        <is>
          <t>MBX Biosciences Inc.</t>
        </is>
      </c>
      <c r="D38" s="2" t="inlineStr">
        <is>
          <t>Biotechnology: Pharmaceutical Preparations</t>
        </is>
      </c>
      <c r="E38" s="2" t="inlineStr">
        <is>
          <t>中型</t>
        </is>
      </c>
      <c r="F38" s="10" t="n">
        <v>58.62</v>
      </c>
      <c r="G38" s="2" t="inlineStr">
        <is>
          <t>2026-06-11</t>
        </is>
      </c>
      <c r="H38" s="15" t="n">
        <v>0.202000645369474</v>
      </c>
      <c r="I38" s="15" t="n">
        <v>0.01097128105840595</v>
      </c>
      <c r="J38" s="17" t="n">
        <v>4.627957790612984</v>
      </c>
      <c r="K38" s="2" t="inlineStr">
        <is>
          <t>2026-06-08</t>
        </is>
      </c>
      <c r="L38" s="14" t="n">
        <v>1.437931034482759</v>
      </c>
      <c r="M38" s="9" t="n">
        <v>2.642105118196914</v>
      </c>
      <c r="N38" s="2" t="inlineStr">
        <is>
          <t>2026-08-04</t>
        </is>
      </c>
      <c r="O38" s="12" t="n">
        <v>40</v>
      </c>
      <c r="P38" s="15" t="n">
        <v>-0.170862800565771</v>
      </c>
      <c r="Q38" s="16" t="n">
        <v>-0.02508793666896569</v>
      </c>
      <c r="R38" s="2" t="inlineStr">
        <is>
          <t>貼近 MA20</t>
        </is>
      </c>
      <c r="S38" s="2" t="inlineStr"/>
      <c r="T38" s="9" t="n">
        <v>1.215318694648488</v>
      </c>
      <c r="U38" s="9" t="n">
        <v>0.7625241045592511</v>
      </c>
      <c r="V38" s="3" t="inlineStr">
        <is>
          <t>C2 曾有10MA上升、C3 回落20MA、C4 波幅減低</t>
        </is>
      </c>
    </row>
    <row r="39">
      <c r="A39" s="2" t="inlineStr">
        <is>
          <t>醫療保健</t>
        </is>
      </c>
      <c r="B39" s="27" t="inlineStr">
        <is>
          <t>ANIX</t>
        </is>
      </c>
      <c r="C39" s="2" t="inlineStr">
        <is>
          <t>Anixa Biosciences Inc.</t>
        </is>
      </c>
      <c r="D39" s="2" t="inlineStr">
        <is>
          <t>Biotechnology: Pharmaceutical Preparations</t>
        </is>
      </c>
      <c r="E39" s="2" t="inlineStr">
        <is>
          <t>小型</t>
        </is>
      </c>
      <c r="F39" s="10" t="n">
        <v>2.93</v>
      </c>
      <c r="G39" s="2" t="inlineStr">
        <is>
          <t>2026-06-18</t>
        </is>
      </c>
      <c r="H39" s="15" t="n">
        <v>0.08178438661710041</v>
      </c>
      <c r="I39" s="15" t="n">
        <v>0.02602230483271373</v>
      </c>
      <c r="J39" s="17" t="n">
        <v>4.915886626955554</v>
      </c>
      <c r="K39" s="2" t="inlineStr">
        <is>
          <t>2026-06-10</t>
        </is>
      </c>
      <c r="L39" s="14" t="n">
        <v>0.5957446808510638</v>
      </c>
      <c r="M39" s="9" t="n">
        <v>2.957701471237464</v>
      </c>
      <c r="N39" s="2" t="inlineStr">
        <is>
          <t>2026-07-23</t>
        </is>
      </c>
      <c r="O39" s="12" t="n">
        <v>48</v>
      </c>
      <c r="P39" s="15" t="n">
        <v>-0.2186666666666667</v>
      </c>
      <c r="Q39" s="16" t="n">
        <v>0.03753541076487421</v>
      </c>
      <c r="R39" s="2" t="inlineStr">
        <is>
          <t>仍高於 MA20</t>
        </is>
      </c>
      <c r="S39" s="2" t="inlineStr">
        <is>
          <t>有</t>
        </is>
      </c>
      <c r="T39" s="9" t="n">
        <v>0.8395256294699724</v>
      </c>
      <c r="U39" s="9" t="n">
        <v>0.5445071330125623</v>
      </c>
      <c r="V39" s="3" t="inlineStr">
        <is>
          <t>C3 回落20MA</t>
        </is>
      </c>
    </row>
    <row r="40">
      <c r="A40" s="2" t="inlineStr">
        <is>
          <t>醫療保健</t>
        </is>
      </c>
      <c r="B40" s="27" t="inlineStr">
        <is>
          <t>IMMX</t>
        </is>
      </c>
      <c r="C40" s="2" t="inlineStr">
        <is>
          <t>Immix Biopharma Inc.</t>
        </is>
      </c>
      <c r="D40" s="2" t="inlineStr">
        <is>
          <t>Biotechnology: Pharmaceutical Preparations</t>
        </is>
      </c>
      <c r="E40" s="2" t="inlineStr">
        <is>
          <t>小型</t>
        </is>
      </c>
      <c r="F40" s="10" t="n">
        <v>10.405</v>
      </c>
      <c r="G40" s="2" t="inlineStr">
        <is>
          <t>2026-06-18</t>
        </is>
      </c>
      <c r="H40" s="15" t="n">
        <v>-0.04490690032858713</v>
      </c>
      <c r="I40" s="15" t="n">
        <v>0.08652792990142388</v>
      </c>
      <c r="J40" s="17" t="n">
        <v>6.698271466127547</v>
      </c>
      <c r="K40" s="2" t="inlineStr">
        <is>
          <t>2026-06-08</t>
        </is>
      </c>
      <c r="L40" s="14" t="n">
        <v>0.8386277001270648</v>
      </c>
      <c r="M40" s="9" t="n">
        <v>2.08134022214281</v>
      </c>
      <c r="N40" s="2" t="inlineStr">
        <is>
          <t>2026-08-25</t>
        </is>
      </c>
      <c r="O40" s="12" t="n">
        <v>25</v>
      </c>
      <c r="P40" s="15" t="n">
        <v>-0.2809260539046303</v>
      </c>
      <c r="Q40" s="16" t="n">
        <v>-0.1537038166697183</v>
      </c>
      <c r="R40" s="2" t="inlineStr">
        <is>
          <t>跌穿 MA20</t>
        </is>
      </c>
      <c r="S40" s="2" t="inlineStr">
        <is>
          <t>有</t>
        </is>
      </c>
      <c r="T40" s="9" t="n">
        <v>1.407104023801967</v>
      </c>
      <c r="U40" s="9" t="n">
        <v>1.231857796088576</v>
      </c>
      <c r="V40" s="3" t="inlineStr">
        <is>
          <t>C3 回落20MA、C4 波幅減低</t>
        </is>
      </c>
    </row>
    <row r="41">
      <c r="A41" s="2" t="inlineStr">
        <is>
          <t>醫療保健</t>
        </is>
      </c>
      <c r="B41" s="27" t="inlineStr">
        <is>
          <t>DFTX</t>
        </is>
      </c>
      <c r="C41" s="2" t="inlineStr">
        <is>
          <t>Definium Therapeutics Inc. Common Shares</t>
        </is>
      </c>
      <c r="D41" s="2" t="inlineStr">
        <is>
          <t>Medicinal Chemicals and Botanical Products</t>
        </is>
      </c>
      <c r="E41" s="2" t="inlineStr">
        <is>
          <t>中型</t>
        </is>
      </c>
      <c r="F41" s="10" t="n">
        <v>38.06</v>
      </c>
      <c r="G41" s="2" t="inlineStr">
        <is>
          <t>2026-06-22</t>
        </is>
      </c>
      <c r="H41" s="15" t="n">
        <v>0.4979575163398693</v>
      </c>
      <c r="I41" s="15" t="n">
        <v>0.5759803921568627</v>
      </c>
      <c r="J41" s="17" t="n">
        <v>10.25931864299044</v>
      </c>
      <c r="K41" s="2" t="inlineStr">
        <is>
          <t>2026-05-19</t>
        </is>
      </c>
      <c r="L41" s="14" t="n">
        <v>1.42007992007992</v>
      </c>
      <c r="M41" s="9" t="n">
        <v>3.717619035165777</v>
      </c>
      <c r="N41" s="2" t="inlineStr">
        <is>
          <t>2026-07-09</t>
        </is>
      </c>
      <c r="O41" s="12" t="n">
        <v>58</v>
      </c>
      <c r="P41" s="15" t="n">
        <v>-0.2144478844169246</v>
      </c>
      <c r="Q41" s="16" t="n">
        <v>-0.005058360672877904</v>
      </c>
      <c r="R41" s="2" t="inlineStr">
        <is>
          <t>貼近 MA20</t>
        </is>
      </c>
      <c r="S41" s="2" t="inlineStr"/>
      <c r="T41" s="9" t="n">
        <v>0.9421204303507588</v>
      </c>
      <c r="U41" s="9" t="n">
        <v>0.5619693771620201</v>
      </c>
      <c r="V41" s="3" t="inlineStr">
        <is>
          <t>C2 曾有10MA上升、C3 回落20MA、C4 波幅減低</t>
        </is>
      </c>
    </row>
    <row r="42">
      <c r="A42" s="2" t="inlineStr">
        <is>
          <t>醫療保健</t>
        </is>
      </c>
      <c r="B42" s="27" t="inlineStr">
        <is>
          <t>RGNX</t>
        </is>
      </c>
      <c r="C42" s="2" t="inlineStr">
        <is>
          <t>REGENXBIO Inc.</t>
        </is>
      </c>
      <c r="D42" s="2" t="inlineStr">
        <is>
          <t>Biotechnology: Biological Products (No Diagnostic Substances)</t>
        </is>
      </c>
      <c r="E42" s="2" t="inlineStr">
        <is>
          <t>小型</t>
        </is>
      </c>
      <c r="F42" s="10" t="n">
        <v>7.53</v>
      </c>
      <c r="G42" s="2" t="inlineStr">
        <is>
          <t>2026-06-22</t>
        </is>
      </c>
      <c r="H42" s="15" t="n">
        <v>0.1628205128205129</v>
      </c>
      <c r="I42" s="15" t="n">
        <v>0.0923076923076922</v>
      </c>
      <c r="J42" s="17" t="n">
        <v>6.064534370407121</v>
      </c>
      <c r="K42" s="2" t="inlineStr">
        <is>
          <t>2026-05-18</t>
        </is>
      </c>
      <c r="L42" s="14" t="n">
        <v>1.769911504424779</v>
      </c>
      <c r="M42" s="9" t="n">
        <v>2.460997649824197</v>
      </c>
      <c r="N42" s="2" t="inlineStr">
        <is>
          <t>2026-07-09</t>
        </is>
      </c>
      <c r="O42" s="12" t="n">
        <v>58</v>
      </c>
      <c r="P42" s="15" t="n">
        <v>-0.518849840255591</v>
      </c>
      <c r="Q42" s="16" t="n">
        <v>-0.08058608058608407</v>
      </c>
      <c r="R42" s="2" t="inlineStr">
        <is>
          <t>跌穿 MA20</t>
        </is>
      </c>
      <c r="S42" s="2" t="inlineStr">
        <is>
          <t>有</t>
        </is>
      </c>
      <c r="T42" s="9" t="n">
        <v>0.9929451173033071</v>
      </c>
      <c r="U42" s="9" t="n">
        <v>0.5811394748367888</v>
      </c>
      <c r="V42" s="3" t="inlineStr">
        <is>
          <t>C3 回落20MA、C4 波幅減低</t>
        </is>
      </c>
    </row>
    <row r="43">
      <c r="A43" s="2" t="inlineStr">
        <is>
          <t>醫療保健</t>
        </is>
      </c>
      <c r="B43" s="27" t="inlineStr">
        <is>
          <t>TNON</t>
        </is>
      </c>
      <c r="C43" s="2" t="inlineStr">
        <is>
          <t>Tenon Medical Inc.</t>
        </is>
      </c>
      <c r="D43" s="2" t="inlineStr">
        <is>
          <t>Medical/Dental Instruments</t>
        </is>
      </c>
      <c r="E43" s="2" t="inlineStr">
        <is>
          <t>小型</t>
        </is>
      </c>
      <c r="F43" s="10" t="n">
        <v>4.09</v>
      </c>
      <c r="G43" s="2" t="inlineStr">
        <is>
          <t>2026-06-22</t>
        </is>
      </c>
      <c r="H43" s="15" t="n">
        <v>0.7771428571428571</v>
      </c>
      <c r="I43" s="15" t="n">
        <v>0.9285714285714286</v>
      </c>
      <c r="J43" s="17" t="n">
        <v>355.5126724832634</v>
      </c>
      <c r="K43" s="2" t="inlineStr">
        <is>
          <t>2026-08-07</t>
        </is>
      </c>
      <c r="L43" s="14" t="n">
        <v>1.488549618320611</v>
      </c>
      <c r="M43" s="9" t="n">
        <v>18.2101777160773</v>
      </c>
      <c r="N43" s="2" t="inlineStr">
        <is>
          <t>2026-08-19</t>
        </is>
      </c>
      <c r="O43" s="12" t="n">
        <v>29</v>
      </c>
      <c r="P43" s="15" t="n">
        <v>-0.6415425065731815</v>
      </c>
      <c r="Q43" s="16" t="n">
        <v>0.04871794871793633</v>
      </c>
      <c r="R43" s="2" t="inlineStr">
        <is>
          <t>仍高於 MA20</t>
        </is>
      </c>
      <c r="S43" s="2" t="inlineStr">
        <is>
          <t>有</t>
        </is>
      </c>
      <c r="T43" s="9" t="n">
        <v>0.8262331068287122</v>
      </c>
      <c r="U43" s="9" t="n">
        <v>0.5025619488581436</v>
      </c>
      <c r="V43" s="3" t="inlineStr">
        <is>
          <t>C3 回落20MA</t>
        </is>
      </c>
    </row>
    <row r="44">
      <c r="A44" s="2" t="inlineStr">
        <is>
          <t>醫療保健</t>
        </is>
      </c>
      <c r="B44" s="27" t="inlineStr">
        <is>
          <t>ABSI</t>
        </is>
      </c>
      <c r="C44" s="2" t="inlineStr">
        <is>
          <t>Absci Corporation</t>
        </is>
      </c>
      <c r="D44" s="2" t="inlineStr">
        <is>
          <t>Biotechnology: Commercial Physical &amp; Biological Resarch</t>
        </is>
      </c>
      <c r="E44" s="2" t="inlineStr">
        <is>
          <t>小型</t>
        </is>
      </c>
      <c r="F44" s="10" t="n">
        <v>10.77</v>
      </c>
      <c r="G44" s="2" t="inlineStr">
        <is>
          <t>2026-06-24</t>
        </is>
      </c>
      <c r="H44" s="15" t="n">
        <v>0.3596491228070173</v>
      </c>
      <c r="I44" s="15" t="n">
        <v>0.2834008097165992</v>
      </c>
      <c r="J44" s="17" t="n">
        <v>7.355127815382484</v>
      </c>
      <c r="K44" s="2" t="inlineStr">
        <is>
          <t>2026-04-07</t>
        </is>
      </c>
      <c r="L44" s="14" t="n">
        <v>2.97945205479452</v>
      </c>
      <c r="M44" s="9" t="n">
        <v>3.792378498602009</v>
      </c>
      <c r="N44" s="2" t="inlineStr">
        <is>
          <t>2026-07-02</t>
        </is>
      </c>
      <c r="O44" s="12" t="n">
        <v>62</v>
      </c>
      <c r="P44" s="15" t="n">
        <v>-0.07314974182444056</v>
      </c>
      <c r="Q44" s="16" t="n">
        <v>0.169508089912042</v>
      </c>
      <c r="R44" s="2" t="inlineStr">
        <is>
          <t>仍高於 MA20</t>
        </is>
      </c>
      <c r="S44" s="2" t="inlineStr">
        <is>
          <t>有</t>
        </is>
      </c>
      <c r="T44" s="9" t="n">
        <v>1.039641327632901</v>
      </c>
      <c r="U44" s="9" t="n">
        <v>0.7241916306022363</v>
      </c>
      <c r="V44" s="3" t="inlineStr">
        <is>
          <t>C3 回落20MA、C4 波幅減低</t>
        </is>
      </c>
    </row>
    <row r="45">
      <c r="A45" s="2" t="inlineStr">
        <is>
          <t>醫療保健</t>
        </is>
      </c>
      <c r="B45" s="27" t="inlineStr">
        <is>
          <t>NVCT</t>
        </is>
      </c>
      <c r="C45" s="2" t="inlineStr">
        <is>
          <t>Nuvectis Pharma Inc.</t>
        </is>
      </c>
      <c r="D45" s="2" t="inlineStr">
        <is>
          <t>Biotechnology: Pharmaceutical Preparations</t>
        </is>
      </c>
      <c r="E45" s="2" t="inlineStr">
        <is>
          <t>小型</t>
        </is>
      </c>
      <c r="F45" s="10" t="n">
        <v>21.12</v>
      </c>
      <c r="G45" s="2" t="inlineStr">
        <is>
          <t>2026-06-24</t>
        </is>
      </c>
      <c r="H45" s="15" t="n">
        <v>0.3948717948717948</v>
      </c>
      <c r="I45" s="15" t="n">
        <v>0.00113960113960121</v>
      </c>
      <c r="J45" s="17" t="n">
        <v>12.12353096776632</v>
      </c>
      <c r="K45" s="2" t="inlineStr">
        <is>
          <t>2026-06-03</t>
        </is>
      </c>
      <c r="L45" s="14" t="n">
        <v>1.780880773361976</v>
      </c>
      <c r="M45" s="9" t="n">
        <v>8.872737698647903</v>
      </c>
      <c r="N45" s="2" t="inlineStr">
        <is>
          <t>2026-08-25</t>
        </is>
      </c>
      <c r="O45" s="12" t="n">
        <v>25</v>
      </c>
      <c r="P45" s="15" t="n">
        <v>-0.1842410196987253</v>
      </c>
      <c r="Q45" s="16" t="n">
        <v>-0.05484325703161574</v>
      </c>
      <c r="R45" s="2" t="inlineStr">
        <is>
          <t>跌穿 MA20</t>
        </is>
      </c>
      <c r="S45" s="2" t="inlineStr">
        <is>
          <t>有</t>
        </is>
      </c>
      <c r="T45" s="9" t="n">
        <v>1.01561738317849</v>
      </c>
      <c r="U45" s="9" t="n">
        <v>0.769653880967836</v>
      </c>
      <c r="V45" s="3" t="inlineStr">
        <is>
          <t>C3 回落20MA、C4 波幅減低</t>
        </is>
      </c>
    </row>
    <row r="46">
      <c r="A46" s="2" t="inlineStr">
        <is>
          <t>醫療保健</t>
        </is>
      </c>
      <c r="B46" s="27" t="inlineStr">
        <is>
          <t>BDSX</t>
        </is>
      </c>
      <c r="C46" s="2" t="inlineStr">
        <is>
          <t>Biodesix Inc.</t>
        </is>
      </c>
      <c r="D46" s="2" t="inlineStr">
        <is>
          <t>Medical Specialities</t>
        </is>
      </c>
      <c r="E46" s="2" t="inlineStr">
        <is>
          <t>小型</t>
        </is>
      </c>
      <c r="F46" s="10" t="n">
        <v>29.83</v>
      </c>
      <c r="G46" s="2" t="inlineStr">
        <is>
          <t>2026-06-25</t>
        </is>
      </c>
      <c r="H46" s="15" t="n">
        <v>0.0733797536154257</v>
      </c>
      <c r="I46" s="15" t="n">
        <v>0.06266738082485257</v>
      </c>
      <c r="J46" s="17" t="n">
        <v>3.61401334041674</v>
      </c>
      <c r="K46" s="2" t="inlineStr">
        <is>
          <t>2026-06-11</t>
        </is>
      </c>
      <c r="L46" s="14" t="n">
        <v>1.067567567567568</v>
      </c>
      <c r="M46" s="9" t="n">
        <v>2.528148164591851</v>
      </c>
      <c r="N46" s="2" t="inlineStr">
        <is>
          <t>2026-08-26</t>
        </is>
      </c>
      <c r="O46" s="12" t="n">
        <v>24</v>
      </c>
      <c r="P46" s="15" t="n">
        <v>-0.02516339869281059</v>
      </c>
      <c r="Q46" s="16" t="n">
        <v>0.0616413979642696</v>
      </c>
      <c r="R46" s="2" t="inlineStr">
        <is>
          <t>仍高於 MA20</t>
        </is>
      </c>
      <c r="S46" s="2" t="inlineStr">
        <is>
          <t>有</t>
        </is>
      </c>
      <c r="T46" s="9" t="n">
        <v>1.239092071792751</v>
      </c>
      <c r="U46" s="9" t="n">
        <v>0.8623126768794461</v>
      </c>
      <c r="V46" s="3" t="inlineStr">
        <is>
          <t>C3 回落20MA、C4 波幅減低</t>
        </is>
      </c>
    </row>
    <row r="47">
      <c r="A47" s="2" t="inlineStr">
        <is>
          <t>醫療保健</t>
        </is>
      </c>
      <c r="B47" s="27" t="inlineStr">
        <is>
          <t>KYMR</t>
        </is>
      </c>
      <c r="C47" s="2" t="inlineStr">
        <is>
          <t>Kymera Therapeutics Inc.</t>
        </is>
      </c>
      <c r="D47" s="2" t="inlineStr">
        <is>
          <t>Biotechnology: Biological Products (No Diagnostic Substances)</t>
        </is>
      </c>
      <c r="E47" s="2" t="inlineStr">
        <is>
          <t>中型</t>
        </is>
      </c>
      <c r="F47" s="10" t="n">
        <v>111.79</v>
      </c>
      <c r="G47" s="2" t="inlineStr">
        <is>
          <t>2026-06-25</t>
        </is>
      </c>
      <c r="H47" s="15" t="n">
        <v>0.1661159507359566</v>
      </c>
      <c r="I47" s="15" t="n">
        <v>0.08941624111344737</v>
      </c>
      <c r="J47" s="17" t="n">
        <v>6.109550561797753</v>
      </c>
      <c r="K47" s="2" t="inlineStr">
        <is>
          <t>2026-06-02</t>
        </is>
      </c>
      <c r="L47" s="14" t="n">
        <v>0.785804460653668</v>
      </c>
      <c r="M47" s="9" t="n">
        <v>2.072637961477639</v>
      </c>
      <c r="N47" s="2" t="inlineStr">
        <is>
          <t>2026-08-19</t>
        </is>
      </c>
      <c r="O47" s="12" t="n">
        <v>29</v>
      </c>
      <c r="P47" s="15" t="n">
        <v>-0.121907155761527</v>
      </c>
      <c r="Q47" s="16" t="n">
        <v>-0.0341115277609797</v>
      </c>
      <c r="R47" s="2" t="inlineStr">
        <is>
          <t>跌穿 MA20</t>
        </is>
      </c>
      <c r="S47" s="2" t="inlineStr">
        <is>
          <t>有</t>
        </is>
      </c>
      <c r="T47" s="9" t="n">
        <v>0.9454977652531157</v>
      </c>
      <c r="U47" s="9" t="n">
        <v>0.7629467222565851</v>
      </c>
      <c r="V47" s="3" t="inlineStr">
        <is>
          <t>C3 回落20MA、C4 波幅減低</t>
        </is>
      </c>
    </row>
    <row r="48">
      <c r="A48" s="2" t="inlineStr">
        <is>
          <t>醫療保健</t>
        </is>
      </c>
      <c r="B48" s="27" t="inlineStr">
        <is>
          <t>CNTN</t>
        </is>
      </c>
      <c r="C48" s="2" t="inlineStr">
        <is>
          <t>Canton Strategic Holdings Inc.</t>
        </is>
      </c>
      <c r="D48" s="2" t="inlineStr">
        <is>
          <t>Biotechnology: Pharmaceutical Preparations</t>
        </is>
      </c>
      <c r="E48" s="2" t="inlineStr">
        <is>
          <t>小型</t>
        </is>
      </c>
      <c r="F48" s="10" t="n">
        <v>2.375</v>
      </c>
      <c r="G48" s="2" t="inlineStr">
        <is>
          <t>2026-06-26</t>
        </is>
      </c>
      <c r="H48" s="15" t="n">
        <v>0.1061452513966481</v>
      </c>
      <c r="I48" s="15" t="n">
        <v>-0.01303538175046559</v>
      </c>
      <c r="J48" s="17" t="n">
        <v>7.484131788203434</v>
      </c>
      <c r="K48" s="2" t="inlineStr">
        <is>
          <t>2026-06-05</t>
        </is>
      </c>
      <c r="L48" s="14" t="n">
        <v>0.2347826086956522</v>
      </c>
      <c r="M48" s="9" t="n">
        <v>2.179199311836009</v>
      </c>
      <c r="N48" s="2" t="inlineStr">
        <is>
          <t>2026-07-02</t>
        </is>
      </c>
      <c r="O48" s="12" t="n">
        <v>62</v>
      </c>
      <c r="P48" s="15" t="n">
        <v>-0.1637323943661971</v>
      </c>
      <c r="Q48" s="16" t="n">
        <v>0.0474090407938228</v>
      </c>
      <c r="R48" s="2" t="inlineStr">
        <is>
          <t>仍高於 MA20</t>
        </is>
      </c>
      <c r="S48" s="2" t="inlineStr">
        <is>
          <t>有</t>
        </is>
      </c>
      <c r="T48" s="9" t="n">
        <v>1.278754953549427</v>
      </c>
      <c r="U48" s="9" t="n">
        <v>0.9145422726199248</v>
      </c>
      <c r="V48" s="3" t="inlineStr">
        <is>
          <t>C3 回落20MA、C4 波幅減低</t>
        </is>
      </c>
    </row>
    <row r="49">
      <c r="A49" s="2" t="inlineStr">
        <is>
          <t>醫療保健</t>
        </is>
      </c>
      <c r="B49" s="27" t="inlineStr">
        <is>
          <t>DTIL</t>
        </is>
      </c>
      <c r="C49" s="2" t="inlineStr">
        <is>
          <t>Precision BioSciences Inc.</t>
        </is>
      </c>
      <c r="D49" s="2" t="inlineStr">
        <is>
          <t>Biotechnology: Biological Products (No Diagnostic Substances)</t>
        </is>
      </c>
      <c r="E49" s="2" t="inlineStr">
        <is>
          <t>小型</t>
        </is>
      </c>
      <c r="F49" s="10" t="n">
        <v>6.26</v>
      </c>
      <c r="G49" s="2" t="inlineStr">
        <is>
          <t>2026-06-26</t>
        </is>
      </c>
      <c r="H49" s="15" t="n">
        <v>0.08000000000000007</v>
      </c>
      <c r="I49" s="15" t="n">
        <v>-0.002962962962962945</v>
      </c>
      <c r="J49" s="17" t="n">
        <v>11.68160901856022</v>
      </c>
      <c r="K49" s="2" t="inlineStr">
        <is>
          <t>2026-04-08</t>
        </is>
      </c>
      <c r="L49" s="14" t="n">
        <v>0.5492487479131885</v>
      </c>
      <c r="M49" s="9" t="n">
        <v>2.070825396158231</v>
      </c>
      <c r="N49" s="2" t="inlineStr">
        <is>
          <t>2026-07-08</t>
        </is>
      </c>
      <c r="O49" s="12" t="n">
        <v>59</v>
      </c>
      <c r="P49" s="15" t="n">
        <v>-0.3254310344827586</v>
      </c>
      <c r="Q49" s="16" t="n">
        <v>-0.07988535312706813</v>
      </c>
      <c r="R49" s="2" t="inlineStr">
        <is>
          <t>跌穿 MA20</t>
        </is>
      </c>
      <c r="S49" s="2" t="inlineStr">
        <is>
          <t>有</t>
        </is>
      </c>
      <c r="T49" s="9" t="n">
        <v>0.8662644168713515</v>
      </c>
      <c r="U49" s="9" t="n">
        <v>0.6142665963705112</v>
      </c>
      <c r="V49" s="3" t="inlineStr">
        <is>
          <t>C3 回落20MA</t>
        </is>
      </c>
    </row>
    <row r="50">
      <c r="A50" s="2" t="inlineStr">
        <is>
          <t>醫療保健</t>
        </is>
      </c>
      <c r="B50" s="27" t="inlineStr">
        <is>
          <t>GALT</t>
        </is>
      </c>
      <c r="C50" s="2" t="inlineStr">
        <is>
          <t>Galectin Therapeutics Inc.</t>
        </is>
      </c>
      <c r="D50" s="2" t="inlineStr">
        <is>
          <t>Biotechnology: Pharmaceutical Preparations</t>
        </is>
      </c>
      <c r="E50" s="2" t="inlineStr">
        <is>
          <t>小型</t>
        </is>
      </c>
      <c r="F50" s="10" t="n">
        <v>3.88</v>
      </c>
      <c r="G50" s="2" t="inlineStr">
        <is>
          <t>2026-06-26</t>
        </is>
      </c>
      <c r="H50" s="15" t="n">
        <v>0.1796690307328606</v>
      </c>
      <c r="I50" s="15" t="n">
        <v>-0.01182033096926727</v>
      </c>
      <c r="J50" s="17" t="n">
        <v>14.21269105498345</v>
      </c>
      <c r="K50" s="2" t="inlineStr">
        <is>
          <t>2026-05-19</t>
        </is>
      </c>
      <c r="L50" s="14" t="n">
        <v>1.567307692307692</v>
      </c>
      <c r="M50" s="9" t="n">
        <v>3.731984050315049</v>
      </c>
      <c r="N50" s="2" t="inlineStr">
        <is>
          <t>2026-07-14</t>
        </is>
      </c>
      <c r="O50" s="12" t="n">
        <v>55</v>
      </c>
      <c r="P50" s="15" t="n">
        <v>-0.2734082397003745</v>
      </c>
      <c r="Q50" s="16" t="n">
        <v>-0.03024243939015081</v>
      </c>
      <c r="R50" s="2" t="inlineStr">
        <is>
          <t>跌穿 MA20</t>
        </is>
      </c>
      <c r="S50" s="2" t="inlineStr">
        <is>
          <t>有</t>
        </is>
      </c>
      <c r="T50" s="9" t="n">
        <v>0.7663666548522342</v>
      </c>
      <c r="U50" s="9" t="n">
        <v>0.4175078045136867</v>
      </c>
      <c r="V50" s="3" t="inlineStr">
        <is>
          <t>C3 回落20MA</t>
        </is>
      </c>
    </row>
    <row r="51">
      <c r="A51" s="2" t="inlineStr">
        <is>
          <t>醫療保健</t>
        </is>
      </c>
      <c r="B51" s="27" t="inlineStr">
        <is>
          <t>PYXS</t>
        </is>
      </c>
      <c r="C51" s="2" t="inlineStr">
        <is>
          <t>Pyxis Oncology Inc.</t>
        </is>
      </c>
      <c r="D51" s="2" t="inlineStr">
        <is>
          <t>Biotechnology: Pharmaceutical Preparations</t>
        </is>
      </c>
      <c r="E51" s="2" t="inlineStr">
        <is>
          <t>小型</t>
        </is>
      </c>
      <c r="F51" s="10" t="n">
        <v>2.33</v>
      </c>
      <c r="G51" s="2" t="inlineStr">
        <is>
          <t>2026-06-26</t>
        </is>
      </c>
      <c r="H51" s="15" t="n">
        <v>0.242152466367713</v>
      </c>
      <c r="I51" s="15" t="n">
        <v>0.004484304932735439</v>
      </c>
      <c r="J51" s="17" t="n">
        <v>12.44041100593812</v>
      </c>
      <c r="K51" s="2" t="inlineStr">
        <is>
          <t>2026-06-10</t>
        </is>
      </c>
      <c r="L51" s="14" t="n">
        <v>1.32934131736527</v>
      </c>
      <c r="M51" s="9" t="n">
        <v>3.819383893122931</v>
      </c>
      <c r="N51" s="2" t="inlineStr">
        <is>
          <t>2026-09-08</t>
        </is>
      </c>
      <c r="O51" s="12" t="n">
        <v>16</v>
      </c>
      <c r="P51" s="15" t="n">
        <v>-0.4010282776349614</v>
      </c>
      <c r="Q51" s="16" t="n">
        <v>-0.2882236138689491</v>
      </c>
      <c r="R51" s="2" t="inlineStr">
        <is>
          <t>跌穿 MA20</t>
        </is>
      </c>
      <c r="S51" s="2" t="inlineStr">
        <is>
          <t>有</t>
        </is>
      </c>
      <c r="T51" s="9" t="n">
        <v>1.179666086745359</v>
      </c>
      <c r="U51" s="9" t="n">
        <v>0.8753532908141097</v>
      </c>
      <c r="V51" s="3" t="inlineStr">
        <is>
          <t>C3 回落20MA、C4 波幅減低</t>
        </is>
      </c>
    </row>
    <row r="52">
      <c r="A52" s="2" t="inlineStr">
        <is>
          <t>醫療保健</t>
        </is>
      </c>
      <c r="B52" s="27" t="inlineStr">
        <is>
          <t>STTK</t>
        </is>
      </c>
      <c r="C52" s="2" t="inlineStr">
        <is>
          <t>Shattuck Labs Inc.</t>
        </is>
      </c>
      <c r="D52" s="2" t="inlineStr">
        <is>
          <t>Biotechnology: Pharmaceutical Preparations</t>
        </is>
      </c>
      <c r="E52" s="2" t="inlineStr">
        <is>
          <t>小型</t>
        </is>
      </c>
      <c r="F52" s="10" t="n">
        <v>6.82</v>
      </c>
      <c r="G52" s="2" t="inlineStr">
        <is>
          <t>2026-06-26</t>
        </is>
      </c>
      <c r="H52" s="15" t="n">
        <v>0.08967851099830804</v>
      </c>
      <c r="I52" s="15" t="n">
        <v>-0.006768189509306244</v>
      </c>
      <c r="J52" s="17" t="n">
        <v>15.87823145687364</v>
      </c>
      <c r="K52" s="2" t="inlineStr">
        <is>
          <t>2026-06-08</t>
        </is>
      </c>
      <c r="L52" s="14" t="n">
        <v>1.066666666666667</v>
      </c>
      <c r="M52" s="9" t="n">
        <v>2.626484316349044</v>
      </c>
      <c r="N52" s="2" t="inlineStr">
        <is>
          <t>2026-08-25</t>
        </is>
      </c>
      <c r="O52" s="12" t="n">
        <v>25</v>
      </c>
      <c r="P52" s="15" t="n">
        <v>-0.1538461538461539</v>
      </c>
      <c r="Q52" s="16" t="n">
        <v>0.07494680431870226</v>
      </c>
      <c r="R52" s="2" t="inlineStr">
        <is>
          <t>仍高於 MA20</t>
        </is>
      </c>
      <c r="S52" s="2" t="inlineStr"/>
      <c r="T52" s="9" t="n">
        <v>1.370741015371381</v>
      </c>
      <c r="U52" s="9" t="n">
        <v>0.9265058551894795</v>
      </c>
      <c r="V52" s="3" t="inlineStr">
        <is>
          <t>C2 曾有10MA上升、C3 回落20MA、C4 波幅減低</t>
        </is>
      </c>
    </row>
    <row r="53">
      <c r="A53" s="2" t="inlineStr">
        <is>
          <t>醫療保健</t>
        </is>
      </c>
      <c r="B53" s="26" t="inlineStr">
        <is>
          <t>UTMD</t>
        </is>
      </c>
      <c r="C53" s="2" t="inlineStr">
        <is>
          <t>Utah Medical Products Inc.</t>
        </is>
      </c>
      <c r="D53" s="2" t="inlineStr">
        <is>
          <t>Medical/Dental Instruments</t>
        </is>
      </c>
      <c r="E53" s="2" t="inlineStr">
        <is>
          <t>小型</t>
        </is>
      </c>
      <c r="F53" s="10" t="n">
        <v>74.05</v>
      </c>
      <c r="G53" s="2" t="inlineStr">
        <is>
          <t>2026-06-26</t>
        </is>
      </c>
      <c r="H53" s="15" t="n">
        <v>0.1061761627037534</v>
      </c>
      <c r="I53" s="15" t="n">
        <v>0.03589053387169128</v>
      </c>
      <c r="J53" s="17" t="n">
        <v>7.840236686390533</v>
      </c>
      <c r="K53" s="2" t="inlineStr">
        <is>
          <t>2026-07-23</t>
        </is>
      </c>
      <c r="L53" s="14" t="n">
        <v>0.1944531006544092</v>
      </c>
      <c r="M53" s="9" t="n">
        <v>2.624155584343952</v>
      </c>
      <c r="N53" s="2" t="inlineStr">
        <is>
          <t>2026-09-22</t>
        </is>
      </c>
      <c r="O53" s="12" t="n">
        <v>6</v>
      </c>
      <c r="P53" s="15" t="n">
        <v>-0.03404643882076697</v>
      </c>
      <c r="Q53" s="16" t="n">
        <v>0.01594226758863138</v>
      </c>
      <c r="R53" s="2" t="inlineStr">
        <is>
          <t>貼近 MA20</t>
        </is>
      </c>
      <c r="S53" s="2" t="inlineStr">
        <is>
          <t>有</t>
        </is>
      </c>
      <c r="T53" s="9" t="n">
        <v>0.5974086046339928</v>
      </c>
      <c r="U53" s="9" t="n">
        <v>0.4125095966987177</v>
      </c>
      <c r="V53" s="3" t="inlineStr">
        <is>
          <t>C3 回落20MA</t>
        </is>
      </c>
    </row>
    <row r="54">
      <c r="A54" s="2" t="inlineStr">
        <is>
          <t>醫療保健</t>
        </is>
      </c>
      <c r="B54" s="27" t="inlineStr">
        <is>
          <t>SLS</t>
        </is>
      </c>
      <c r="C54" s="2" t="inlineStr">
        <is>
          <t>SELLAS Life Sciences Group Inc.</t>
        </is>
      </c>
      <c r="D54" s="2" t="inlineStr">
        <is>
          <t>Biotechnology: Pharmaceutical Preparations</t>
        </is>
      </c>
      <c r="E54" s="2" t="inlineStr">
        <is>
          <t>中型</t>
        </is>
      </c>
      <c r="F54" s="10" t="n">
        <v>12.31</v>
      </c>
      <c r="G54" s="2" t="inlineStr">
        <is>
          <t>2026-06-29</t>
        </is>
      </c>
      <c r="H54" s="15" t="n">
        <v>0.2469733656174333</v>
      </c>
      <c r="I54" s="15" t="n">
        <v>0.07586763518966899</v>
      </c>
      <c r="J54" s="17" t="n">
        <v>3.906108943381479</v>
      </c>
      <c r="K54" s="2" t="inlineStr">
        <is>
          <t>2026-06-10</t>
        </is>
      </c>
      <c r="L54" s="14" t="n">
        <v>1.162237762237762</v>
      </c>
      <c r="M54" s="9" t="n">
        <v>2.054679475669725</v>
      </c>
      <c r="N54" s="2" t="inlineStr">
        <is>
          <t>2026-08-21</t>
        </is>
      </c>
      <c r="O54" s="12" t="n">
        <v>27</v>
      </c>
      <c r="P54" s="15" t="n">
        <v>-0.2037516170763261</v>
      </c>
      <c r="Q54" s="16" t="n">
        <v>-0.0003248335228185351</v>
      </c>
      <c r="R54" s="2" t="inlineStr">
        <is>
          <t>貼近 MA20</t>
        </is>
      </c>
      <c r="S54" s="2" t="inlineStr">
        <is>
          <t>有</t>
        </is>
      </c>
      <c r="T54" s="9" t="n">
        <v>0.9058956088350392</v>
      </c>
      <c r="U54" s="9" t="n">
        <v>0.597083123104718</v>
      </c>
      <c r="V54" s="3" t="inlineStr">
        <is>
          <t>C3 回落20MA、C4 波幅減低</t>
        </is>
      </c>
    </row>
    <row r="55">
      <c r="A55" s="2" t="inlineStr">
        <is>
          <t>醫療保健</t>
        </is>
      </c>
      <c r="B55" s="27" t="inlineStr">
        <is>
          <t>RARE</t>
        </is>
      </c>
      <c r="C55" s="2" t="inlineStr">
        <is>
          <t>Ultragenyx Pharmaceutical Inc.</t>
        </is>
      </c>
      <c r="D55" s="2" t="inlineStr">
        <is>
          <t>Biotechnology: Pharmaceutical Preparations</t>
        </is>
      </c>
      <c r="E55" s="2" t="inlineStr">
        <is>
          <t>小型</t>
        </is>
      </c>
      <c r="F55" s="10" t="n">
        <v>15.03</v>
      </c>
      <c r="G55" s="2" t="inlineStr">
        <is>
          <t>2026-06-30</t>
        </is>
      </c>
      <c r="H55" s="15" t="n">
        <v>0.08833116036505873</v>
      </c>
      <c r="I55" s="15" t="n">
        <v>0.01075619295958274</v>
      </c>
      <c r="J55" s="17" t="n">
        <v>3.292946587373748</v>
      </c>
      <c r="K55" s="2" t="inlineStr">
        <is>
          <t>2026-06-08</t>
        </is>
      </c>
      <c r="L55" s="14" t="n">
        <v>0.6614173228346456</v>
      </c>
      <c r="M55" s="9" t="n">
        <v>2.294120510782061</v>
      </c>
      <c r="N55" s="2" t="inlineStr">
        <is>
          <t>2026-07-07</t>
        </is>
      </c>
      <c r="O55" s="12" t="n">
        <v>60</v>
      </c>
      <c r="P55" s="15" t="n">
        <v>-0.5809868971285197</v>
      </c>
      <c r="Q55" s="16" t="n">
        <v>-0.005672890858871127</v>
      </c>
      <c r="R55" s="2" t="inlineStr">
        <is>
          <t>貼近 MA20</t>
        </is>
      </c>
      <c r="S55" s="2" t="inlineStr"/>
      <c r="T55" s="9" t="n">
        <v>0.6018485684820187</v>
      </c>
      <c r="U55" s="9" t="n">
        <v>0.8397953943536774</v>
      </c>
      <c r="V55" s="3" t="inlineStr">
        <is>
          <t>C2 曾有10MA上升、C3 回落20MA、C4 波幅減低</t>
        </is>
      </c>
    </row>
    <row r="56">
      <c r="A56" s="2" t="inlineStr">
        <is>
          <t>醫療保健</t>
        </is>
      </c>
      <c r="B56" s="27" t="inlineStr">
        <is>
          <t>UNCY</t>
        </is>
      </c>
      <c r="C56" s="2" t="inlineStr">
        <is>
          <t>Unicycive Therapeutics Inc.</t>
        </is>
      </c>
      <c r="D56" s="2" t="inlineStr">
        <is>
          <t>Biotechnology: Pharmaceutical Preparations</t>
        </is>
      </c>
      <c r="E56" s="2" t="inlineStr">
        <is>
          <t>小型</t>
        </is>
      </c>
      <c r="F56" s="10" t="n">
        <v>4.695</v>
      </c>
      <c r="G56" s="2" t="inlineStr">
        <is>
          <t>2026-07-01</t>
        </is>
      </c>
      <c r="H56" s="15" t="n">
        <v>0.1257995735607675</v>
      </c>
      <c r="I56" s="15" t="n">
        <v>-0.02558635394456288</v>
      </c>
      <c r="J56" s="17" t="n">
        <v>4.402093425127787</v>
      </c>
      <c r="K56" s="2" t="inlineStr">
        <is>
          <t>2026-06-30</t>
        </is>
      </c>
      <c r="L56" s="14" t="n">
        <v>0.2217484008528785</v>
      </c>
      <c r="M56" s="9" t="n">
        <v>7.540562226473196</v>
      </c>
      <c r="N56" s="2" t="inlineStr">
        <is>
          <t>2026-07-02</t>
        </is>
      </c>
      <c r="O56" s="12" t="n">
        <v>62</v>
      </c>
      <c r="P56" s="15" t="n">
        <v>-0.180628272251309</v>
      </c>
      <c r="Q56" s="16" t="n">
        <v>-0.04708747716663031</v>
      </c>
      <c r="R56" s="2" t="inlineStr">
        <is>
          <t>跌穿 MA20</t>
        </is>
      </c>
      <c r="S56" s="2" t="inlineStr">
        <is>
          <t>有</t>
        </is>
      </c>
      <c r="T56" s="9" t="n">
        <v>1.156584232474021</v>
      </c>
      <c r="U56" s="9" t="n">
        <v>0.2388688611530982</v>
      </c>
      <c r="V56" s="3" t="inlineStr">
        <is>
          <t>C3 回落20MA、C4 波幅減低</t>
        </is>
      </c>
    </row>
    <row r="57">
      <c r="A57" s="2" t="inlineStr">
        <is>
          <t>醫療保健</t>
        </is>
      </c>
      <c r="B57" s="27" t="inlineStr">
        <is>
          <t>YDES</t>
        </is>
      </c>
      <c r="C57" s="2" t="inlineStr">
        <is>
          <t>YD Bio Limited</t>
        </is>
      </c>
      <c r="D57" s="2" t="inlineStr">
        <is>
          <t>Medical Specialities</t>
        </is>
      </c>
      <c r="E57" s="2" t="inlineStr">
        <is>
          <t>小型</t>
        </is>
      </c>
      <c r="F57" s="10" t="n">
        <v>7.42</v>
      </c>
      <c r="G57" s="2" t="inlineStr">
        <is>
          <t>2026-07-06</t>
        </is>
      </c>
      <c r="H57" s="15" t="n">
        <v>0.2315789473684211</v>
      </c>
      <c r="I57" s="15" t="n">
        <v>0.04210526315789487</v>
      </c>
      <c r="J57" s="17" t="n">
        <v>122.2920963928158</v>
      </c>
      <c r="K57" s="2" t="inlineStr">
        <is>
          <t>2026-07-02</t>
        </is>
      </c>
      <c r="L57" s="14" t="n">
        <v>3.005263157894738</v>
      </c>
      <c r="M57" s="9" t="n">
        <v>11.0211663971113</v>
      </c>
      <c r="N57" s="2" t="inlineStr">
        <is>
          <t>2026-09-29</t>
        </is>
      </c>
      <c r="O57" s="12" t="n">
        <v>1</v>
      </c>
      <c r="P57" s="15" t="n">
        <v>-0.02496714848883053</v>
      </c>
      <c r="Q57" s="16" t="n">
        <v>0.7200811359026353</v>
      </c>
      <c r="R57" s="2" t="inlineStr">
        <is>
          <t>仍高於 MA20</t>
        </is>
      </c>
      <c r="S57" s="2" t="inlineStr">
        <is>
          <t>有</t>
        </is>
      </c>
      <c r="T57" s="9" t="n">
        <v>1.458009737432673</v>
      </c>
      <c r="U57" s="9" t="n">
        <v>1.688142878990484</v>
      </c>
      <c r="V57" s="3" t="inlineStr">
        <is>
          <t>C3 回落20MA、C4 波幅減低</t>
        </is>
      </c>
    </row>
    <row r="58">
      <c r="A58" s="2" t="inlineStr">
        <is>
          <t>醫療保健</t>
        </is>
      </c>
      <c r="B58" s="27" t="inlineStr">
        <is>
          <t>FHTX</t>
        </is>
      </c>
      <c r="C58" s="2" t="inlineStr">
        <is>
          <t>Foghorn Therapeutics Inc.</t>
        </is>
      </c>
      <c r="D58" s="2" t="inlineStr">
        <is>
          <t>Biotechnology: Pharmaceutical Preparations</t>
        </is>
      </c>
      <c r="E58" s="2" t="inlineStr">
        <is>
          <t>小型</t>
        </is>
      </c>
      <c r="F58" s="10" t="n">
        <v>3.57</v>
      </c>
      <c r="G58" s="2" t="inlineStr">
        <is>
          <t>2026-07-07</t>
        </is>
      </c>
      <c r="H58" s="15" t="n">
        <v>0.1881188118811881</v>
      </c>
      <c r="I58" s="15" t="n">
        <v>0</v>
      </c>
      <c r="J58" s="17" t="n">
        <v>7.864059512924944</v>
      </c>
      <c r="K58" s="2" t="inlineStr">
        <is>
          <t>2026-06-02</t>
        </is>
      </c>
      <c r="L58" s="14" t="n">
        <v>0.9476584022038568</v>
      </c>
      <c r="M58" s="9" t="n">
        <v>2.17176977653886</v>
      </c>
      <c r="N58" s="2" t="inlineStr">
        <is>
          <t>2026-08-21</t>
        </is>
      </c>
      <c r="O58" s="12" t="n">
        <v>27</v>
      </c>
      <c r="P58" s="15" t="n">
        <v>-0.495049504950495</v>
      </c>
      <c r="Q58" s="16" t="n">
        <v>-0.1533262184276052</v>
      </c>
      <c r="R58" s="2" t="inlineStr">
        <is>
          <t>跌穿 MA20</t>
        </is>
      </c>
      <c r="S58" s="2" t="inlineStr">
        <is>
          <t>有</t>
        </is>
      </c>
      <c r="T58" s="9" t="n">
        <v>0.9084165869448696</v>
      </c>
      <c r="U58" s="9" t="n">
        <v>0.7269863050789281</v>
      </c>
      <c r="V58" s="3" t="inlineStr">
        <is>
          <t>C3 回落20MA、C4 波幅減低</t>
        </is>
      </c>
    </row>
    <row r="59">
      <c r="A59" s="2" t="inlineStr">
        <is>
          <t>醫療保健</t>
        </is>
      </c>
      <c r="B59" s="27" t="inlineStr">
        <is>
          <t>TRAX</t>
        </is>
      </c>
      <c r="C59" s="2" t="inlineStr">
        <is>
          <t>First Tracks Biotherapeutics Inc.</t>
        </is>
      </c>
      <c r="D59" s="2" t="inlineStr">
        <is>
          <t>Biotechnology: Pharmaceutical Preparations</t>
        </is>
      </c>
      <c r="E59" s="2" t="inlineStr">
        <is>
          <t>小型</t>
        </is>
      </c>
      <c r="F59" s="10" t="n">
        <v>35.44</v>
      </c>
      <c r="G59" s="2" t="inlineStr">
        <is>
          <t>2026-07-09</t>
        </is>
      </c>
      <c r="H59" s="15" t="n">
        <v>0.5599422243620606</v>
      </c>
      <c r="I59" s="15" t="n">
        <v>0.01107366393837261</v>
      </c>
      <c r="J59" s="17" t="n">
        <v>7.989193361636434</v>
      </c>
      <c r="K59" s="2" t="inlineStr">
        <is>
          <t>2026-06-03</t>
        </is>
      </c>
      <c r="L59" s="14" t="n">
        <v>2.127937336814621</v>
      </c>
      <c r="M59" s="9" t="n">
        <v>3.361410342450632</v>
      </c>
      <c r="N59" s="2" t="inlineStr">
        <is>
          <t>2026-08-10</t>
        </is>
      </c>
      <c r="O59" s="12" t="n">
        <v>36</v>
      </c>
      <c r="P59" s="15" t="n">
        <v>-0.2604340567612689</v>
      </c>
      <c r="Q59" s="16" t="n">
        <v>-0.08172254754625152</v>
      </c>
      <c r="R59" s="2" t="inlineStr">
        <is>
          <t>跌穿 MA20</t>
        </is>
      </c>
      <c r="S59" s="2" t="inlineStr"/>
      <c r="T59" s="9" t="n">
        <v>0.8577104581983239</v>
      </c>
      <c r="U59" s="9" t="n">
        <v>0.5958946981619335</v>
      </c>
      <c r="V59" s="3" t="inlineStr">
        <is>
          <t>C2 曾有10MA上升、C3 回落20MA</t>
        </is>
      </c>
    </row>
    <row r="60">
      <c r="A60" s="2" t="inlineStr">
        <is>
          <t>醫療保健</t>
        </is>
      </c>
      <c r="B60" s="27" t="inlineStr">
        <is>
          <t>AGEN</t>
        </is>
      </c>
      <c r="C60" s="2" t="inlineStr">
        <is>
          <t>Agenus Inc.</t>
        </is>
      </c>
      <c r="D60" s="2" t="inlineStr">
        <is>
          <t>Biotechnology: Biological Products (No Diagnostic Substances)</t>
        </is>
      </c>
      <c r="E60" s="2" t="inlineStr">
        <is>
          <t>小型</t>
        </is>
      </c>
      <c r="F60" s="10" t="n">
        <v>9.93</v>
      </c>
      <c r="G60" s="2" t="inlineStr">
        <is>
          <t>2026-07-13</t>
        </is>
      </c>
      <c r="H60" s="15" t="n">
        <v>0.826865671641791</v>
      </c>
      <c r="I60" s="15" t="n">
        <v>0.6179104477611939</v>
      </c>
      <c r="J60" s="17" t="n">
        <v>218.8062935816214</v>
      </c>
      <c r="K60" s="2" t="inlineStr">
        <is>
          <t>2026-07-09</t>
        </is>
      </c>
      <c r="L60" s="14" t="n">
        <v>2.064814814814814</v>
      </c>
      <c r="M60" s="9" t="n">
        <v>9.030234153308633</v>
      </c>
      <c r="N60" s="2" t="inlineStr">
        <is>
          <t>2026-09-30</t>
        </is>
      </c>
      <c r="O60" s="12" t="n">
        <v>0</v>
      </c>
      <c r="P60" s="15" t="n">
        <v>0</v>
      </c>
      <c r="Q60" s="16" t="n">
        <v>0.2336936265374554</v>
      </c>
      <c r="R60" s="2" t="inlineStr">
        <is>
          <t>仍高於 MA20</t>
        </is>
      </c>
      <c r="S60" s="2" t="inlineStr">
        <is>
          <t>有</t>
        </is>
      </c>
      <c r="T60" s="9" t="n">
        <v>1.068125670492692</v>
      </c>
      <c r="U60" s="9" t="n">
        <v>0.6395788153784658</v>
      </c>
      <c r="V60" s="3" t="inlineStr">
        <is>
          <t>C3 回落20MA、C4 波幅減低</t>
        </is>
      </c>
    </row>
    <row r="61">
      <c r="A61" s="2" t="inlineStr">
        <is>
          <t>醫療保健</t>
        </is>
      </c>
      <c r="B61" s="27" t="inlineStr">
        <is>
          <t>CDNA</t>
        </is>
      </c>
      <c r="C61" s="2" t="inlineStr">
        <is>
          <t>CareDx Inc.</t>
        </is>
      </c>
      <c r="D61" s="2" t="inlineStr">
        <is>
          <t>Medical Specialities</t>
        </is>
      </c>
      <c r="E61" s="2" t="inlineStr">
        <is>
          <t>中型</t>
        </is>
      </c>
      <c r="F61" s="10" t="n">
        <v>65</v>
      </c>
      <c r="G61" s="2" t="inlineStr">
        <is>
          <t>2026-07-16</t>
        </is>
      </c>
      <c r="H61" s="15" t="n">
        <v>0.3559663865546219</v>
      </c>
      <c r="I61" s="15" t="n">
        <v>0.2235294117647058</v>
      </c>
      <c r="J61" s="17" t="n">
        <v>5.554702285991736</v>
      </c>
      <c r="K61" s="2" t="inlineStr">
        <is>
          <t>2026-07-08</t>
        </is>
      </c>
      <c r="L61" s="14" t="n">
        <v>1.359346642468239</v>
      </c>
      <c r="M61" s="9" t="n">
        <v>3.059037513404236</v>
      </c>
      <c r="N61" s="2" t="inlineStr">
        <is>
          <t>2026-09-30</t>
        </is>
      </c>
      <c r="O61" s="12" t="n">
        <v>0</v>
      </c>
      <c r="P61" s="15" t="n">
        <v>0</v>
      </c>
      <c r="Q61" s="16" t="n">
        <v>0.1802838128614597</v>
      </c>
      <c r="R61" s="2" t="inlineStr">
        <is>
          <t>仍高於 MA20</t>
        </is>
      </c>
      <c r="S61" s="2" t="inlineStr">
        <is>
          <t>有</t>
        </is>
      </c>
      <c r="T61" s="9" t="n">
        <v>1.488620258329611</v>
      </c>
      <c r="U61" s="9" t="n">
        <v>1.303861236190931</v>
      </c>
      <c r="V61" s="3" t="inlineStr">
        <is>
          <t>C3 回落20MA、C4 波幅減低</t>
        </is>
      </c>
    </row>
    <row r="62">
      <c r="A62" s="2" t="inlineStr">
        <is>
          <t>醫療保健</t>
        </is>
      </c>
      <c r="B62" s="27" t="inlineStr">
        <is>
          <t>LBRX</t>
        </is>
      </c>
      <c r="C62" s="2" t="inlineStr">
        <is>
          <t>LB Pharmaceuticals Inc</t>
        </is>
      </c>
      <c r="D62" s="2" t="inlineStr">
        <is>
          <t>Biotechnology: Pharmaceutical Preparations</t>
        </is>
      </c>
      <c r="E62" s="2" t="inlineStr">
        <is>
          <t>小型</t>
        </is>
      </c>
      <c r="F62" s="10" t="n">
        <v>38.38</v>
      </c>
      <c r="G62" s="2" t="inlineStr">
        <is>
          <t>2026-07-22</t>
        </is>
      </c>
      <c r="H62" s="15" t="n">
        <v>0.1092541008975549</v>
      </c>
      <c r="I62" s="15" t="n">
        <v>0.02940266171463923</v>
      </c>
      <c r="J62" s="17" t="n">
        <v>3.240875912408759</v>
      </c>
      <c r="K62" s="2" t="inlineStr">
        <is>
          <t>2026-06-16</t>
        </is>
      </c>
      <c r="L62" s="14" t="n">
        <v>0.7888647866955891</v>
      </c>
      <c r="M62" s="9" t="n">
        <v>2.203958969569881</v>
      </c>
      <c r="N62" s="2" t="inlineStr">
        <is>
          <t>2026-09-02</t>
        </is>
      </c>
      <c r="O62" s="12" t="n">
        <v>19</v>
      </c>
      <c r="P62" s="15" t="n">
        <v>-0.2243330638641875</v>
      </c>
      <c r="Q62" s="16" t="n">
        <v>-0.1104312253010236</v>
      </c>
      <c r="R62" s="2" t="inlineStr">
        <is>
          <t>跌穿 MA20</t>
        </is>
      </c>
      <c r="S62" s="2" t="inlineStr">
        <is>
          <t>有</t>
        </is>
      </c>
      <c r="T62" s="9" t="n">
        <v>0.8733869273141305</v>
      </c>
      <c r="U62" s="9" t="n">
        <v>0.6747489908654803</v>
      </c>
      <c r="V62" s="3" t="inlineStr">
        <is>
          <t>C3 回落20MA</t>
        </is>
      </c>
    </row>
    <row r="63">
      <c r="A63" s="2" t="inlineStr">
        <is>
          <t>醫療保健</t>
        </is>
      </c>
      <c r="B63" s="27" t="inlineStr">
        <is>
          <t>GOSS</t>
        </is>
      </c>
      <c r="C63" s="2" t="inlineStr">
        <is>
          <t>Gossamer Bio Inc.</t>
        </is>
      </c>
      <c r="D63" s="2" t="inlineStr">
        <is>
          <t>Biotechnology: Pharmaceutical Preparations</t>
        </is>
      </c>
      <c r="E63" s="2" t="inlineStr">
        <is>
          <t>小型</t>
        </is>
      </c>
      <c r="F63" s="10" t="n">
        <v>11.85</v>
      </c>
      <c r="G63" s="2" t="inlineStr">
        <is>
          <t>2026-07-27</t>
        </is>
      </c>
      <c r="H63" s="15" t="n">
        <v>0.463235294117647</v>
      </c>
      <c r="I63" s="15" t="n">
        <v>0.2720588235294117</v>
      </c>
      <c r="J63" s="17" t="n">
        <v>20.15448222578947</v>
      </c>
      <c r="K63" s="2" t="inlineStr">
        <is>
          <t>2026-07-24</t>
        </is>
      </c>
      <c r="L63" s="14" t="n">
        <v>0.5220588235294115</v>
      </c>
      <c r="M63" s="9" t="n">
        <v>8.778961190772078</v>
      </c>
      <c r="N63" s="2" t="inlineStr">
        <is>
          <t>2026-07-29</t>
        </is>
      </c>
      <c r="O63" s="12" t="n">
        <v>44</v>
      </c>
      <c r="P63" s="15" t="n">
        <v>-0.2844202898550724</v>
      </c>
      <c r="Q63" s="16" t="n">
        <v>0.00126742712293737</v>
      </c>
      <c r="R63" s="2" t="inlineStr">
        <is>
          <t>貼近 MA20</t>
        </is>
      </c>
      <c r="S63" s="2" t="inlineStr">
        <is>
          <t>有</t>
        </is>
      </c>
      <c r="T63" s="9" t="n">
        <v>0.8428998680347153</v>
      </c>
      <c r="U63" s="9" t="n">
        <v>0.2497819764524064</v>
      </c>
      <c r="V63" s="3" t="inlineStr">
        <is>
          <t>C3 回落20MA</t>
        </is>
      </c>
    </row>
    <row r="64">
      <c r="A64" s="2" t="inlineStr">
        <is>
          <t>醫療保健</t>
        </is>
      </c>
      <c r="B64" s="27" t="inlineStr">
        <is>
          <t>NEO</t>
        </is>
      </c>
      <c r="C64" s="2" t="inlineStr">
        <is>
          <t>NeoGenomics Inc.</t>
        </is>
      </c>
      <c r="D64" s="2" t="inlineStr">
        <is>
          <t>Precision Instruments</t>
        </is>
      </c>
      <c r="E64" s="2" t="inlineStr">
        <is>
          <t>中型</t>
        </is>
      </c>
      <c r="F64" s="10" t="n">
        <v>18.36</v>
      </c>
      <c r="G64" s="2" t="inlineStr">
        <is>
          <t>2026-07-29</t>
        </is>
      </c>
      <c r="H64" s="15" t="n">
        <v>0.13955223880597</v>
      </c>
      <c r="I64" s="15" t="n">
        <v>0.1537313432835821</v>
      </c>
      <c r="J64" s="17" t="n">
        <v>3.074451830755823</v>
      </c>
      <c r="K64" s="2" t="inlineStr">
        <is>
          <t>2026-06-18</t>
        </is>
      </c>
      <c r="L64" s="14" t="n">
        <v>0.788858939802336</v>
      </c>
      <c r="M64" s="9" t="n">
        <v>2.037628914917032</v>
      </c>
      <c r="N64" s="2" t="inlineStr">
        <is>
          <t>2026-09-18</t>
        </is>
      </c>
      <c r="O64" s="12" t="n">
        <v>8</v>
      </c>
      <c r="P64" s="15" t="n">
        <v>-0.07785032646911105</v>
      </c>
      <c r="Q64" s="16" t="n">
        <v>-0.008559008559007042</v>
      </c>
      <c r="R64" s="2" t="inlineStr">
        <is>
          <t>貼近 MA20</t>
        </is>
      </c>
      <c r="S64" s="2" t="inlineStr">
        <is>
          <t>有</t>
        </is>
      </c>
      <c r="T64" s="9" t="n">
        <v>1.099243877134165</v>
      </c>
      <c r="U64" s="9" t="n">
        <v>0.9712098901263542</v>
      </c>
      <c r="V64" s="3" t="inlineStr">
        <is>
          <t>C4 波幅減低</t>
        </is>
      </c>
    </row>
    <row r="65">
      <c r="A65" s="2" t="inlineStr">
        <is>
          <t>醫療保健</t>
        </is>
      </c>
      <c r="B65" s="27" t="inlineStr">
        <is>
          <t>SMTI</t>
        </is>
      </c>
      <c r="C65" s="2" t="inlineStr">
        <is>
          <t>Sanara MedTech Inc.</t>
        </is>
      </c>
      <c r="D65" s="2" t="inlineStr">
        <is>
          <t>Industrial Specialties</t>
        </is>
      </c>
      <c r="E65" s="2" t="inlineStr">
        <is>
          <t>小型</t>
        </is>
      </c>
      <c r="F65" s="10" t="n">
        <v>35.14</v>
      </c>
      <c r="G65" s="2" t="inlineStr">
        <is>
          <t>2026-07-30</t>
        </is>
      </c>
      <c r="H65" s="15" t="n">
        <v>0.1259504132231406</v>
      </c>
      <c r="I65" s="15" t="n">
        <v>0.1064462809917355</v>
      </c>
      <c r="J65" s="17" t="n">
        <v>49.27958261291595</v>
      </c>
      <c r="K65" s="2" t="inlineStr">
        <is>
          <t>2026-06-23</t>
        </is>
      </c>
      <c r="L65" s="14" t="n">
        <v>0.6220689655172413</v>
      </c>
      <c r="M65" s="9" t="n">
        <v>8.106202978184072</v>
      </c>
      <c r="N65" s="2" t="inlineStr">
        <is>
          <t>2026-09-22</t>
        </is>
      </c>
      <c r="O65" s="12" t="n">
        <v>6</v>
      </c>
      <c r="P65" s="15" t="n">
        <v>-0.003968253968253954</v>
      </c>
      <c r="Q65" s="16" t="n">
        <v>0.003125847475771604</v>
      </c>
      <c r="R65" s="2" t="inlineStr">
        <is>
          <t>貼近 MA20</t>
        </is>
      </c>
      <c r="S65" s="2" t="inlineStr">
        <is>
          <t>有</t>
        </is>
      </c>
      <c r="T65" s="9" t="n">
        <v>0.5867088048142464</v>
      </c>
      <c r="U65" s="9" t="n">
        <v>0.1236274984428418</v>
      </c>
      <c r="V65" s="3" t="inlineStr">
        <is>
          <t>C3 回落20MA</t>
        </is>
      </c>
    </row>
    <row r="66">
      <c r="A66" s="2" t="inlineStr">
        <is>
          <t>醫療保健</t>
        </is>
      </c>
      <c r="B66" s="27" t="inlineStr">
        <is>
          <t>ITGR</t>
        </is>
      </c>
      <c r="C66" s="2" t="inlineStr">
        <is>
          <t>Integer Holdings Corporation</t>
        </is>
      </c>
      <c r="D66" s="2" t="inlineStr">
        <is>
          <t>Biotechnology: Electromedical &amp; Electrotherapeutic Apparatus</t>
        </is>
      </c>
      <c r="E66" s="2" t="inlineStr">
        <is>
          <t>中型</t>
        </is>
      </c>
      <c r="F66" s="10" t="n">
        <v>126.35</v>
      </c>
      <c r="G66" s="2" t="inlineStr">
        <is>
          <t>2026-07-31</t>
        </is>
      </c>
      <c r="H66" s="15" t="n">
        <v>0.201764822526274</v>
      </c>
      <c r="I66" s="15" t="n">
        <v>9.914733293681088e-05</v>
      </c>
      <c r="J66" s="17" t="n">
        <v>5.511589900380488</v>
      </c>
      <c r="K66" s="2" t="inlineStr">
        <is>
          <t>2026-06-17</t>
        </is>
      </c>
      <c r="L66" s="14" t="n">
        <v>0.4134078212290502</v>
      </c>
      <c r="M66" s="9" t="n">
        <v>2.503485995154663</v>
      </c>
      <c r="N66" s="2" t="inlineStr">
        <is>
          <t>2026-09-04</t>
        </is>
      </c>
      <c r="O66" s="12" t="n">
        <v>17</v>
      </c>
      <c r="P66" s="15" t="n">
        <v>-0.001185770750988135</v>
      </c>
      <c r="Q66" s="16" t="n">
        <v>0.001553656641879897</v>
      </c>
      <c r="R66" s="2" t="inlineStr">
        <is>
          <t>貼近 MA20</t>
        </is>
      </c>
      <c r="S66" s="2" t="inlineStr">
        <is>
          <t>有</t>
        </is>
      </c>
      <c r="T66" s="9" t="n">
        <v>0.555810861185589</v>
      </c>
      <c r="U66" s="9" t="n">
        <v>0.06045372199276206</v>
      </c>
      <c r="V66" s="3" t="inlineStr">
        <is>
          <t>C3 回落20MA</t>
        </is>
      </c>
    </row>
    <row r="67">
      <c r="A67" s="2" t="inlineStr">
        <is>
          <t>醫療保健</t>
        </is>
      </c>
      <c r="B67" s="27" t="inlineStr">
        <is>
          <t>CAI</t>
        </is>
      </c>
      <c r="C67" s="2" t="inlineStr">
        <is>
          <t>Caris Life Sciences Inc.</t>
        </is>
      </c>
      <c r="D67" s="2" t="inlineStr">
        <is>
          <t>Medical Specialities</t>
        </is>
      </c>
      <c r="E67" s="2" t="inlineStr">
        <is>
          <t>中型</t>
        </is>
      </c>
      <c r="F67" s="10" t="n">
        <v>30.63</v>
      </c>
      <c r="G67" s="2" t="inlineStr">
        <is>
          <t>2026-08-06</t>
        </is>
      </c>
      <c r="H67" s="15" t="n">
        <v>0.21580547112462</v>
      </c>
      <c r="I67" s="15" t="n">
        <v>0.1550151975683891</v>
      </c>
      <c r="J67" s="17" t="n">
        <v>3.39085372786661</v>
      </c>
      <c r="K67" s="2" t="inlineStr">
        <is>
          <t>2026-07-22</t>
        </is>
      </c>
      <c r="L67" s="14" t="n">
        <v>1.098179453836151</v>
      </c>
      <c r="M67" s="9" t="n">
        <v>2.481670540635235</v>
      </c>
      <c r="N67" s="2" t="inlineStr">
        <is>
          <t>2026-09-24</t>
        </is>
      </c>
      <c r="O67" s="12" t="n">
        <v>4</v>
      </c>
      <c r="P67" s="15" t="n">
        <v>-0.05082119615742187</v>
      </c>
      <c r="Q67" s="16" t="n">
        <v>0.07846416562505709</v>
      </c>
      <c r="R67" s="2" t="inlineStr">
        <is>
          <t>仍高於 MA20</t>
        </is>
      </c>
      <c r="S67" s="2" t="inlineStr">
        <is>
          <t>有</t>
        </is>
      </c>
      <c r="T67" s="9" t="n">
        <v>0.8117569041091248</v>
      </c>
      <c r="U67" s="9" t="n">
        <v>0.724533347263699</v>
      </c>
      <c r="V67" s="3" t="inlineStr">
        <is>
          <t>C3 回落20MA、C4 波幅減低</t>
        </is>
      </c>
    </row>
    <row r="68">
      <c r="A68" s="2" t="inlineStr">
        <is>
          <t>醫療保健</t>
        </is>
      </c>
      <c r="B68" s="27" t="inlineStr">
        <is>
          <t>IOVA</t>
        </is>
      </c>
      <c r="C68" s="2" t="inlineStr">
        <is>
          <t>Iovance Biotherapeutics Inc.</t>
        </is>
      </c>
      <c r="D68" s="2" t="inlineStr">
        <is>
          <t>Biotechnology: Biological Products (No Diagnostic Substances)</t>
        </is>
      </c>
      <c r="E68" s="2" t="inlineStr">
        <is>
          <t>中型</t>
        </is>
      </c>
      <c r="F68" s="10" t="n">
        <v>14.82</v>
      </c>
      <c r="G68" s="2" t="inlineStr">
        <is>
          <t>2026-08-06</t>
        </is>
      </c>
      <c r="H68" s="15" t="n">
        <v>0.4308755760368663</v>
      </c>
      <c r="I68" s="15" t="n">
        <v>0.370967741935484</v>
      </c>
      <c r="J68" s="17" t="n">
        <v>4.923283096991304</v>
      </c>
      <c r="K68" s="2" t="inlineStr">
        <is>
          <t>2026-07-14</t>
        </is>
      </c>
      <c r="L68" s="14" t="n">
        <v>2.770992366412214</v>
      </c>
      <c r="M68" s="9" t="n">
        <v>2.626787863241533</v>
      </c>
      <c r="N68" s="2" t="inlineStr">
        <is>
          <t>2026-09-30</t>
        </is>
      </c>
      <c r="O68" s="12" t="n">
        <v>0</v>
      </c>
      <c r="P68" s="15" t="n">
        <v>0</v>
      </c>
      <c r="Q68" s="16" t="n">
        <v>0.46863541769894</v>
      </c>
      <c r="R68" s="2" t="inlineStr">
        <is>
          <t>仍高於 MA20</t>
        </is>
      </c>
      <c r="S68" s="2" t="inlineStr">
        <is>
          <t>有</t>
        </is>
      </c>
      <c r="T68" s="9" t="n">
        <v>1.631994185886767</v>
      </c>
      <c r="U68" s="9" t="n">
        <v>1.372495803292865</v>
      </c>
      <c r="V68" s="3" t="inlineStr">
        <is>
          <t>C3 回落20MA、C4 波幅減低</t>
        </is>
      </c>
    </row>
    <row r="69">
      <c r="A69" s="2" t="inlineStr">
        <is>
          <t>醫療保健</t>
        </is>
      </c>
      <c r="B69" s="27" t="inlineStr">
        <is>
          <t>SGHT</t>
        </is>
      </c>
      <c r="C69" s="2" t="inlineStr">
        <is>
          <t>Sight Sciences Inc.</t>
        </is>
      </c>
      <c r="D69" s="2" t="inlineStr">
        <is>
          <t>Medical/Dental Instruments</t>
        </is>
      </c>
      <c r="E69" s="2" t="inlineStr">
        <is>
          <t>小型</t>
        </is>
      </c>
      <c r="F69" s="10" t="n">
        <v>9.359999999999999</v>
      </c>
      <c r="G69" s="2" t="inlineStr">
        <is>
          <t>2026-08-06</t>
        </is>
      </c>
      <c r="H69" s="15" t="n">
        <v>0.2774774774774775</v>
      </c>
      <c r="I69" s="15" t="n">
        <v>0.04324324324324325</v>
      </c>
      <c r="J69" s="17" t="n">
        <v>4.163857587723522</v>
      </c>
      <c r="K69" s="2" t="inlineStr">
        <is>
          <t>2026-07-23</t>
        </is>
      </c>
      <c r="L69" s="14" t="n">
        <v>0.9914893617021274</v>
      </c>
      <c r="M69" s="9" t="n">
        <v>2.132531935654713</v>
      </c>
      <c r="N69" s="2" t="inlineStr">
        <is>
          <t>2026-09-30</t>
        </is>
      </c>
      <c r="O69" s="12" t="n">
        <v>0</v>
      </c>
      <c r="P69" s="15" t="n">
        <v>0</v>
      </c>
      <c r="Q69" s="16" t="n">
        <v>0.1070699902421715</v>
      </c>
      <c r="R69" s="2" t="inlineStr">
        <is>
          <t>仍高於 MA20</t>
        </is>
      </c>
      <c r="S69" s="2" t="inlineStr">
        <is>
          <t>有</t>
        </is>
      </c>
      <c r="T69" s="9" t="n">
        <v>1.073251351079347</v>
      </c>
      <c r="U69" s="9" t="n">
        <v>0.8214408871712691</v>
      </c>
      <c r="V69" s="3" t="inlineStr">
        <is>
          <t>C3 回落20MA、C4 波幅減低</t>
        </is>
      </c>
    </row>
    <row r="70">
      <c r="A70" s="2" t="inlineStr">
        <is>
          <t>醫療保健</t>
        </is>
      </c>
      <c r="B70" s="27" t="inlineStr">
        <is>
          <t>RCEL</t>
        </is>
      </c>
      <c r="C70" s="2" t="inlineStr">
        <is>
          <t>Avita Medical Inc.</t>
        </is>
      </c>
      <c r="D70" s="2" t="inlineStr">
        <is>
          <t>Medical/Dental Instruments</t>
        </is>
      </c>
      <c r="E70" s="2" t="inlineStr">
        <is>
          <t>小型</t>
        </is>
      </c>
      <c r="F70" s="10" t="n">
        <v>11.73</v>
      </c>
      <c r="G70" s="2" t="inlineStr">
        <is>
          <t>2026-08-07</t>
        </is>
      </c>
      <c r="H70" s="15" t="n">
        <v>0.6357894736842105</v>
      </c>
      <c r="I70" s="15" t="n">
        <v>0.2652631578947369</v>
      </c>
      <c r="J70" s="17" t="n">
        <v>25.1526445715234</v>
      </c>
      <c r="K70" s="2" t="inlineStr">
        <is>
          <t>2026-07-13</t>
        </is>
      </c>
      <c r="L70" s="14" t="n">
        <v>2.027848101265823</v>
      </c>
      <c r="M70" s="9" t="n">
        <v>3.105800565785836</v>
      </c>
      <c r="N70" s="2" t="inlineStr">
        <is>
          <t>2026-09-29</t>
        </is>
      </c>
      <c r="O70" s="12" t="n">
        <v>1</v>
      </c>
      <c r="P70" s="15" t="n">
        <v>-0.01923076923076927</v>
      </c>
      <c r="Q70" s="16" t="n">
        <v>0.07437259571349908</v>
      </c>
      <c r="R70" s="2" t="inlineStr">
        <is>
          <t>仍高於 MA20</t>
        </is>
      </c>
      <c r="S70" s="2" t="inlineStr">
        <is>
          <t>有</t>
        </is>
      </c>
      <c r="T70" s="9" t="n">
        <v>0.9054899327099856</v>
      </c>
      <c r="U70" s="9" t="n">
        <v>0.6216796496554876</v>
      </c>
      <c r="V70" s="3" t="inlineStr">
        <is>
          <t>C3 回落20MA、C4 波幅減低</t>
        </is>
      </c>
    </row>
    <row r="71">
      <c r="A71" s="2" t="inlineStr">
        <is>
          <t>醫療保健</t>
        </is>
      </c>
      <c r="B71" s="27" t="inlineStr">
        <is>
          <t>AVAH</t>
        </is>
      </c>
      <c r="C71" s="2" t="inlineStr">
        <is>
          <t>Aveanna Healthcare Holdings Inc.</t>
        </is>
      </c>
      <c r="D71" s="2" t="inlineStr">
        <is>
          <t>Medical/Nursing Services</t>
        </is>
      </c>
      <c r="E71" s="2" t="inlineStr">
        <is>
          <t>中型</t>
        </is>
      </c>
      <c r="F71" s="10" t="n">
        <v>12.41</v>
      </c>
      <c r="G71" s="2" t="inlineStr">
        <is>
          <t>2026-08-13</t>
        </is>
      </c>
      <c r="H71" s="15" t="n">
        <v>0.247513812154696</v>
      </c>
      <c r="I71" s="15" t="n">
        <v>0.114917127071823</v>
      </c>
      <c r="J71" s="17" t="n">
        <v>4.679508585689931</v>
      </c>
      <c r="K71" s="2" t="inlineStr">
        <is>
          <t>2026-06-12</t>
        </is>
      </c>
      <c r="L71" s="14" t="n">
        <v>1.02820874471086</v>
      </c>
      <c r="M71" s="9" t="n">
        <v>2.941612701738834</v>
      </c>
      <c r="N71" s="2" t="inlineStr">
        <is>
          <t>2026-09-14</t>
        </is>
      </c>
      <c r="O71" s="12" t="n">
        <v>12</v>
      </c>
      <c r="P71" s="15" t="n">
        <v>-0.1369958275382476</v>
      </c>
      <c r="Q71" s="16" t="n">
        <v>-0.07646511627907049</v>
      </c>
      <c r="R71" s="2" t="inlineStr">
        <is>
          <t>跌穿 MA20</t>
        </is>
      </c>
      <c r="S71" s="2" t="inlineStr">
        <is>
          <t>有</t>
        </is>
      </c>
      <c r="T71" s="9" t="n">
        <v>1.063583374440786</v>
      </c>
      <c r="U71" s="9" t="n">
        <v>0.8552772502092273</v>
      </c>
      <c r="V71" s="3" t="inlineStr">
        <is>
          <t>C3 回落20MA、C4 波幅減低</t>
        </is>
      </c>
    </row>
    <row r="72">
      <c r="A72" s="2" t="inlineStr">
        <is>
          <t>醫療保健</t>
        </is>
      </c>
      <c r="B72" s="27" t="inlineStr">
        <is>
          <t>ETON</t>
        </is>
      </c>
      <c r="C72" s="2" t="inlineStr">
        <is>
          <t>Eton Pharmaceuticals Inc.</t>
        </is>
      </c>
      <c r="D72" s="2" t="inlineStr">
        <is>
          <t>Biotechnology: Pharmaceutical Preparations</t>
        </is>
      </c>
      <c r="E72" s="2" t="inlineStr">
        <is>
          <t>小型</t>
        </is>
      </c>
      <c r="F72" s="10" t="n">
        <v>51.49</v>
      </c>
      <c r="G72" s="2" t="inlineStr">
        <is>
          <t>2026-08-14</t>
        </is>
      </c>
      <c r="H72" s="15" t="n">
        <v>0.4426470588235294</v>
      </c>
      <c r="I72" s="15" t="n">
        <v>0.3463235294117648</v>
      </c>
      <c r="J72" s="17" t="n">
        <v>4.859387577139791</v>
      </c>
      <c r="K72" s="2" t="inlineStr">
        <is>
          <t>2026-06-02</t>
        </is>
      </c>
      <c r="L72" s="14" t="n">
        <v>1.351459854014599</v>
      </c>
      <c r="M72" s="9" t="n">
        <v>2.131526165898543</v>
      </c>
      <c r="N72" s="2" t="inlineStr">
        <is>
          <t>2026-08-24</t>
        </is>
      </c>
      <c r="O72" s="12" t="n">
        <v>26</v>
      </c>
      <c r="P72" s="15" t="n">
        <v>-0.2008381188887165</v>
      </c>
      <c r="Q72" s="16" t="n">
        <v>-0.1044905909770775</v>
      </c>
      <c r="R72" s="2" t="inlineStr">
        <is>
          <t>跌穿 MA20</t>
        </is>
      </c>
      <c r="S72" s="2" t="inlineStr">
        <is>
          <t>有</t>
        </is>
      </c>
      <c r="T72" s="9" t="n">
        <v>1.488387546218217</v>
      </c>
      <c r="U72" s="9" t="n">
        <v>1.323618051447082</v>
      </c>
      <c r="V72" s="3" t="inlineStr">
        <is>
          <t>C3 回落20MA、C4 波幅減低</t>
        </is>
      </c>
    </row>
    <row r="73">
      <c r="A73" s="2" t="inlineStr">
        <is>
          <t>醫療保健</t>
        </is>
      </c>
      <c r="B73" s="27" t="inlineStr">
        <is>
          <t>OABI</t>
        </is>
      </c>
      <c r="C73" s="2" t="inlineStr">
        <is>
          <t>OmniAb Inc.</t>
        </is>
      </c>
      <c r="D73" s="2" t="inlineStr">
        <is>
          <t>Biotechnology: Commercial Physical &amp; Biological Resarch</t>
        </is>
      </c>
      <c r="E73" s="2" t="inlineStr">
        <is>
          <t>小型</t>
        </is>
      </c>
      <c r="F73" s="10" t="n">
        <v>4.96</v>
      </c>
      <c r="G73" s="2" t="inlineStr">
        <is>
          <t>2026-08-17</t>
        </is>
      </c>
      <c r="H73" s="15" t="n">
        <v>0.1301775147928994</v>
      </c>
      <c r="I73" s="15" t="n">
        <v>0.2381656804733727</v>
      </c>
      <c r="J73" s="17" t="n">
        <v>30.14622525260823</v>
      </c>
      <c r="K73" s="2" t="inlineStr">
        <is>
          <t>2026-07-29</t>
        </is>
      </c>
      <c r="L73" s="14" t="n">
        <v>1.584615384615385</v>
      </c>
      <c r="M73" s="9" t="n">
        <v>5.345859710680277</v>
      </c>
      <c r="N73" s="2" t="inlineStr">
        <is>
          <t>2026-09-02</t>
        </is>
      </c>
      <c r="O73" s="12" t="n">
        <v>19</v>
      </c>
      <c r="P73" s="15" t="n">
        <v>-0.01587301587301593</v>
      </c>
      <c r="Q73" s="16" t="n">
        <v>0.09474148871599564</v>
      </c>
      <c r="R73" s="2" t="inlineStr">
        <is>
          <t>仍高於 MA20</t>
        </is>
      </c>
      <c r="S73" s="2" t="inlineStr">
        <is>
          <t>有</t>
        </is>
      </c>
      <c r="T73" s="9" t="n">
        <v>0.8416151697825421</v>
      </c>
      <c r="U73" s="9" t="n">
        <v>0.6248322276855267</v>
      </c>
      <c r="V73" s="3" t="inlineStr">
        <is>
          <t>C3 回落20MA</t>
        </is>
      </c>
    </row>
    <row r="74">
      <c r="A74" s="2" t="inlineStr">
        <is>
          <t>醫療保健</t>
        </is>
      </c>
      <c r="B74" s="27" t="inlineStr">
        <is>
          <t>AMLX</t>
        </is>
      </c>
      <c r="C74" s="2" t="inlineStr">
        <is>
          <t>Amylyx Pharmaceuticals Inc.</t>
        </is>
      </c>
      <c r="D74" s="2" t="inlineStr">
        <is>
          <t>Biotechnology: Pharmaceutical Preparations</t>
        </is>
      </c>
      <c r="E74" s="2" t="inlineStr">
        <is>
          <t>中型</t>
        </is>
      </c>
      <c r="F74" s="10" t="n">
        <v>29.1</v>
      </c>
      <c r="G74" s="2" t="inlineStr">
        <is>
          <t>2026-08-18</t>
        </is>
      </c>
      <c r="H74" s="15" t="n">
        <v>0.6383574428371441</v>
      </c>
      <c r="I74" s="15" t="n">
        <v>0.3957069528698087</v>
      </c>
      <c r="J74" s="17" t="n">
        <v>13.19347398860468</v>
      </c>
      <c r="K74" s="2" t="inlineStr">
        <is>
          <t>2026-06-08</t>
        </is>
      </c>
      <c r="L74" s="14" t="n">
        <v>2.048424289008455</v>
      </c>
      <c r="M74" s="9" t="n">
        <v>3.626003323223897</v>
      </c>
      <c r="N74" s="2" t="inlineStr">
        <is>
          <t>2026-08-20</t>
        </is>
      </c>
      <c r="O74" s="12" t="n">
        <v>28</v>
      </c>
      <c r="P74" s="15" t="n">
        <v>-0.2662632375189107</v>
      </c>
      <c r="Q74" s="16" t="n">
        <v>-0.09369087384083519</v>
      </c>
      <c r="R74" s="2" t="inlineStr">
        <is>
          <t>跌穿 MA20</t>
        </is>
      </c>
      <c r="S74" s="2" t="inlineStr">
        <is>
          <t>有</t>
        </is>
      </c>
      <c r="T74" s="9" t="n">
        <v>0.8531506570006342</v>
      </c>
      <c r="U74" s="9" t="n">
        <v>0.5076844393349736</v>
      </c>
      <c r="V74" s="3" t="inlineStr">
        <is>
          <t>C3 回落20MA</t>
        </is>
      </c>
    </row>
    <row r="75">
      <c r="A75" s="2" t="inlineStr">
        <is>
          <t>醫療保健</t>
        </is>
      </c>
      <c r="B75" s="27" t="inlineStr">
        <is>
          <t>BIAF</t>
        </is>
      </c>
      <c r="C75" s="2" t="inlineStr">
        <is>
          <t>bioAffinity Technologies Inc.</t>
        </is>
      </c>
      <c r="D75" s="2" t="inlineStr">
        <is>
          <t>Biotechnology: Commercial Physical &amp; Biological Resarch</t>
        </is>
      </c>
      <c r="E75" s="2" t="inlineStr">
        <is>
          <t>小型</t>
        </is>
      </c>
      <c r="F75" s="10" t="n">
        <v>6.56</v>
      </c>
      <c r="G75" s="2" t="inlineStr">
        <is>
          <t>2026-08-18</t>
        </is>
      </c>
      <c r="H75" s="15" t="n">
        <v>0.2066326530612244</v>
      </c>
      <c r="I75" s="15" t="n">
        <v>0.3571428571428572</v>
      </c>
      <c r="J75" s="17" t="n">
        <v>376.8001844281763</v>
      </c>
      <c r="K75" s="2" t="inlineStr">
        <is>
          <t>2026-08-31</t>
        </is>
      </c>
      <c r="L75" s="14" t="n">
        <v>2.348684210526316</v>
      </c>
      <c r="M75" s="9" t="n">
        <v>149.8834581720357</v>
      </c>
      <c r="N75" s="2" t="inlineStr">
        <is>
          <t>2026-09-04</t>
        </is>
      </c>
      <c r="O75" s="12" t="n">
        <v>17</v>
      </c>
      <c r="P75" s="15" t="n">
        <v>-0.5703994760969221</v>
      </c>
      <c r="Q75" s="16" t="n">
        <v>-0.2424723577470549</v>
      </c>
      <c r="R75" s="2" t="inlineStr">
        <is>
          <t>跌穿 MA20</t>
        </is>
      </c>
      <c r="S75" s="2" t="inlineStr">
        <is>
          <t>有</t>
        </is>
      </c>
      <c r="T75" s="9" t="n">
        <v>0.2400122087850462</v>
      </c>
      <c r="U75" s="9" t="n">
        <v>0.1020218438188932</v>
      </c>
      <c r="V75" s="3" t="inlineStr">
        <is>
          <t>C3 回落20MA</t>
        </is>
      </c>
    </row>
    <row r="76">
      <c r="A76" s="2" t="inlineStr">
        <is>
          <t>醫療保健</t>
        </is>
      </c>
      <c r="B76" s="27" t="inlineStr">
        <is>
          <t>MRNA</t>
        </is>
      </c>
      <c r="C76" s="2" t="inlineStr">
        <is>
          <t>Moderna Inc.</t>
        </is>
      </c>
      <c r="D76" s="2" t="inlineStr">
        <is>
          <t>Biotechnology: Biological Products (No Diagnostic Substances)</t>
        </is>
      </c>
      <c r="E76" s="2" t="inlineStr">
        <is>
          <t>大型</t>
        </is>
      </c>
      <c r="F76" s="10" t="n">
        <v>192.57</v>
      </c>
      <c r="G76" s="2" t="inlineStr">
        <is>
          <t>2026-08-19</t>
        </is>
      </c>
      <c r="H76" s="15" t="n">
        <v>1.769695044472681</v>
      </c>
      <c r="I76" s="15" t="n">
        <v>0.8427573062261753</v>
      </c>
      <c r="J76" s="17" t="n">
        <v>27.47270065456659</v>
      </c>
      <c r="K76" s="2" t="inlineStr">
        <is>
          <t>2026-08-06</t>
        </is>
      </c>
      <c r="L76" s="14" t="n">
        <v>2.777571481619012</v>
      </c>
      <c r="M76" s="9" t="n">
        <v>8.310183377231217</v>
      </c>
      <c r="N76" s="2" t="inlineStr">
        <is>
          <t>2026-09-29</t>
        </is>
      </c>
      <c r="O76" s="12" t="n">
        <v>1</v>
      </c>
      <c r="P76" s="15" t="n">
        <v>-0.05352403420819829</v>
      </c>
      <c r="Q76" s="16" t="n">
        <v>0.1761544263827</v>
      </c>
      <c r="R76" s="2" t="inlineStr">
        <is>
          <t>仍高於 MA20</t>
        </is>
      </c>
      <c r="S76" s="2" t="inlineStr">
        <is>
          <t>有</t>
        </is>
      </c>
      <c r="T76" s="9" t="n">
        <v>1.009362531790532</v>
      </c>
      <c r="U76" s="9" t="n">
        <v>0.5826121788857205</v>
      </c>
      <c r="V76" s="3" t="inlineStr">
        <is>
          <t>C3 回落20MA、C4 波幅減低</t>
        </is>
      </c>
    </row>
    <row r="77">
      <c r="A77" s="2" t="inlineStr">
        <is>
          <t>醫療保健</t>
        </is>
      </c>
      <c r="B77" s="27" t="inlineStr">
        <is>
          <t>MRVI</t>
        </is>
      </c>
      <c r="C77" s="2" t="inlineStr">
        <is>
          <t>Maravai LifeSciences Holdings Inc. Class A</t>
        </is>
      </c>
      <c r="D77" s="2" t="inlineStr">
        <is>
          <t>Biotechnology: Pharmaceutical Preparations</t>
        </is>
      </c>
      <c r="E77" s="2" t="inlineStr">
        <is>
          <t>小型</t>
        </is>
      </c>
      <c r="F77" s="10" t="n">
        <v>7.66</v>
      </c>
      <c r="G77" s="2" t="inlineStr">
        <is>
          <t>2026-08-19</t>
        </is>
      </c>
      <c r="H77" s="15" t="n">
        <v>0.2578397212543553</v>
      </c>
      <c r="I77" s="15" t="n">
        <v>0.1702090592334493</v>
      </c>
      <c r="J77" s="17" t="n">
        <v>5.442784331234646</v>
      </c>
      <c r="K77" s="2" t="inlineStr">
        <is>
          <t>2026-05-27</t>
        </is>
      </c>
      <c r="L77" s="14" t="n">
        <v>1.059496567505721</v>
      </c>
      <c r="M77" s="9" t="n">
        <v>2.639816188512648</v>
      </c>
      <c r="N77" s="2" t="inlineStr">
        <is>
          <t>2026-08-25</t>
        </is>
      </c>
      <c r="O77" s="12" t="n">
        <v>25</v>
      </c>
      <c r="P77" s="15" t="n">
        <v>-0.1488888888888888</v>
      </c>
      <c r="Q77" s="16" t="n">
        <v>0.06164027580471698</v>
      </c>
      <c r="R77" s="2" t="inlineStr">
        <is>
          <t>仍高於 MA20</t>
        </is>
      </c>
      <c r="S77" s="2" t="inlineStr">
        <is>
          <t>有</t>
        </is>
      </c>
      <c r="T77" s="9" t="n">
        <v>0.887067657076557</v>
      </c>
      <c r="U77" s="9" t="n">
        <v>0.6964969550149447</v>
      </c>
      <c r="V77" s="3" t="inlineStr">
        <is>
          <t>C3 回落20MA</t>
        </is>
      </c>
    </row>
    <row r="78">
      <c r="A78" s="2" t="inlineStr">
        <is>
          <t>醫療保健</t>
        </is>
      </c>
      <c r="B78" s="27" t="inlineStr">
        <is>
          <t>CYPH</t>
        </is>
      </c>
      <c r="C78" s="2" t="inlineStr">
        <is>
          <t>Cypherpunk Technologies Inc.</t>
        </is>
      </c>
      <c r="D78" s="2" t="inlineStr">
        <is>
          <t>Biotechnology: Pharmaceutical Preparations</t>
        </is>
      </c>
      <c r="E78" s="2" t="inlineStr">
        <is>
          <t>小型</t>
        </is>
      </c>
      <c r="F78" s="10" t="n">
        <v>3.33</v>
      </c>
      <c r="G78" s="2" t="inlineStr">
        <is>
          <t>2026-08-24</t>
        </is>
      </c>
      <c r="H78" s="15" t="n">
        <v>0.1830985915492958</v>
      </c>
      <c r="I78" s="15" t="n">
        <v>0.2887323943661972</v>
      </c>
      <c r="J78" s="17" t="n">
        <v>13.86201180011833</v>
      </c>
      <c r="K78" s="2" t="inlineStr">
        <is>
          <t>2026-07-31</t>
        </is>
      </c>
      <c r="L78" s="14" t="n">
        <v>5.971235194585449</v>
      </c>
      <c r="M78" s="9" t="n">
        <v>7.736477805013888</v>
      </c>
      <c r="N78" s="2" t="inlineStr">
        <is>
          <t>2026-09-25</t>
        </is>
      </c>
      <c r="O78" s="12" t="n">
        <v>3</v>
      </c>
      <c r="P78" s="15" t="n">
        <v>-0.191747572815534</v>
      </c>
      <c r="Q78" s="16" t="n">
        <v>0.1358403683806602</v>
      </c>
      <c r="R78" s="2" t="inlineStr">
        <is>
          <t>仍高於 MA20</t>
        </is>
      </c>
      <c r="S78" s="2" t="inlineStr">
        <is>
          <t>有</t>
        </is>
      </c>
      <c r="T78" s="9" t="n">
        <v>0.8176701437697197</v>
      </c>
      <c r="U78" s="9" t="n">
        <v>0.8970834942599821</v>
      </c>
      <c r="V78" s="3" t="inlineStr">
        <is>
          <t>C3 回落20MA、C4 波幅減低</t>
        </is>
      </c>
    </row>
    <row r="79">
      <c r="A79" s="2" t="inlineStr">
        <is>
          <t>醫療保健</t>
        </is>
      </c>
      <c r="B79" s="27" t="inlineStr">
        <is>
          <t>GENB</t>
        </is>
      </c>
      <c r="C79" s="2" t="inlineStr">
        <is>
          <t>Generate Biomedicines Inc.</t>
        </is>
      </c>
      <c r="D79" s="2" t="inlineStr">
        <is>
          <t>Biotechnology: Pharmaceutical Preparations</t>
        </is>
      </c>
      <c r="E79" s="2" t="inlineStr">
        <is>
          <t>小型</t>
        </is>
      </c>
      <c r="F79" s="10" t="n">
        <v>15.02</v>
      </c>
      <c r="G79" s="2" t="inlineStr">
        <is>
          <t>2026-08-25</t>
        </is>
      </c>
      <c r="H79" s="15" t="n">
        <v>0.1501128668171559</v>
      </c>
      <c r="I79" s="15" t="n">
        <v>-0.002821670428893697</v>
      </c>
      <c r="J79" s="17" t="n">
        <v>5.672999181808059</v>
      </c>
      <c r="K79" s="2" t="inlineStr">
        <is>
          <t>2026-06-02</t>
        </is>
      </c>
      <c r="L79" s="14" t="n">
        <v>0.7025898078529655</v>
      </c>
      <c r="M79" s="9" t="n">
        <v>2.238509676736432</v>
      </c>
      <c r="N79" s="2" t="inlineStr">
        <is>
          <t>2026-08-25</t>
        </is>
      </c>
      <c r="O79" s="12" t="n">
        <v>25</v>
      </c>
      <c r="P79" s="15" t="n">
        <v>-0.2630029440628067</v>
      </c>
      <c r="Q79" s="16" t="n">
        <v>-0.06568798208509652</v>
      </c>
      <c r="R79" s="2" t="inlineStr">
        <is>
          <t>跌穿 MA20</t>
        </is>
      </c>
      <c r="S79" s="2" t="inlineStr">
        <is>
          <t>有</t>
        </is>
      </c>
      <c r="T79" s="9" t="n">
        <v>0.9860153009133259</v>
      </c>
      <c r="U79" s="9" t="n">
        <v>0.743766929728626</v>
      </c>
      <c r="V79" s="3" t="inlineStr">
        <is>
          <t>C3 回落20MA、C4 波幅減低</t>
        </is>
      </c>
    </row>
    <row r="80">
      <c r="A80" s="2" t="inlineStr">
        <is>
          <t>醫療保健</t>
        </is>
      </c>
      <c r="B80" s="27" t="inlineStr">
        <is>
          <t>MMED</t>
        </is>
      </c>
      <c r="C80" s="2" t="inlineStr">
        <is>
          <t>MiniMed Group Inc.</t>
        </is>
      </c>
      <c r="D80" s="2" t="inlineStr">
        <is>
          <t>Medical/Dental Instruments</t>
        </is>
      </c>
      <c r="E80" s="2" t="inlineStr">
        <is>
          <t>中型</t>
        </is>
      </c>
      <c r="F80" s="10" t="n">
        <v>19.47</v>
      </c>
      <c r="G80" s="2" t="inlineStr">
        <is>
          <t>2026-09-01</t>
        </is>
      </c>
      <c r="H80" s="15" t="n">
        <v>0.1066140177690029</v>
      </c>
      <c r="I80" s="15" t="n">
        <v>0.006910167818361179</v>
      </c>
      <c r="J80" s="17" t="n">
        <v>4.938921976544348</v>
      </c>
      <c r="K80" s="2" t="inlineStr">
        <is>
          <t>2026-06-23</t>
        </is>
      </c>
      <c r="L80" s="14" t="n">
        <v>0.735080058224163</v>
      </c>
      <c r="M80" s="9" t="n">
        <v>2.31919123235149</v>
      </c>
      <c r="N80" s="2" t="inlineStr">
        <is>
          <t>2026-09-03</t>
        </is>
      </c>
      <c r="O80" s="12" t="n">
        <v>18</v>
      </c>
      <c r="P80" s="15" t="n">
        <v>-0.1833053691275168</v>
      </c>
      <c r="Q80" s="16" t="n">
        <v>-0.1056294356783567</v>
      </c>
      <c r="R80" s="2" t="inlineStr">
        <is>
          <t>跌穿 MA20</t>
        </is>
      </c>
      <c r="S80" s="2" t="inlineStr">
        <is>
          <t>有</t>
        </is>
      </c>
      <c r="T80" s="9" t="n">
        <v>0.8723407855865218</v>
      </c>
      <c r="U80" s="9" t="n">
        <v>0.7125976707668397</v>
      </c>
      <c r="V80" s="3" t="inlineStr">
        <is>
          <t>C3 回落20MA、C4 波幅減低</t>
        </is>
      </c>
    </row>
    <row r="81">
      <c r="A81" s="2" t="inlineStr">
        <is>
          <t>醫療保健</t>
        </is>
      </c>
      <c r="B81" s="27" t="inlineStr">
        <is>
          <t>IRD</t>
        </is>
      </c>
      <c r="C81" s="2" t="inlineStr">
        <is>
          <t>Opus Genetics Inc.</t>
        </is>
      </c>
      <c r="D81" s="2" t="inlineStr">
        <is>
          <t>Biotechnology: Pharmaceutical Preparations</t>
        </is>
      </c>
      <c r="E81" s="2" t="inlineStr">
        <is>
          <t>小型</t>
        </is>
      </c>
      <c r="F81" s="10" t="n">
        <v>4.84</v>
      </c>
      <c r="G81" s="2" t="inlineStr">
        <is>
          <t>2026-09-09</t>
        </is>
      </c>
      <c r="H81" s="15" t="n">
        <v>0.3202764976958528</v>
      </c>
      <c r="I81" s="15" t="n">
        <v>0.2235023041474653</v>
      </c>
      <c r="J81" s="17" t="n">
        <v>51.35623955284276</v>
      </c>
      <c r="K81" s="2" t="inlineStr">
        <is>
          <t>2026-07-23</t>
        </is>
      </c>
      <c r="L81" s="14" t="n">
        <v>1.078767123287671</v>
      </c>
      <c r="M81" s="9" t="n">
        <v>3.347680970458043</v>
      </c>
      <c r="N81" s="2" t="inlineStr">
        <is>
          <t>2026-09-10</t>
        </is>
      </c>
      <c r="O81" s="12" t="n">
        <v>14</v>
      </c>
      <c r="P81" s="15" t="n">
        <v>-0.2026359143327843</v>
      </c>
      <c r="Q81" s="16" t="n">
        <v>-0.06246973365617547</v>
      </c>
      <c r="R81" s="2" t="inlineStr">
        <is>
          <t>跌穿 MA20</t>
        </is>
      </c>
      <c r="S81" s="2" t="inlineStr">
        <is>
          <t>有</t>
        </is>
      </c>
      <c r="T81" s="9" t="n">
        <v>0.6868346066782532</v>
      </c>
      <c r="U81" s="9" t="n">
        <v>0.828208209588326</v>
      </c>
      <c r="V81" s="3" t="inlineStr">
        <is>
          <t>C3 回落20MA、C4 波幅減低</t>
        </is>
      </c>
    </row>
    <row r="82">
      <c r="A82" s="2" t="inlineStr">
        <is>
          <t>醫療保健</t>
        </is>
      </c>
      <c r="B82" s="26" t="inlineStr">
        <is>
          <t>PLSE</t>
        </is>
      </c>
      <c r="C82" s="2" t="inlineStr">
        <is>
          <t>Pulse Biosciences Inc</t>
        </is>
      </c>
      <c r="D82" s="2" t="inlineStr">
        <is>
          <t>Medical/Dental Instruments</t>
        </is>
      </c>
      <c r="E82" s="2" t="inlineStr">
        <is>
          <t>中型</t>
        </is>
      </c>
      <c r="F82" s="10" t="n">
        <v>49.92</v>
      </c>
      <c r="G82" s="2" t="inlineStr">
        <is>
          <t>2026-09-09</t>
        </is>
      </c>
      <c r="H82" s="15" t="n">
        <v>0.08567329370772692</v>
      </c>
      <c r="I82" s="15" t="n">
        <v>0.01988112318097968</v>
      </c>
      <c r="J82" s="17" t="n">
        <v>3.661930844797402</v>
      </c>
      <c r="K82" s="2" t="inlineStr">
        <is>
          <t>2026-06-16</t>
        </is>
      </c>
      <c r="L82" s="14" t="n">
        <v>1.198327359617682</v>
      </c>
      <c r="M82" s="9" t="n">
        <v>2.631311499716964</v>
      </c>
      <c r="N82" s="2" t="inlineStr">
        <is>
          <t>2026-09-15</t>
        </is>
      </c>
      <c r="O82" s="12" t="n">
        <v>11</v>
      </c>
      <c r="P82" s="15" t="n">
        <v>-0.09565217391304348</v>
      </c>
      <c r="Q82" s="16" t="n">
        <v>-0.04732824427480831</v>
      </c>
      <c r="R82" s="2" t="inlineStr">
        <is>
          <t>跌穿 MA20</t>
        </is>
      </c>
      <c r="S82" s="2" t="inlineStr">
        <is>
          <t>有</t>
        </is>
      </c>
      <c r="T82" s="9" t="n">
        <v>0.6774904467544756</v>
      </c>
      <c r="U82" s="9" t="n">
        <v>0.710943377662965</v>
      </c>
      <c r="V82" s="3" t="inlineStr">
        <is>
          <t>C3 回落20MA、C4 波幅減低</t>
        </is>
      </c>
    </row>
    <row r="83">
      <c r="A83" s="2" t="inlineStr">
        <is>
          <t>醫療保健</t>
        </is>
      </c>
      <c r="B83" s="27" t="inlineStr">
        <is>
          <t>TTRX</t>
        </is>
      </c>
      <c r="C83" s="2" t="inlineStr">
        <is>
          <t>Turn Therapeutics Inc.</t>
        </is>
      </c>
      <c r="D83" s="2" t="inlineStr">
        <is>
          <t>Biotechnology: Pharmaceutical Preparations</t>
        </is>
      </c>
      <c r="E83" s="2" t="inlineStr">
        <is>
          <t>小型</t>
        </is>
      </c>
      <c r="F83" s="10" t="n">
        <v>14.39</v>
      </c>
      <c r="G83" s="2" t="inlineStr">
        <is>
          <t>2026-09-18</t>
        </is>
      </c>
      <c r="H83" s="15" t="n">
        <v>0.08104196816208398</v>
      </c>
      <c r="I83" s="15" t="n">
        <v>-0.001447178002894289</v>
      </c>
      <c r="J83" s="17" t="n">
        <v>10.05601695648413</v>
      </c>
      <c r="K83" s="2" t="inlineStr">
        <is>
          <t>2026-06-22</t>
        </is>
      </c>
      <c r="L83" s="14" t="n">
        <v>1.658578856152513</v>
      </c>
      <c r="M83" s="9" t="n">
        <v>5.970255200341136</v>
      </c>
      <c r="N83" s="2" t="inlineStr">
        <is>
          <t>2026-09-21</t>
        </is>
      </c>
      <c r="O83" s="12" t="n">
        <v>7</v>
      </c>
      <c r="P83" s="15" t="n">
        <v>-0.06192959582790092</v>
      </c>
      <c r="Q83" s="16" t="n">
        <v>0.09788662546730609</v>
      </c>
      <c r="R83" s="2" t="inlineStr">
        <is>
          <t>仍高於 MA20</t>
        </is>
      </c>
      <c r="S83" s="2" t="inlineStr">
        <is>
          <t>有</t>
        </is>
      </c>
      <c r="T83" s="9" t="n">
        <v>0.8889630550398983</v>
      </c>
      <c r="U83" s="9" t="n">
        <v>0.9789992829699465</v>
      </c>
      <c r="V83" s="3" t="inlineStr">
        <is>
          <t>C3 回落20MA、C4 波幅減低</t>
        </is>
      </c>
    </row>
    <row r="84">
      <c r="A84" s="2" t="inlineStr">
        <is>
          <t>醫療保健</t>
        </is>
      </c>
      <c r="B84" s="27" t="inlineStr">
        <is>
          <t>GRAL</t>
        </is>
      </c>
      <c r="C84" s="2" t="inlineStr">
        <is>
          <t>GRAIL Inc.</t>
        </is>
      </c>
      <c r="D84" s="2" t="inlineStr">
        <is>
          <t>Medical Specialities</t>
        </is>
      </c>
      <c r="E84" s="2" t="inlineStr">
        <is>
          <t>中型</t>
        </is>
      </c>
      <c r="F84" s="10" t="n">
        <v>140.12</v>
      </c>
      <c r="G84" s="2" t="inlineStr">
        <is>
          <t>2026-09-21</t>
        </is>
      </c>
      <c r="H84" s="15" t="n">
        <v>0.336758697536214</v>
      </c>
      <c r="I84" s="15" t="n">
        <v>0.1605794230531137</v>
      </c>
      <c r="J84" s="17" t="n">
        <v>4.762529519811073</v>
      </c>
      <c r="K84" s="2" t="inlineStr">
        <is>
          <t>2026-08-06</t>
        </is>
      </c>
      <c r="L84" s="14" t="n">
        <v>1.210094637223975</v>
      </c>
      <c r="M84" s="9" t="n">
        <v>2.34574253289536</v>
      </c>
      <c r="N84" s="2" t="inlineStr">
        <is>
          <t>2026-09-30</t>
        </is>
      </c>
      <c r="O84" s="12" t="n">
        <v>0</v>
      </c>
      <c r="P84" s="15" t="n">
        <v>0</v>
      </c>
      <c r="Q84" s="16" t="n">
        <v>0.455361269650026</v>
      </c>
      <c r="R84" s="2" t="inlineStr">
        <is>
          <t>仍高於 MA20</t>
        </is>
      </c>
      <c r="S84" s="2" t="inlineStr">
        <is>
          <t>有</t>
        </is>
      </c>
      <c r="T84" s="9" t="n">
        <v>1.36897238115212</v>
      </c>
      <c r="U84" s="9" t="n">
        <v>1.455169095020727</v>
      </c>
      <c r="V84" s="3" t="inlineStr">
        <is>
          <t>C3 回落20MA、C4 波幅減低</t>
        </is>
      </c>
    </row>
    <row r="85">
      <c r="A85" s="2" t="inlineStr">
        <is>
          <t>醫療保健</t>
        </is>
      </c>
      <c r="B85" s="27" t="inlineStr">
        <is>
          <t>GRML</t>
        </is>
      </c>
      <c r="C85" s="2" t="inlineStr">
        <is>
          <t>Greenland Mines Ltd.</t>
        </is>
      </c>
      <c r="D85" s="2" t="inlineStr">
        <is>
          <t>Biotechnology: Biological Products (No Diagnostic Substances)</t>
        </is>
      </c>
      <c r="E85" s="2" t="inlineStr">
        <is>
          <t>小型</t>
        </is>
      </c>
      <c r="F85" s="10" t="n">
        <v>10.62</v>
      </c>
      <c r="G85" s="2" t="inlineStr">
        <is>
          <t>2026-09-21</t>
        </is>
      </c>
      <c r="H85" s="15" t="n">
        <v>2.305263157894737</v>
      </c>
      <c r="I85" s="15" t="n">
        <v>1.571929824561404</v>
      </c>
      <c r="J85" s="17" t="n">
        <v>420.6851978632162</v>
      </c>
      <c r="K85" s="2" t="inlineStr">
        <is>
          <t>2026-09-18</t>
        </is>
      </c>
      <c r="L85" s="14" t="n">
        <v>4.224561403508772</v>
      </c>
      <c r="M85" s="9" t="n">
        <v>371.5116805615689</v>
      </c>
      <c r="N85" s="2" t="inlineStr">
        <is>
          <t>2026-09-24</t>
        </is>
      </c>
      <c r="O85" s="12" t="n">
        <v>4</v>
      </c>
      <c r="P85" s="15" t="n">
        <v>-0.2867696440564138</v>
      </c>
      <c r="Q85" s="16" t="n">
        <v>0.4960907233922824</v>
      </c>
      <c r="R85" s="2" t="inlineStr">
        <is>
          <t>仍高於 MA20</t>
        </is>
      </c>
      <c r="S85" s="2" t="inlineStr">
        <is>
          <t>有</t>
        </is>
      </c>
      <c r="T85" s="9" t="n">
        <v>0.6619142093059331</v>
      </c>
      <c r="U85" s="9" t="n">
        <v>0.1836595518297263</v>
      </c>
      <c r="V85" s="3" t="inlineStr">
        <is>
          <t>C3 回落20MA</t>
        </is>
      </c>
    </row>
    <row r="86">
      <c r="A86" s="2" t="inlineStr">
        <is>
          <t>醫療保健</t>
        </is>
      </c>
      <c r="B86" s="27" t="inlineStr">
        <is>
          <t>SRZN</t>
        </is>
      </c>
      <c r="C86" s="2" t="inlineStr">
        <is>
          <t>Surrozen Inc.</t>
        </is>
      </c>
      <c r="D86" s="2" t="inlineStr">
        <is>
          <t>Biotechnology: Biological Products (No Diagnostic Substances)</t>
        </is>
      </c>
      <c r="E86" s="2" t="inlineStr">
        <is>
          <t>小型</t>
        </is>
      </c>
      <c r="F86" s="10" t="n">
        <v>32.18</v>
      </c>
      <c r="G86" s="2" t="inlineStr">
        <is>
          <t>2026-09-24</t>
        </is>
      </c>
      <c r="H86" s="15" t="n">
        <v>1.084158415841584</v>
      </c>
      <c r="I86" s="15" t="n">
        <v>0.891089108910891</v>
      </c>
      <c r="J86" s="17" t="n">
        <v>52.61260109908167</v>
      </c>
      <c r="K86" s="2" t="inlineStr">
        <is>
          <t>2026-09-23</t>
        </is>
      </c>
      <c r="L86" s="14" t="n">
        <v>1.084158415841584</v>
      </c>
      <c r="M86" s="9" t="n">
        <v>15.95274191626025</v>
      </c>
      <c r="N86" s="2" t="inlineStr">
        <is>
          <t>2026-09-24</t>
        </is>
      </c>
      <c r="O86" s="12" t="n">
        <v>4</v>
      </c>
      <c r="P86" s="15" t="n">
        <v>-0.04453681710213775</v>
      </c>
      <c r="Q86" s="16" t="n">
        <v>0.4613987284286962</v>
      </c>
      <c r="R86" s="2" t="inlineStr">
        <is>
          <t>仍高於 MA20</t>
        </is>
      </c>
      <c r="S86" s="2" t="inlineStr">
        <is>
          <t>有</t>
        </is>
      </c>
      <c r="T86" s="9" t="n">
        <v>2.496717178435106</v>
      </c>
      <c r="U86" s="9" t="n">
        <v>1.144972009948406</v>
      </c>
      <c r="V86" s="3" t="inlineStr">
        <is>
          <t>C3 回落20MA、C4 波幅減低</t>
        </is>
      </c>
    </row>
    <row r="87">
      <c r="A87" s="2" t="inlineStr">
        <is>
          <t>醫療保健</t>
        </is>
      </c>
      <c r="B87" s="27" t="inlineStr">
        <is>
          <t>KOD</t>
        </is>
      </c>
      <c r="C87" s="2" t="inlineStr">
        <is>
          <t>Kodiak Sciences Inc</t>
        </is>
      </c>
      <c r="D87" s="2" t="inlineStr">
        <is>
          <t>Biotechnology: Biological Products (No Diagnostic Substances)</t>
        </is>
      </c>
      <c r="E87" s="2" t="inlineStr">
        <is>
          <t>中型</t>
        </is>
      </c>
      <c r="F87" s="10" t="n">
        <v>94.8</v>
      </c>
      <c r="G87" s="2" t="inlineStr">
        <is>
          <t>2026-09-28</t>
        </is>
      </c>
      <c r="H87" s="15" t="n">
        <v>1.779598145285935</v>
      </c>
      <c r="I87" s="15" t="n">
        <v>0.9075734157650694</v>
      </c>
      <c r="J87" s="17" t="n">
        <v>57.38424761320707</v>
      </c>
      <c r="K87" s="2" t="inlineStr">
        <is>
          <t>2026-09-23</t>
        </is>
      </c>
      <c r="L87" s="14" t="n">
        <v>2.007614213197969</v>
      </c>
      <c r="M87" s="9" t="n">
        <v>30.2429224359953</v>
      </c>
      <c r="N87" s="2" t="inlineStr">
        <is>
          <t>2026-09-30</t>
        </is>
      </c>
      <c r="O87" s="12" t="n">
        <v>0</v>
      </c>
      <c r="P87" s="15" t="n">
        <v>0</v>
      </c>
      <c r="Q87" s="16" t="n">
        <v>1.237326536391953</v>
      </c>
      <c r="R87" s="2" t="inlineStr">
        <is>
          <t>仍高於 MA20</t>
        </is>
      </c>
      <c r="S87" s="2" t="inlineStr"/>
      <c r="T87" s="9" t="n">
        <v>3.04394370556811</v>
      </c>
      <c r="U87" s="9" t="n">
        <v>1</v>
      </c>
      <c r="V87" s="3" t="inlineStr">
        <is>
          <t>C2 曾有10MA上升、C3 回落20MA、C4 波幅減低</t>
        </is>
      </c>
    </row>
    <row r="88">
      <c r="A88" s="2" t="inlineStr">
        <is>
          <t>科技</t>
        </is>
      </c>
      <c r="B88" s="27" t="inlineStr">
        <is>
          <t>ALMU</t>
        </is>
      </c>
      <c r="C88" s="2" t="inlineStr">
        <is>
          <t>Aeluma Inc.</t>
        </is>
      </c>
      <c r="D88" s="2" t="inlineStr">
        <is>
          <t>Semiconductors</t>
        </is>
      </c>
      <c r="E88" s="2" t="inlineStr">
        <is>
          <t>小型</t>
        </is>
      </c>
      <c r="F88" s="10" t="n">
        <v>12.36</v>
      </c>
      <c r="G88" s="2" t="inlineStr">
        <is>
          <t>2026-04-13</t>
        </is>
      </c>
      <c r="H88" s="15" t="n">
        <v>0.4265799256505576</v>
      </c>
      <c r="I88" s="15" t="n">
        <v>0.303903345724907</v>
      </c>
      <c r="J88" s="17" t="n">
        <v>23.26059914999482</v>
      </c>
      <c r="K88" s="2" t="inlineStr">
        <is>
          <t>2026-04-09</t>
        </is>
      </c>
      <c r="L88" s="14" t="n">
        <v>0.7623485554520038</v>
      </c>
      <c r="M88" s="9" t="n">
        <v>4.368947839662058</v>
      </c>
      <c r="N88" s="2" t="inlineStr">
        <is>
          <t>2026-07-06</t>
        </is>
      </c>
      <c r="O88" s="12" t="n">
        <v>61</v>
      </c>
      <c r="P88" s="15" t="n">
        <v>-0.3463775780010577</v>
      </c>
      <c r="Q88" s="16" t="n">
        <v>-0.05090992858788312</v>
      </c>
      <c r="R88" s="2" t="inlineStr">
        <is>
          <t>跌穿 MA20</t>
        </is>
      </c>
      <c r="S88" s="2" t="inlineStr"/>
      <c r="T88" s="9" t="n">
        <v>0.938463918210618</v>
      </c>
      <c r="U88" s="9" t="n">
        <v>0.4213040890390471</v>
      </c>
      <c r="V88" s="3" t="inlineStr">
        <is>
          <t>C2 曾有10MA上升、C3 回落20MA、C4 波幅減低</t>
        </is>
      </c>
    </row>
    <row r="89">
      <c r="A89" s="2" t="inlineStr">
        <is>
          <t>科技</t>
        </is>
      </c>
      <c r="B89" s="27" t="inlineStr">
        <is>
          <t>WATT</t>
        </is>
      </c>
      <c r="C89" s="2" t="inlineStr">
        <is>
          <t>Energous Corporation</t>
        </is>
      </c>
      <c r="D89" s="2" t="inlineStr">
        <is>
          <t>Radio And Television Broadcasting And Communications Equipment</t>
        </is>
      </c>
      <c r="E89" s="2" t="inlineStr">
        <is>
          <t>小型</t>
        </is>
      </c>
      <c r="F89" s="10" t="n">
        <v>13.14</v>
      </c>
      <c r="G89" s="2" t="inlineStr">
        <is>
          <t>2026-04-15</t>
        </is>
      </c>
      <c r="H89" s="15" t="n">
        <v>0.349390243902439</v>
      </c>
      <c r="I89" s="15" t="n">
        <v>0.1585365853658538</v>
      </c>
      <c r="J89" s="17" t="n">
        <v>4.754455798193134</v>
      </c>
      <c r="K89" s="2" t="inlineStr">
        <is>
          <t>2026-04-01</t>
        </is>
      </c>
      <c r="L89" s="14" t="n">
        <v>0.6124497991967872</v>
      </c>
      <c r="M89" s="9" t="n">
        <v>2.05485259565833</v>
      </c>
      <c r="N89" s="2" t="inlineStr">
        <is>
          <t>2026-07-02</t>
        </is>
      </c>
      <c r="O89" s="12" t="n">
        <v>62</v>
      </c>
      <c r="P89" s="15" t="n">
        <v>-0.4545454545454545</v>
      </c>
      <c r="Q89" s="16" t="n">
        <v>0.1020716262685648</v>
      </c>
      <c r="R89" s="2" t="inlineStr">
        <is>
          <t>仍高於 MA20</t>
        </is>
      </c>
      <c r="S89" s="2" t="inlineStr">
        <is>
          <t>有</t>
        </is>
      </c>
      <c r="T89" s="9" t="n">
        <v>1.164485107401422</v>
      </c>
      <c r="U89" s="9" t="n">
        <v>0.5924672753342631</v>
      </c>
      <c r="V89" s="3" t="inlineStr">
        <is>
          <t>C3 回落20MA、C4 波幅減低</t>
        </is>
      </c>
    </row>
    <row r="90">
      <c r="A90" s="2" t="inlineStr">
        <is>
          <t>科技</t>
        </is>
      </c>
      <c r="B90" s="27" t="inlineStr">
        <is>
          <t>NVTS</t>
        </is>
      </c>
      <c r="C90" s="2" t="inlineStr">
        <is>
          <t>Navitas Semiconductor Corporation</t>
        </is>
      </c>
      <c r="D90" s="2" t="inlineStr">
        <is>
          <t>Semiconductors</t>
        </is>
      </c>
      <c r="E90" s="2" t="inlineStr">
        <is>
          <t>中型</t>
        </is>
      </c>
      <c r="F90" s="10" t="n">
        <v>11.61</v>
      </c>
      <c r="G90" s="2" t="inlineStr">
        <is>
          <t>2026-04-21</t>
        </is>
      </c>
      <c r="H90" s="15" t="n">
        <v>0.1613636363636364</v>
      </c>
      <c r="I90" s="15" t="n">
        <v>0.09431818181818197</v>
      </c>
      <c r="J90" s="17" t="n">
        <v>4.156085499150143</v>
      </c>
      <c r="K90" s="2" t="inlineStr">
        <is>
          <t>2026-04-07</t>
        </is>
      </c>
      <c r="L90" s="14" t="n">
        <v>0.7771295215869312</v>
      </c>
      <c r="M90" s="9" t="n">
        <v>3.353905886888071</v>
      </c>
      <c r="N90" s="2" t="inlineStr">
        <is>
          <t>2026-07-06</t>
        </is>
      </c>
      <c r="O90" s="12" t="n">
        <v>61</v>
      </c>
      <c r="P90" s="15" t="n">
        <v>-0.2376887721602101</v>
      </c>
      <c r="Q90" s="16" t="n">
        <v>0.006022269399073021</v>
      </c>
      <c r="R90" s="2" t="inlineStr">
        <is>
          <t>貼近 MA20</t>
        </is>
      </c>
      <c r="S90" s="2" t="inlineStr">
        <is>
          <t>有</t>
        </is>
      </c>
      <c r="T90" s="9" t="n">
        <v>1.092276723073805</v>
      </c>
      <c r="U90" s="9" t="n">
        <v>0.5202455358780973</v>
      </c>
      <c r="V90" s="3" t="inlineStr">
        <is>
          <t>C3 回落20MA、C4 波幅減低</t>
        </is>
      </c>
    </row>
    <row r="91">
      <c r="A91" s="2" t="inlineStr">
        <is>
          <t>科技</t>
        </is>
      </c>
      <c r="B91" s="27" t="inlineStr">
        <is>
          <t>CEVA</t>
        </is>
      </c>
      <c r="C91" s="2" t="inlineStr">
        <is>
          <t>CEVA Inc.</t>
        </is>
      </c>
      <c r="D91" s="2" t="inlineStr">
        <is>
          <t>Computer Software: Programming Data Processing</t>
        </is>
      </c>
      <c r="E91" s="2" t="inlineStr">
        <is>
          <t>小型</t>
        </is>
      </c>
      <c r="F91" s="10" t="n">
        <v>35.33</v>
      </c>
      <c r="G91" s="2" t="inlineStr">
        <is>
          <t>2026-04-24</t>
        </is>
      </c>
      <c r="H91" s="15" t="n">
        <v>0.1716720779220779</v>
      </c>
      <c r="I91" s="15" t="n">
        <v>0.03733766233766223</v>
      </c>
      <c r="J91" s="17" t="n">
        <v>3.94443102912985</v>
      </c>
      <c r="K91" s="2" t="inlineStr">
        <is>
          <t>2026-04-09</t>
        </is>
      </c>
      <c r="L91" s="14" t="n">
        <v>1.312098765432099</v>
      </c>
      <c r="M91" s="9" t="n">
        <v>4.253993478869472</v>
      </c>
      <c r="N91" s="2" t="inlineStr">
        <is>
          <t>2026-07-09</t>
        </is>
      </c>
      <c r="O91" s="12" t="n">
        <v>58</v>
      </c>
      <c r="P91" s="15" t="n">
        <v>-0.2454079453225118</v>
      </c>
      <c r="Q91" s="16" t="n">
        <v>0.1565783874030209</v>
      </c>
      <c r="R91" s="2" t="inlineStr">
        <is>
          <t>仍高於 MA20</t>
        </is>
      </c>
      <c r="S91" s="2" t="inlineStr">
        <is>
          <t>有</t>
        </is>
      </c>
      <c r="T91" s="9" t="n">
        <v>1.098271758952578</v>
      </c>
      <c r="U91" s="9" t="n">
        <v>0.7043962031621047</v>
      </c>
      <c r="V91" s="3" t="inlineStr">
        <is>
          <t>C3 回落20MA、C4 波幅減低</t>
        </is>
      </c>
    </row>
    <row r="92">
      <c r="A92" s="2" t="inlineStr">
        <is>
          <t>科技</t>
        </is>
      </c>
      <c r="B92" s="27" t="inlineStr">
        <is>
          <t>MXL</t>
        </is>
      </c>
      <c r="C92" s="2" t="inlineStr">
        <is>
          <t>MaxLinear Inc.</t>
        </is>
      </c>
      <c r="D92" s="2" t="inlineStr">
        <is>
          <t>Semiconductors</t>
        </is>
      </c>
      <c r="E92" s="2" t="inlineStr">
        <is>
          <t>中型</t>
        </is>
      </c>
      <c r="F92" s="10" t="n">
        <v>90.31</v>
      </c>
      <c r="G92" s="2" t="inlineStr">
        <is>
          <t>2026-04-24</t>
        </is>
      </c>
      <c r="H92" s="15" t="n">
        <v>0.7611678832116788</v>
      </c>
      <c r="I92" s="15" t="n">
        <v>0.5766423357664234</v>
      </c>
      <c r="J92" s="17" t="n">
        <v>18.34206524429984</v>
      </c>
      <c r="K92" s="2" t="inlineStr">
        <is>
          <t>2026-04-08</t>
        </is>
      </c>
      <c r="L92" s="14" t="n">
        <v>4.005224660397074</v>
      </c>
      <c r="M92" s="9" t="n">
        <v>19.62484944196939</v>
      </c>
      <c r="N92" s="2" t="inlineStr">
        <is>
          <t>2026-07-09</t>
        </is>
      </c>
      <c r="O92" s="12" t="n">
        <v>58</v>
      </c>
      <c r="P92" s="15" t="n">
        <v>-0.05730688935281836</v>
      </c>
      <c r="Q92" s="16" t="n">
        <v>0.179251134397544</v>
      </c>
      <c r="R92" s="2" t="inlineStr">
        <is>
          <t>仍高於 MA20</t>
        </is>
      </c>
      <c r="S92" s="2" t="inlineStr">
        <is>
          <t>有</t>
        </is>
      </c>
      <c r="T92" s="9" t="n">
        <v>1.040847672336273</v>
      </c>
      <c r="U92" s="9" t="n">
        <v>0.628758712147248</v>
      </c>
      <c r="V92" s="3" t="inlineStr">
        <is>
          <t>C3 回落20MA、C4 波幅減低</t>
        </is>
      </c>
    </row>
    <row r="93">
      <c r="A93" s="2" t="inlineStr">
        <is>
          <t>科技</t>
        </is>
      </c>
      <c r="B93" s="27" t="inlineStr">
        <is>
          <t>PDFS</t>
        </is>
      </c>
      <c r="C93" s="2" t="inlineStr">
        <is>
          <t>PDF Solutions Inc.</t>
        </is>
      </c>
      <c r="D93" s="2" t="inlineStr">
        <is>
          <t>Computer Software: Prepackaged Software</t>
        </is>
      </c>
      <c r="E93" s="2" t="inlineStr">
        <is>
          <t>中型</t>
        </is>
      </c>
      <c r="F93" s="10" t="n">
        <v>51.05</v>
      </c>
      <c r="G93" s="2" t="inlineStr">
        <is>
          <t>2026-04-24</t>
        </is>
      </c>
      <c r="H93" s="15" t="n">
        <v>0.05996352029183782</v>
      </c>
      <c r="I93" s="15" t="n">
        <v>0.1427268581851344</v>
      </c>
      <c r="J93" s="17" t="n">
        <v>3.836875195584763</v>
      </c>
      <c r="K93" s="2" t="inlineStr">
        <is>
          <t>2026-04-01</t>
        </is>
      </c>
      <c r="L93" s="14" t="n">
        <v>0.7718562874251498</v>
      </c>
      <c r="M93" s="9" t="n">
        <v>3.808587028542499</v>
      </c>
      <c r="N93" s="2" t="inlineStr">
        <is>
          <t>2026-07-02</t>
        </is>
      </c>
      <c r="O93" s="12" t="n">
        <v>62</v>
      </c>
      <c r="P93" s="15" t="n">
        <v>-0.1373774923960798</v>
      </c>
      <c r="Q93" s="16" t="n">
        <v>0.1015568526330608</v>
      </c>
      <c r="R93" s="2" t="inlineStr">
        <is>
          <t>仍高於 MA20</t>
        </is>
      </c>
      <c r="S93" s="2" t="inlineStr">
        <is>
          <t>有</t>
        </is>
      </c>
      <c r="T93" s="9" t="n">
        <v>0.8142329327037542</v>
      </c>
      <c r="U93" s="9" t="n">
        <v>0.6153282684954802</v>
      </c>
      <c r="V93" s="3" t="inlineStr">
        <is>
          <t>C3 回落20MA</t>
        </is>
      </c>
    </row>
    <row r="94">
      <c r="A94" s="2" t="inlineStr">
        <is>
          <t>科技</t>
        </is>
      </c>
      <c r="B94" s="27" t="inlineStr">
        <is>
          <t>QUIK</t>
        </is>
      </c>
      <c r="C94" s="2" t="inlineStr">
        <is>
          <t>QuickLogic Corporation</t>
        </is>
      </c>
      <c r="D94" s="2" t="inlineStr">
        <is>
          <t>Semiconductors</t>
        </is>
      </c>
      <c r="E94" s="2" t="inlineStr">
        <is>
          <t>小型</t>
        </is>
      </c>
      <c r="F94" s="10" t="n">
        <v>11.36</v>
      </c>
      <c r="G94" s="2" t="inlineStr">
        <is>
          <t>2026-04-27</t>
        </is>
      </c>
      <c r="H94" s="15" t="n">
        <v>0.2003058103975535</v>
      </c>
      <c r="I94" s="15" t="n">
        <v>0.1169724770642202</v>
      </c>
      <c r="J94" s="17" t="n">
        <v>9.551387328204685</v>
      </c>
      <c r="K94" s="2" t="inlineStr">
        <is>
          <t>2026-04-06</t>
        </is>
      </c>
      <c r="L94" s="14" t="n">
        <v>0.6393939393939394</v>
      </c>
      <c r="M94" s="9" t="n">
        <v>6.499130692191435</v>
      </c>
      <c r="N94" s="2" t="inlineStr">
        <is>
          <t>2026-07-06</t>
        </is>
      </c>
      <c r="O94" s="12" t="n">
        <v>61</v>
      </c>
      <c r="P94" s="15" t="n">
        <v>-0.3000616142945164</v>
      </c>
      <c r="Q94" s="16" t="n">
        <v>0.05556587994796591</v>
      </c>
      <c r="R94" s="2" t="inlineStr">
        <is>
          <t>仍高於 MA20</t>
        </is>
      </c>
      <c r="S94" s="2" t="inlineStr"/>
      <c r="T94" s="9" t="n">
        <v>0.8738304608257769</v>
      </c>
      <c r="U94" s="9" t="n">
        <v>0.3746946150560365</v>
      </c>
      <c r="V94" s="3" t="inlineStr">
        <is>
          <t>C2 曾有10MA上升、C3 回落20MA</t>
        </is>
      </c>
    </row>
    <row r="95">
      <c r="A95" s="2" t="inlineStr">
        <is>
          <t>科技</t>
        </is>
      </c>
      <c r="B95" s="27" t="inlineStr">
        <is>
          <t>BAND</t>
        </is>
      </c>
      <c r="C95" s="2" t="inlineStr">
        <is>
          <t>Bandwidth Inc. Class A</t>
        </is>
      </c>
      <c r="D95" s="2" t="inlineStr">
        <is>
          <t>Computer Software: Prepackaged Software</t>
        </is>
      </c>
      <c r="E95" s="2" t="inlineStr">
        <is>
          <t>中型</t>
        </is>
      </c>
      <c r="F95" s="10" t="n">
        <v>60.71</v>
      </c>
      <c r="G95" s="2" t="inlineStr">
        <is>
          <t>2026-04-30</t>
        </is>
      </c>
      <c r="H95" s="15" t="n">
        <v>0.5210743801652893</v>
      </c>
      <c r="I95" s="15" t="n">
        <v>0.2791322314049587</v>
      </c>
      <c r="J95" s="17" t="n">
        <v>8.466781001886124</v>
      </c>
      <c r="K95" s="2" t="inlineStr">
        <is>
          <t>2026-04-10</t>
        </is>
      </c>
      <c r="L95" s="14" t="n">
        <v>3.85997521685254</v>
      </c>
      <c r="M95" s="9" t="n">
        <v>11.65769711923942</v>
      </c>
      <c r="N95" s="2" t="inlineStr">
        <is>
          <t>2026-07-09</t>
        </is>
      </c>
      <c r="O95" s="12" t="n">
        <v>58</v>
      </c>
      <c r="P95" s="15" t="n">
        <v>-0.2260326364099948</v>
      </c>
      <c r="Q95" s="16" t="n">
        <v>0.1373706149594864</v>
      </c>
      <c r="R95" s="2" t="inlineStr">
        <is>
          <t>仍高於 MA20</t>
        </is>
      </c>
      <c r="S95" s="2" t="inlineStr">
        <is>
          <t>有</t>
        </is>
      </c>
      <c r="T95" s="9" t="n">
        <v>0.769549444220587</v>
      </c>
      <c r="U95" s="9" t="n">
        <v>0.709980321922918</v>
      </c>
      <c r="V95" s="3" t="inlineStr">
        <is>
          <t>C3 回落20MA、C4 波幅減低</t>
        </is>
      </c>
    </row>
    <row r="96">
      <c r="A96" s="2" t="inlineStr">
        <is>
          <t>科技</t>
        </is>
      </c>
      <c r="B96" s="27" t="inlineStr">
        <is>
          <t>ICHR</t>
        </is>
      </c>
      <c r="C96" s="2" t="inlineStr">
        <is>
          <t>Ichor Holdings</t>
        </is>
      </c>
      <c r="D96" s="2" t="inlineStr">
        <is>
          <t>Semiconductors</t>
        </is>
      </c>
      <c r="E96" s="2" t="inlineStr">
        <is>
          <t>中型</t>
        </is>
      </c>
      <c r="F96" s="10" t="n">
        <v>61.86</v>
      </c>
      <c r="G96" s="2" t="inlineStr">
        <is>
          <t>2026-05-04</t>
        </is>
      </c>
      <c r="H96" s="15" t="n">
        <v>0.08227258615336841</v>
      </c>
      <c r="I96" s="15" t="n">
        <v>0.05728034771809987</v>
      </c>
      <c r="J96" s="17" t="n">
        <v>3.224169838699502</v>
      </c>
      <c r="K96" s="2" t="inlineStr">
        <is>
          <t>2026-04-09</t>
        </is>
      </c>
      <c r="L96" s="14" t="n">
        <v>0.8166998732113746</v>
      </c>
      <c r="M96" s="9" t="n">
        <v>2.260171207103827</v>
      </c>
      <c r="N96" s="2" t="inlineStr">
        <is>
          <t>2026-07-10</t>
        </is>
      </c>
      <c r="O96" s="12" t="n">
        <v>57</v>
      </c>
      <c r="P96" s="15" t="n">
        <v>-0.3832502492522433</v>
      </c>
      <c r="Q96" s="16" t="n">
        <v>0.1045688904760871</v>
      </c>
      <c r="R96" s="2" t="inlineStr">
        <is>
          <t>仍高於 MA20</t>
        </is>
      </c>
      <c r="S96" s="2" t="inlineStr"/>
      <c r="T96" s="9" t="n">
        <v>0.9475158398207765</v>
      </c>
      <c r="U96" s="9" t="n">
        <v>0.5774957762137516</v>
      </c>
      <c r="V96" s="3" t="inlineStr">
        <is>
          <t>C2 曾有10MA上升、C3 回落20MA、C4 波幅減低</t>
        </is>
      </c>
    </row>
    <row r="97">
      <c r="A97" s="2" t="inlineStr">
        <is>
          <t>科技</t>
        </is>
      </c>
      <c r="B97" s="27" t="inlineStr">
        <is>
          <t>VECO</t>
        </is>
      </c>
      <c r="C97" s="2" t="inlineStr">
        <is>
          <t>Veeco Instruments Inc.</t>
        </is>
      </c>
      <c r="D97" s="2" t="inlineStr">
        <is>
          <t>Industrial Machinery/Components</t>
        </is>
      </c>
      <c r="E97" s="2" t="inlineStr">
        <is>
          <t>中型</t>
        </is>
      </c>
      <c r="F97" s="10" t="n">
        <v>51.9</v>
      </c>
      <c r="G97" s="2" t="inlineStr">
        <is>
          <t>2026-05-06</t>
        </is>
      </c>
      <c r="H97" s="15" t="n">
        <v>0.2517157852240612</v>
      </c>
      <c r="I97" s="15" t="n">
        <v>0.2565603552684699</v>
      </c>
      <c r="J97" s="17" t="n">
        <v>4.464572385884268</v>
      </c>
      <c r="K97" s="2" t="inlineStr">
        <is>
          <t>2026-04-13</t>
        </is>
      </c>
      <c r="L97" s="14" t="n">
        <v>0.4465220643231116</v>
      </c>
      <c r="M97" s="9" t="n">
        <v>3.03487745096802</v>
      </c>
      <c r="N97" s="2" t="inlineStr">
        <is>
          <t>2026-07-14</t>
        </is>
      </c>
      <c r="O97" s="12" t="n">
        <v>55</v>
      </c>
      <c r="P97" s="15" t="n">
        <v>-0.1054808686659773</v>
      </c>
      <c r="Q97" s="16" t="n">
        <v>0.1555802950180907</v>
      </c>
      <c r="R97" s="2" t="inlineStr">
        <is>
          <t>仍高於 MA20</t>
        </is>
      </c>
      <c r="S97" s="2" t="inlineStr"/>
      <c r="T97" s="9" t="n">
        <v>1.115285921704971</v>
      </c>
      <c r="U97" s="9" t="n">
        <v>0.747249092593644</v>
      </c>
      <c r="V97" s="3" t="inlineStr">
        <is>
          <t>C2 曾有10MA上升、C3 回落20MA、C4 波幅減低</t>
        </is>
      </c>
    </row>
    <row r="98">
      <c r="A98" s="2" t="inlineStr">
        <is>
          <t>科技</t>
        </is>
      </c>
      <c r="B98" s="27" t="inlineStr">
        <is>
          <t>RXT</t>
        </is>
      </c>
      <c r="C98" s="2" t="inlineStr">
        <is>
          <t>Rackspace Technology Inc.</t>
        </is>
      </c>
      <c r="D98" s="2" t="inlineStr">
        <is>
          <t>Computer Software: Programming Data Processing</t>
        </is>
      </c>
      <c r="E98" s="2" t="inlineStr">
        <is>
          <t>小型</t>
        </is>
      </c>
      <c r="F98" s="10" t="n">
        <v>3.725</v>
      </c>
      <c r="G98" s="2" t="inlineStr">
        <is>
          <t>2026-05-07</t>
        </is>
      </c>
      <c r="H98" s="15" t="n">
        <v>0.5506607929515419</v>
      </c>
      <c r="I98" s="15" t="n">
        <v>0.751101321585903</v>
      </c>
      <c r="J98" s="17" t="n">
        <v>14.12151252174499</v>
      </c>
      <c r="K98" s="2" t="inlineStr">
        <is>
          <t>2026-04-09</t>
        </is>
      </c>
      <c r="L98" s="14" t="n">
        <v>6.647058823529411</v>
      </c>
      <c r="M98" s="9" t="n">
        <v>2.921951135362667</v>
      </c>
      <c r="N98" s="2" t="inlineStr">
        <is>
          <t>2026-07-07</t>
        </is>
      </c>
      <c r="O98" s="12" t="n">
        <v>60</v>
      </c>
      <c r="P98" s="15" t="n">
        <v>-0.4489644970414201</v>
      </c>
      <c r="Q98" s="16" t="n">
        <v>0.03207037473159158</v>
      </c>
      <c r="R98" s="2" t="inlineStr">
        <is>
          <t>仍高於 MA20</t>
        </is>
      </c>
      <c r="S98" s="2" t="inlineStr">
        <is>
          <t>有</t>
        </is>
      </c>
      <c r="T98" s="9" t="n">
        <v>0.8724408927441838</v>
      </c>
      <c r="U98" s="9" t="n">
        <v>0.3704266874751097</v>
      </c>
      <c r="V98" s="3" t="inlineStr">
        <is>
          <t>C3 回落20MA</t>
        </is>
      </c>
    </row>
    <row r="99">
      <c r="A99" s="2" t="inlineStr">
        <is>
          <t>科技</t>
        </is>
      </c>
      <c r="B99" s="27" t="inlineStr">
        <is>
          <t>INOD</t>
        </is>
      </c>
      <c r="C99" s="2" t="inlineStr">
        <is>
          <t>Innodata Inc.</t>
        </is>
      </c>
      <c r="D99" s="2" t="inlineStr">
        <is>
          <t>EDP Services</t>
        </is>
      </c>
      <c r="E99" s="2" t="inlineStr">
        <is>
          <t>中型</t>
        </is>
      </c>
      <c r="F99" s="10" t="n">
        <v>65.76000000000001</v>
      </c>
      <c r="G99" s="2" t="inlineStr">
        <is>
          <t>2026-05-08</t>
        </is>
      </c>
      <c r="H99" s="15" t="n">
        <v>0.859991235758107</v>
      </c>
      <c r="I99" s="15" t="n">
        <v>0.5977212971078001</v>
      </c>
      <c r="J99" s="17" t="n">
        <v>18.72520538531222</v>
      </c>
      <c r="K99" s="2" t="inlineStr">
        <is>
          <t>2026-04-10</t>
        </is>
      </c>
      <c r="L99" s="14" t="n">
        <v>1.055087127599776</v>
      </c>
      <c r="M99" s="9" t="n">
        <v>2.951355071057594</v>
      </c>
      <c r="N99" s="2" t="inlineStr">
        <is>
          <t>2026-07-06</t>
        </is>
      </c>
      <c r="O99" s="12" t="n">
        <v>61</v>
      </c>
      <c r="P99" s="15" t="n">
        <v>-0.100656455142232</v>
      </c>
      <c r="Q99" s="16" t="n">
        <v>0.09163346613545875</v>
      </c>
      <c r="R99" s="2" t="inlineStr">
        <is>
          <t>仍高於 MA20</t>
        </is>
      </c>
      <c r="S99" s="2" t="inlineStr">
        <is>
          <t>有</t>
        </is>
      </c>
      <c r="T99" s="9" t="n">
        <v>0.9679061459086522</v>
      </c>
      <c r="U99" s="9" t="n">
        <v>0.5041312464615276</v>
      </c>
      <c r="V99" s="3" t="inlineStr">
        <is>
          <t>C3 回落20MA、C4 波幅減低</t>
        </is>
      </c>
    </row>
    <row r="100">
      <c r="A100" s="2" t="inlineStr">
        <is>
          <t>科技</t>
        </is>
      </c>
      <c r="B100" s="27" t="inlineStr">
        <is>
          <t>NVEC</t>
        </is>
      </c>
      <c r="C100" s="2" t="inlineStr">
        <is>
          <t>NVE Corporation</t>
        </is>
      </c>
      <c r="D100" s="2" t="inlineStr">
        <is>
          <t>Semiconductors</t>
        </is>
      </c>
      <c r="E100" s="2" t="inlineStr">
        <is>
          <t>小型</t>
        </is>
      </c>
      <c r="F100" s="10" t="n">
        <v>110.08</v>
      </c>
      <c r="G100" s="2" t="inlineStr">
        <is>
          <t>2026-05-11</t>
        </is>
      </c>
      <c r="H100" s="15" t="n">
        <v>0.05686730961090802</v>
      </c>
      <c r="I100" s="15" t="n">
        <v>0.1083028489081035</v>
      </c>
      <c r="J100" s="17" t="n">
        <v>6.552062524094907</v>
      </c>
      <c r="K100" s="2" t="inlineStr">
        <is>
          <t>2026-04-29</t>
        </is>
      </c>
      <c r="L100" s="14" t="n">
        <v>0.7275067576264642</v>
      </c>
      <c r="M100" s="9" t="n">
        <v>6.722470331986054</v>
      </c>
      <c r="N100" s="2" t="inlineStr">
        <is>
          <t>2026-07-23</t>
        </is>
      </c>
      <c r="O100" s="12" t="n">
        <v>48</v>
      </c>
      <c r="P100" s="15" t="n">
        <v>-0.179792861932792</v>
      </c>
      <c r="Q100" s="16" t="n">
        <v>0.07002085024276372</v>
      </c>
      <c r="R100" s="2" t="inlineStr">
        <is>
          <t>仍高於 MA20</t>
        </is>
      </c>
      <c r="S100" s="2" t="inlineStr">
        <is>
          <t>有</t>
        </is>
      </c>
      <c r="T100" s="9" t="n">
        <v>0.8316725469420074</v>
      </c>
      <c r="U100" s="9" t="n">
        <v>0.3650592530980353</v>
      </c>
      <c r="V100" s="3" t="inlineStr">
        <is>
          <t>C3 回落20MA</t>
        </is>
      </c>
    </row>
    <row r="101">
      <c r="A101" s="2" t="inlineStr">
        <is>
          <t>科技</t>
        </is>
      </c>
      <c r="B101" s="27" t="inlineStr">
        <is>
          <t>AMBQ</t>
        </is>
      </c>
      <c r="C101" s="2" t="inlineStr">
        <is>
          <t>Ambiq Micro Inc.</t>
        </is>
      </c>
      <c r="D101" s="2" t="inlineStr">
        <is>
          <t>Semiconductors</t>
        </is>
      </c>
      <c r="E101" s="2" t="inlineStr">
        <is>
          <t>小型</t>
        </is>
      </c>
      <c r="F101" s="10" t="n">
        <v>68.17</v>
      </c>
      <c r="G101" s="2" t="inlineStr">
        <is>
          <t>2026-05-12</t>
        </is>
      </c>
      <c r="H101" s="15" t="n">
        <v>0.4532515874753669</v>
      </c>
      <c r="I101" s="15" t="n">
        <v>0.1635647033063279</v>
      </c>
      <c r="J101" s="17" t="n">
        <v>7.309233635428593</v>
      </c>
      <c r="K101" s="2" t="inlineStr">
        <is>
          <t>2026-04-09</t>
        </is>
      </c>
      <c r="L101" s="14" t="n">
        <v>1.969812630117974</v>
      </c>
      <c r="M101" s="9" t="n">
        <v>4.563692639587483</v>
      </c>
      <c r="N101" s="2" t="inlineStr">
        <is>
          <t>2026-07-09</t>
        </is>
      </c>
      <c r="O101" s="12" t="n">
        <v>58</v>
      </c>
      <c r="P101" s="15" t="n">
        <v>-0.203528449585232</v>
      </c>
      <c r="Q101" s="16" t="n">
        <v>0.06667292556603899</v>
      </c>
      <c r="R101" s="2" t="inlineStr">
        <is>
          <t>仍高於 MA20</t>
        </is>
      </c>
      <c r="S101" s="2" t="inlineStr">
        <is>
          <t>有</t>
        </is>
      </c>
      <c r="T101" s="9" t="n">
        <v>0.9831777593573325</v>
      </c>
      <c r="U101" s="9" t="n">
        <v>0.6999660635740197</v>
      </c>
      <c r="V101" s="3" t="inlineStr">
        <is>
          <t>C3 回落20MA、C4 波幅減低</t>
        </is>
      </c>
    </row>
    <row r="102">
      <c r="A102" s="2" t="inlineStr">
        <is>
          <t>科技</t>
        </is>
      </c>
      <c r="B102" s="27" t="inlineStr">
        <is>
          <t>AIP</t>
        </is>
      </c>
      <c r="C102" s="2" t="inlineStr">
        <is>
          <t>Arteris Inc.</t>
        </is>
      </c>
      <c r="D102" s="2" t="inlineStr">
        <is>
          <t>Semiconductors</t>
        </is>
      </c>
      <c r="E102" s="2" t="inlineStr">
        <is>
          <t>小型</t>
        </is>
      </c>
      <c r="F102" s="10" t="n">
        <v>23.64</v>
      </c>
      <c r="G102" s="2" t="inlineStr">
        <is>
          <t>2026-05-13</t>
        </is>
      </c>
      <c r="H102" s="15" t="n">
        <v>0.09620721554116551</v>
      </c>
      <c r="I102" s="15" t="n">
        <v>0.09250693802035159</v>
      </c>
      <c r="J102" s="17" t="n">
        <v>4.9948358674907</v>
      </c>
      <c r="K102" s="2" t="inlineStr">
        <is>
          <t>2026-04-08</t>
        </is>
      </c>
      <c r="L102" s="14" t="n">
        <v>0.8975302154492903</v>
      </c>
      <c r="M102" s="9" t="n">
        <v>4.771351022035159</v>
      </c>
      <c r="N102" s="2" t="inlineStr">
        <is>
          <t>2026-07-09</t>
        </is>
      </c>
      <c r="O102" s="12" t="n">
        <v>58</v>
      </c>
      <c r="P102" s="15" t="n">
        <v>-0.3453337025754638</v>
      </c>
      <c r="Q102" s="16" t="n">
        <v>0.04794201742137294</v>
      </c>
      <c r="R102" s="2" t="inlineStr">
        <is>
          <t>仍高於 MA20</t>
        </is>
      </c>
      <c r="S102" s="2" t="inlineStr">
        <is>
          <t>有</t>
        </is>
      </c>
      <c r="T102" s="9" t="n">
        <v>0.8218555060193923</v>
      </c>
      <c r="U102" s="9" t="n">
        <v>0.5796076797793428</v>
      </c>
      <c r="V102" s="3" t="inlineStr">
        <is>
          <t>C3 回落20MA</t>
        </is>
      </c>
    </row>
    <row r="103">
      <c r="A103" s="2" t="inlineStr">
        <is>
          <t>科技</t>
        </is>
      </c>
      <c r="B103" s="27" t="inlineStr">
        <is>
          <t>PENG</t>
        </is>
      </c>
      <c r="C103" s="2" t="inlineStr">
        <is>
          <t>Penguin Solutions Inc.</t>
        </is>
      </c>
      <c r="D103" s="2" t="inlineStr">
        <is>
          <t>Semiconductors</t>
        </is>
      </c>
      <c r="E103" s="2" t="inlineStr">
        <is>
          <t>中型</t>
        </is>
      </c>
      <c r="F103" s="10" t="n">
        <v>54.69</v>
      </c>
      <c r="G103" s="2" t="inlineStr">
        <is>
          <t>2026-05-13</t>
        </is>
      </c>
      <c r="H103" s="15" t="n">
        <v>0.09381373215499655</v>
      </c>
      <c r="I103" s="15" t="n">
        <v>0.1580557443915702</v>
      </c>
      <c r="J103" s="17" t="n">
        <v>5.199909385643772</v>
      </c>
      <c r="K103" s="2" t="inlineStr">
        <is>
          <t>2026-04-08</t>
        </is>
      </c>
      <c r="L103" s="14" t="n">
        <v>2.679475587703436</v>
      </c>
      <c r="M103" s="9" t="n">
        <v>8.231726357548395</v>
      </c>
      <c r="N103" s="2" t="inlineStr">
        <is>
          <t>2026-07-09</t>
        </is>
      </c>
      <c r="O103" s="12" t="n">
        <v>58</v>
      </c>
      <c r="P103" s="15" t="n">
        <v>-0.3280501290084777</v>
      </c>
      <c r="Q103" s="16" t="n">
        <v>0.05332087863409329</v>
      </c>
      <c r="R103" s="2" t="inlineStr">
        <is>
          <t>仍高於 MA20</t>
        </is>
      </c>
      <c r="S103" s="2" t="inlineStr">
        <is>
          <t>有</t>
        </is>
      </c>
      <c r="T103" s="9" t="n">
        <v>0.920437938605811</v>
      </c>
      <c r="U103" s="9" t="n">
        <v>0.4893115407988441</v>
      </c>
      <c r="V103" s="3" t="inlineStr">
        <is>
          <t>C3 回落20MA、C4 波幅減低</t>
        </is>
      </c>
    </row>
    <row r="104">
      <c r="A104" s="2" t="inlineStr">
        <is>
          <t>科技</t>
        </is>
      </c>
      <c r="B104" s="27" t="inlineStr">
        <is>
          <t>VPG</t>
        </is>
      </c>
      <c r="C104" s="2" t="inlineStr">
        <is>
          <t>Vishay Precision Group Inc.</t>
        </is>
      </c>
      <c r="D104" s="2" t="inlineStr">
        <is>
          <t>Electrical Products</t>
        </is>
      </c>
      <c r="E104" s="2" t="inlineStr">
        <is>
          <t>小型</t>
        </is>
      </c>
      <c r="F104" s="10" t="n">
        <v>72.73999999999999</v>
      </c>
      <c r="G104" s="2" t="inlineStr">
        <is>
          <t>2026-05-13</t>
        </is>
      </c>
      <c r="H104" s="15" t="n">
        <v>0.1639593315414281</v>
      </c>
      <c r="I104" s="15" t="n">
        <v>0.07946710295664383</v>
      </c>
      <c r="J104" s="17" t="n">
        <v>5.721596724667349</v>
      </c>
      <c r="K104" s="2" t="inlineStr">
        <is>
          <t>2026-04-02</t>
        </is>
      </c>
      <c r="L104" s="14" t="n">
        <v>1.747375474648202</v>
      </c>
      <c r="M104" s="9" t="n">
        <v>3.825694108117316</v>
      </c>
      <c r="N104" s="2" t="inlineStr">
        <is>
          <t>2026-07-06</t>
        </is>
      </c>
      <c r="O104" s="12" t="n">
        <v>61</v>
      </c>
      <c r="P104" s="15" t="n">
        <v>-0.4086178861788619</v>
      </c>
      <c r="Q104" s="16" t="n">
        <v>0.1112299301853064</v>
      </c>
      <c r="R104" s="2" t="inlineStr">
        <is>
          <t>仍高於 MA20</t>
        </is>
      </c>
      <c r="S104" s="2" t="inlineStr">
        <is>
          <t>有</t>
        </is>
      </c>
      <c r="T104" s="9" t="n">
        <v>0.9081150008033645</v>
      </c>
      <c r="U104" s="9" t="n">
        <v>0.5514039980395883</v>
      </c>
      <c r="V104" s="3" t="inlineStr">
        <is>
          <t>C3 回落20MA、C4 波幅減低</t>
        </is>
      </c>
    </row>
    <row r="105">
      <c r="A105" s="2" t="inlineStr">
        <is>
          <t>科技</t>
        </is>
      </c>
      <c r="B105" s="27" t="inlineStr">
        <is>
          <t>VSH</t>
        </is>
      </c>
      <c r="C105" s="2" t="inlineStr">
        <is>
          <t>Vishay Intertechnology Inc.</t>
        </is>
      </c>
      <c r="D105" s="2" t="inlineStr">
        <is>
          <t>Electrical Products</t>
        </is>
      </c>
      <c r="E105" s="2" t="inlineStr">
        <is>
          <t>中型</t>
        </is>
      </c>
      <c r="F105" s="10" t="n">
        <v>32.55</v>
      </c>
      <c r="G105" s="2" t="inlineStr">
        <is>
          <t>2026-05-13</t>
        </is>
      </c>
      <c r="H105" s="15" t="n">
        <v>0.1448111804936068</v>
      </c>
      <c r="I105" s="15" t="n">
        <v>0.08206958073148973</v>
      </c>
      <c r="J105" s="17" t="n">
        <v>4.293397759985217</v>
      </c>
      <c r="K105" s="2" t="inlineStr">
        <is>
          <t>2026-04-02</t>
        </is>
      </c>
      <c r="L105" s="14" t="n">
        <v>1.484930032292788</v>
      </c>
      <c r="M105" s="9" t="n">
        <v>7.243036885058115</v>
      </c>
      <c r="N105" s="2" t="inlineStr">
        <is>
          <t>2026-07-06</t>
        </is>
      </c>
      <c r="O105" s="12" t="n">
        <v>61</v>
      </c>
      <c r="P105" s="15" t="n">
        <v>-0.2949967511371021</v>
      </c>
      <c r="Q105" s="16" t="n">
        <v>0.01976878974905061</v>
      </c>
      <c r="R105" s="2" t="inlineStr">
        <is>
          <t>貼近 MA20</t>
        </is>
      </c>
      <c r="S105" s="2" t="inlineStr"/>
      <c r="T105" s="9" t="n">
        <v>0.7983825276188865</v>
      </c>
      <c r="U105" s="9" t="n">
        <v>0.441706978881263</v>
      </c>
      <c r="V105" s="3" t="inlineStr">
        <is>
          <t>C2 曾有10MA上升、C3 回落20MA</t>
        </is>
      </c>
    </row>
    <row r="106">
      <c r="A106" s="2" t="inlineStr">
        <is>
          <t>科技</t>
        </is>
      </c>
      <c r="B106" s="27" t="inlineStr">
        <is>
          <t>WOLF</t>
        </is>
      </c>
      <c r="C106" s="2" t="inlineStr">
        <is>
          <t>Wolfspeed Inc.</t>
        </is>
      </c>
      <c r="D106" s="2" t="inlineStr">
        <is>
          <t>Semiconductors</t>
        </is>
      </c>
      <c r="E106" s="2" t="inlineStr">
        <is>
          <t>小型</t>
        </is>
      </c>
      <c r="F106" s="10" t="n">
        <v>28.13</v>
      </c>
      <c r="G106" s="2" t="inlineStr">
        <is>
          <t>2026-05-13</t>
        </is>
      </c>
      <c r="H106" s="15" t="n">
        <v>0.1653015636634401</v>
      </c>
      <c r="I106" s="15" t="n">
        <v>0.2403201787043932</v>
      </c>
      <c r="J106" s="17" t="n">
        <v>8.882727989412778</v>
      </c>
      <c r="K106" s="2" t="inlineStr">
        <is>
          <t>2026-04-01</t>
        </is>
      </c>
      <c r="L106" s="14" t="n">
        <v>1.43161094224924</v>
      </c>
      <c r="M106" s="9" t="n">
        <v>12.23417771190362</v>
      </c>
      <c r="N106" s="2" t="inlineStr">
        <is>
          <t>2026-07-02</t>
        </is>
      </c>
      <c r="O106" s="12" t="n">
        <v>62</v>
      </c>
      <c r="P106" s="15" t="n">
        <v>-0.2967500000000001</v>
      </c>
      <c r="Q106" s="16" t="n">
        <v>0.06026911914364153</v>
      </c>
      <c r="R106" s="2" t="inlineStr">
        <is>
          <t>仍高於 MA20</t>
        </is>
      </c>
      <c r="S106" s="2" t="inlineStr">
        <is>
          <t>有</t>
        </is>
      </c>
      <c r="T106" s="9" t="n">
        <v>0.9344208963710873</v>
      </c>
      <c r="U106" s="9" t="n">
        <v>0.43456395083381</v>
      </c>
      <c r="V106" s="3" t="inlineStr">
        <is>
          <t>C3 回落20MA、C4 波幅減低</t>
        </is>
      </c>
    </row>
    <row r="107">
      <c r="A107" s="2" t="inlineStr">
        <is>
          <t>科技</t>
        </is>
      </c>
      <c r="B107" s="27" t="inlineStr">
        <is>
          <t>BRUN</t>
        </is>
      </c>
      <c r="C107" s="2" t="inlineStr">
        <is>
          <t>Boost Run Inc. Class A</t>
        </is>
      </c>
      <c r="D107" s="2" t="inlineStr">
        <is>
          <t>EDP Services</t>
        </is>
      </c>
      <c r="E107" s="2" t="inlineStr">
        <is>
          <t>小型</t>
        </is>
      </c>
      <c r="F107" s="10" t="n">
        <v>16.5</v>
      </c>
      <c r="G107" s="2" t="inlineStr">
        <is>
          <t>2026-05-15</t>
        </is>
      </c>
      <c r="H107" s="15" t="n">
        <v>0.1367127496159755</v>
      </c>
      <c r="I107" s="15" t="n">
        <v>0.05030721966205842</v>
      </c>
      <c r="J107" s="17" t="n">
        <v>8.124877647378916</v>
      </c>
      <c r="K107" s="2" t="inlineStr">
        <is>
          <t>2026-04-09</t>
        </is>
      </c>
      <c r="L107" s="14" t="n">
        <v>2.036654135338346</v>
      </c>
      <c r="M107" s="9" t="n">
        <v>18.48173590893485</v>
      </c>
      <c r="N107" s="2" t="inlineStr">
        <is>
          <t>2026-07-06</t>
        </is>
      </c>
      <c r="O107" s="12" t="n">
        <v>61</v>
      </c>
      <c r="P107" s="15" t="n">
        <v>-0.489322191272052</v>
      </c>
      <c r="Q107" s="16" t="n">
        <v>-0.0039239360096609</v>
      </c>
      <c r="R107" s="2" t="inlineStr">
        <is>
          <t>貼近 MA20</t>
        </is>
      </c>
      <c r="S107" s="2" t="inlineStr">
        <is>
          <t>有</t>
        </is>
      </c>
      <c r="T107" s="9" t="n">
        <v>0.792549857235302</v>
      </c>
      <c r="U107" s="9" t="n">
        <v>0.4654055712096632</v>
      </c>
      <c r="V107" s="3" t="inlineStr">
        <is>
          <t>C3 回落20MA</t>
        </is>
      </c>
    </row>
    <row r="108">
      <c r="A108" s="2" t="inlineStr">
        <is>
          <t>科技</t>
        </is>
      </c>
      <c r="B108" s="27" t="inlineStr">
        <is>
          <t>GCTS</t>
        </is>
      </c>
      <c r="C108" s="2" t="inlineStr">
        <is>
          <t>GCT Semiconductor Holding Inc.</t>
        </is>
      </c>
      <c r="D108" s="2" t="inlineStr">
        <is>
          <t>Semiconductors</t>
        </is>
      </c>
      <c r="E108" s="2" t="inlineStr">
        <is>
          <t>小型</t>
        </is>
      </c>
      <c r="F108" s="10" t="n">
        <v>2.12</v>
      </c>
      <c r="G108" s="2" t="inlineStr">
        <is>
          <t>2026-05-18</t>
        </is>
      </c>
      <c r="H108" s="15" t="n">
        <v>0.4098360655737705</v>
      </c>
      <c r="I108" s="15" t="n">
        <v>0.1256830601092895</v>
      </c>
      <c r="J108" s="17" t="n">
        <v>24.62989689795405</v>
      </c>
      <c r="K108" s="2" t="inlineStr">
        <is>
          <t>2026-04-01</t>
        </is>
      </c>
      <c r="L108" s="14" t="n">
        <v>1.318584070796461</v>
      </c>
      <c r="M108" s="9" t="n">
        <v>2.823315684265586</v>
      </c>
      <c r="N108" s="2" t="inlineStr">
        <is>
          <t>2026-07-02</t>
        </is>
      </c>
      <c r="O108" s="12" t="n">
        <v>62</v>
      </c>
      <c r="P108" s="15" t="n">
        <v>-0.1908396946564885</v>
      </c>
      <c r="Q108" s="16" t="n">
        <v>0.06239037835128669</v>
      </c>
      <c r="R108" s="2" t="inlineStr">
        <is>
          <t>仍高於 MA20</t>
        </is>
      </c>
      <c r="S108" s="2" t="inlineStr">
        <is>
          <t>有</t>
        </is>
      </c>
      <c r="T108" s="9" t="n">
        <v>0.8499795228221296</v>
      </c>
      <c r="U108" s="9" t="n">
        <v>0.3976626468683567</v>
      </c>
      <c r="V108" s="3" t="inlineStr">
        <is>
          <t>C3 回落20MA</t>
        </is>
      </c>
    </row>
    <row r="109">
      <c r="A109" s="2" t="inlineStr">
        <is>
          <t>科技</t>
        </is>
      </c>
      <c r="B109" s="27" t="inlineStr">
        <is>
          <t>RAMP</t>
        </is>
      </c>
      <c r="C109" s="2" t="inlineStr">
        <is>
          <t>LiveRamp Holdings Inc.</t>
        </is>
      </c>
      <c r="D109" s="2" t="inlineStr">
        <is>
          <t>EDP Services</t>
        </is>
      </c>
      <c r="E109" s="2" t="inlineStr">
        <is>
          <t>中型</t>
        </is>
      </c>
      <c r="F109" s="10" t="n">
        <v>37.52</v>
      </c>
      <c r="G109" s="2" t="inlineStr">
        <is>
          <t>2026-05-18</t>
        </is>
      </c>
      <c r="H109" s="15" t="n">
        <v>0.2734322319622389</v>
      </c>
      <c r="I109" s="15" t="n">
        <v>0.2744436952124072</v>
      </c>
      <c r="J109" s="17" t="n">
        <v>21.02613497720414</v>
      </c>
      <c r="K109" s="2" t="inlineStr">
        <is>
          <t>2026-04-15</t>
        </is>
      </c>
      <c r="L109" s="14" t="n">
        <v>0.3892543859649122</v>
      </c>
      <c r="M109" s="9" t="n">
        <v>2.685849745220732</v>
      </c>
      <c r="N109" s="2" t="inlineStr">
        <is>
          <t>2026-07-16</t>
        </is>
      </c>
      <c r="O109" s="12" t="n">
        <v>53</v>
      </c>
      <c r="P109" s="15" t="n">
        <v>-0.01289134438305695</v>
      </c>
      <c r="Q109" s="16" t="n">
        <v>-0.003743926077373505</v>
      </c>
      <c r="R109" s="2" t="inlineStr">
        <is>
          <t>貼近 MA20</t>
        </is>
      </c>
      <c r="S109" s="2" t="inlineStr"/>
      <c r="T109" s="9" t="n">
        <v>1.041456957436898</v>
      </c>
      <c r="U109" s="9" t="n">
        <v>0.2166864912413712</v>
      </c>
      <c r="V109" s="3" t="inlineStr">
        <is>
          <t>C2 曾有10MA上升、C3 回落20MA、C4 波幅減低</t>
        </is>
      </c>
    </row>
    <row r="110">
      <c r="A110" s="2" t="inlineStr">
        <is>
          <t>科技</t>
        </is>
      </c>
      <c r="B110" s="27" t="inlineStr">
        <is>
          <t>RELL</t>
        </is>
      </c>
      <c r="C110" s="2" t="inlineStr">
        <is>
          <t>Richardson Electronics Ltd.</t>
        </is>
      </c>
      <c r="D110" s="2" t="inlineStr">
        <is>
          <t>Electronic Components</t>
        </is>
      </c>
      <c r="E110" s="2" t="inlineStr">
        <is>
          <t>小型</t>
        </is>
      </c>
      <c r="F110" s="10" t="n">
        <v>17.73</v>
      </c>
      <c r="G110" s="2" t="inlineStr">
        <is>
          <t>2026-05-21</t>
        </is>
      </c>
      <c r="H110" s="15" t="n">
        <v>0.08672566371681434</v>
      </c>
      <c r="I110" s="15" t="n">
        <v>-0.02064896755162227</v>
      </c>
      <c r="J110" s="17" t="n">
        <v>4.789295830641555</v>
      </c>
      <c r="K110" s="2" t="inlineStr">
        <is>
          <t>2026-04-29</t>
        </is>
      </c>
      <c r="L110" s="14" t="n">
        <v>0.5869090909090908</v>
      </c>
      <c r="M110" s="9" t="n">
        <v>2.354533717619145</v>
      </c>
      <c r="N110" s="2" t="inlineStr">
        <is>
          <t>2026-07-23</t>
        </is>
      </c>
      <c r="O110" s="12" t="n">
        <v>48</v>
      </c>
      <c r="P110" s="15" t="n">
        <v>-0.187442713107241</v>
      </c>
      <c r="Q110" s="16" t="n">
        <v>0.04147086466165284</v>
      </c>
      <c r="R110" s="2" t="inlineStr">
        <is>
          <t>仍高於 MA20</t>
        </is>
      </c>
      <c r="S110" s="2" t="inlineStr"/>
      <c r="T110" s="9" t="n">
        <v>1.00480072135401</v>
      </c>
      <c r="U110" s="9" t="n">
        <v>0.5412779077044529</v>
      </c>
      <c r="V110" s="3" t="inlineStr">
        <is>
          <t>C2 曾有10MA上升、C3 回落20MA、C4 波幅減低</t>
        </is>
      </c>
    </row>
    <row r="111">
      <c r="A111" s="2" t="inlineStr">
        <is>
          <t>科技</t>
        </is>
      </c>
      <c r="B111" s="27" t="inlineStr">
        <is>
          <t>HLIT</t>
        </is>
      </c>
      <c r="C111" s="2" t="inlineStr">
        <is>
          <t>Harmonic Inc.</t>
        </is>
      </c>
      <c r="D111" s="2" t="inlineStr">
        <is>
          <t>Radio And Television Broadcasting And Communications Equipment</t>
        </is>
      </c>
      <c r="E111" s="2" t="inlineStr">
        <is>
          <t>小型</t>
        </is>
      </c>
      <c r="F111" s="10" t="n">
        <v>10.56</v>
      </c>
      <c r="G111" s="2" t="inlineStr">
        <is>
          <t>2026-05-26</t>
        </is>
      </c>
      <c r="H111" s="15" t="n">
        <v>0.1118421052631577</v>
      </c>
      <c r="I111" s="15" t="n">
        <v>0.131578947368421</v>
      </c>
      <c r="J111" s="17" t="n">
        <v>10.97180283097888</v>
      </c>
      <c r="K111" s="2" t="inlineStr">
        <is>
          <t>2026-04-08</t>
        </is>
      </c>
      <c r="L111" s="14" t="n">
        <v>0.4713839750260147</v>
      </c>
      <c r="M111" s="9" t="n">
        <v>3.773007995052399</v>
      </c>
      <c r="N111" s="2" t="inlineStr">
        <is>
          <t>2026-07-09</t>
        </is>
      </c>
      <c r="O111" s="12" t="n">
        <v>58</v>
      </c>
      <c r="P111" s="15" t="n">
        <v>-0.2531824611032532</v>
      </c>
      <c r="Q111" s="16" t="n">
        <v>-0.06523855890944519</v>
      </c>
      <c r="R111" s="2" t="inlineStr">
        <is>
          <t>跌穿 MA20</t>
        </is>
      </c>
      <c r="S111" s="2" t="inlineStr">
        <is>
          <t>有</t>
        </is>
      </c>
      <c r="T111" s="9" t="n">
        <v>0.7312943855390563</v>
      </c>
      <c r="U111" s="9" t="n">
        <v>0.4527162428749985</v>
      </c>
      <c r="V111" s="3" t="inlineStr">
        <is>
          <t>C3 回落20MA</t>
        </is>
      </c>
    </row>
    <row r="112">
      <c r="A112" s="2" t="inlineStr">
        <is>
          <t>科技</t>
        </is>
      </c>
      <c r="B112" s="27" t="inlineStr">
        <is>
          <t>POWI</t>
        </is>
      </c>
      <c r="C112" s="2" t="inlineStr">
        <is>
          <t>Power Integrations Inc.</t>
        </is>
      </c>
      <c r="D112" s="2" t="inlineStr">
        <is>
          <t>Semiconductors</t>
        </is>
      </c>
      <c r="E112" s="2" t="inlineStr">
        <is>
          <t>中型</t>
        </is>
      </c>
      <c r="F112" s="10" t="n">
        <v>51.8</v>
      </c>
      <c r="G112" s="2" t="inlineStr">
        <is>
          <t>2026-05-26</t>
        </is>
      </c>
      <c r="H112" s="15" t="n">
        <v>0.1868736767819339</v>
      </c>
      <c r="I112" s="15" t="n">
        <v>0.1184191954834157</v>
      </c>
      <c r="J112" s="17" t="n">
        <v>3.578721345858443</v>
      </c>
      <c r="K112" s="2" t="inlineStr">
        <is>
          <t>2026-04-20</t>
        </is>
      </c>
      <c r="L112" s="14" t="n">
        <v>0.203137635452046</v>
      </c>
      <c r="M112" s="9" t="n">
        <v>2.167593525729396</v>
      </c>
      <c r="N112" s="2" t="inlineStr">
        <is>
          <t>2026-07-21</t>
        </is>
      </c>
      <c r="O112" s="12" t="n">
        <v>50</v>
      </c>
      <c r="P112" s="15" t="n">
        <v>-0.3036698480978627</v>
      </c>
      <c r="Q112" s="16" t="n">
        <v>0.02865540044085479</v>
      </c>
      <c r="R112" s="2" t="inlineStr">
        <is>
          <t>貼近 MA20</t>
        </is>
      </c>
      <c r="S112" s="2" t="inlineStr"/>
      <c r="T112" s="9" t="n">
        <v>0.842670306840445</v>
      </c>
      <c r="U112" s="9" t="n">
        <v>0.5495753754133036</v>
      </c>
      <c r="V112" s="3" t="inlineStr">
        <is>
          <t>C2 曾有10MA上升、C3 回落20MA</t>
        </is>
      </c>
    </row>
    <row r="113">
      <c r="A113" s="2" t="inlineStr">
        <is>
          <t>科技</t>
        </is>
      </c>
      <c r="B113" s="26" t="inlineStr">
        <is>
          <t>CRSR</t>
        </is>
      </c>
      <c r="C113" s="2" t="inlineStr">
        <is>
          <t>Corsair Gaming Inc.</t>
        </is>
      </c>
      <c r="D113" s="2" t="inlineStr">
        <is>
          <t>Computer peripheral equipment</t>
        </is>
      </c>
      <c r="E113" s="2" t="inlineStr">
        <is>
          <t>小型</t>
        </is>
      </c>
      <c r="F113" s="10" t="n">
        <v>13.5</v>
      </c>
      <c r="G113" s="2" t="inlineStr">
        <is>
          <t>2026-05-28</t>
        </is>
      </c>
      <c r="H113" s="15" t="n">
        <v>0.2169042769857432</v>
      </c>
      <c r="I113" s="15" t="n">
        <v>0.1293279022403258</v>
      </c>
      <c r="J113" s="17" t="n">
        <v>18.56118700794942</v>
      </c>
      <c r="K113" s="2" t="inlineStr">
        <is>
          <t>2026-05-19</t>
        </is>
      </c>
      <c r="L113" s="14" t="n">
        <v>1.13859910581222</v>
      </c>
      <c r="M113" s="9" t="n">
        <v>3.760075034584387</v>
      </c>
      <c r="N113" s="2" t="inlineStr">
        <is>
          <t>2026-08-07</t>
        </is>
      </c>
      <c r="O113" s="12" t="n">
        <v>37</v>
      </c>
      <c r="P113" s="15" t="n">
        <v>-0.05923344947735187</v>
      </c>
      <c r="Q113" s="16" t="n">
        <v>0.02653790586267313</v>
      </c>
      <c r="R113" s="2" t="inlineStr">
        <is>
          <t>貼近 MA20</t>
        </is>
      </c>
      <c r="S113" s="2" t="inlineStr">
        <is>
          <t>有</t>
        </is>
      </c>
      <c r="T113" s="9" t="n">
        <v>0.7651525295762258</v>
      </c>
      <c r="U113" s="9" t="n">
        <v>0.3993259414895612</v>
      </c>
      <c r="V113" s="3" t="inlineStr">
        <is>
          <t>C3 回落20MA</t>
        </is>
      </c>
    </row>
    <row r="114">
      <c r="A114" s="2" t="inlineStr">
        <is>
          <t>科技</t>
        </is>
      </c>
      <c r="B114" s="26" t="inlineStr">
        <is>
          <t>UMAC</t>
        </is>
      </c>
      <c r="C114" s="2" t="inlineStr">
        <is>
          <t>Unusual Machines Inc.</t>
        </is>
      </c>
      <c r="D114" s="2" t="inlineStr">
        <is>
          <t>Radio And Television Broadcasting And Communications Equipment</t>
        </is>
      </c>
      <c r="E114" s="2" t="inlineStr">
        <is>
          <t>小型</t>
        </is>
      </c>
      <c r="F114" s="10" t="n">
        <v>24.48</v>
      </c>
      <c r="G114" s="2" t="inlineStr">
        <is>
          <t>2026-05-28</t>
        </is>
      </c>
      <c r="H114" s="15" t="n">
        <v>0.5719596388741373</v>
      </c>
      <c r="I114" s="15" t="n">
        <v>0.3276686139139673</v>
      </c>
      <c r="J114" s="17" t="n">
        <v>10.64185418718781</v>
      </c>
      <c r="K114" s="2" t="inlineStr">
        <is>
          <t>2026-05-19</t>
        </is>
      </c>
      <c r="L114" s="14" t="n">
        <v>1.493411420204978</v>
      </c>
      <c r="M114" s="9" t="n">
        <v>2.1453940060062</v>
      </c>
      <c r="N114" s="2" t="inlineStr">
        <is>
          <t>2026-08-14</t>
        </is>
      </c>
      <c r="O114" s="12" t="n">
        <v>32</v>
      </c>
      <c r="P114" s="15" t="n">
        <v>-0.2812683499706401</v>
      </c>
      <c r="Q114" s="16" t="n">
        <v>0.02924173306144762</v>
      </c>
      <c r="R114" s="2" t="inlineStr">
        <is>
          <t>貼近 MA20</t>
        </is>
      </c>
      <c r="S114" s="2" t="inlineStr">
        <is>
          <t>有</t>
        </is>
      </c>
      <c r="T114" s="9" t="n">
        <v>0.9047673950361497</v>
      </c>
      <c r="U114" s="9" t="n">
        <v>0.4621379320712545</v>
      </c>
      <c r="V114" s="3" t="inlineStr">
        <is>
          <t>C3 回落20MA、C4 波幅減低</t>
        </is>
      </c>
    </row>
    <row r="115">
      <c r="A115" s="2" t="inlineStr">
        <is>
          <t>科技</t>
        </is>
      </c>
      <c r="B115" s="27" t="inlineStr">
        <is>
          <t>SVCO</t>
        </is>
      </c>
      <c r="C115" s="2" t="inlineStr">
        <is>
          <t>Silvaco Group Inc.</t>
        </is>
      </c>
      <c r="D115" s="2" t="inlineStr">
        <is>
          <t>Computer Software: Prepackaged Software</t>
        </is>
      </c>
      <c r="E115" s="2" t="inlineStr">
        <is>
          <t>小型</t>
        </is>
      </c>
      <c r="F115" s="10" t="n">
        <v>8.76</v>
      </c>
      <c r="G115" s="2" t="inlineStr">
        <is>
          <t>2026-06-03</t>
        </is>
      </c>
      <c r="H115" s="15" t="n">
        <v>0.04190632703368946</v>
      </c>
      <c r="I115" s="15" t="n">
        <v>0.07641741988496298</v>
      </c>
      <c r="J115" s="17" t="n">
        <v>5.498264550689164</v>
      </c>
      <c r="K115" s="2" t="inlineStr">
        <is>
          <t>2026-04-10</t>
        </is>
      </c>
      <c r="L115" s="14" t="n">
        <v>0.5621546961325967</v>
      </c>
      <c r="M115" s="9" t="n">
        <v>2.478903334443117</v>
      </c>
      <c r="N115" s="2" t="inlineStr">
        <is>
          <t>2026-07-09</t>
        </is>
      </c>
      <c r="O115" s="12" t="n">
        <v>58</v>
      </c>
      <c r="P115" s="15" t="n">
        <v>-0.2254641909814324</v>
      </c>
      <c r="Q115" s="16" t="n">
        <v>0.2111994469408929</v>
      </c>
      <c r="R115" s="2" t="inlineStr">
        <is>
          <t>仍高於 MA20</t>
        </is>
      </c>
      <c r="S115" s="2" t="inlineStr">
        <is>
          <t>有</t>
        </is>
      </c>
      <c r="T115" s="9" t="n">
        <v>1.121982929615407</v>
      </c>
      <c r="U115" s="9" t="n">
        <v>0.7453080915947946</v>
      </c>
      <c r="V115" s="3" t="inlineStr">
        <is>
          <t>C3 回落20MA、C4 波幅減低</t>
        </is>
      </c>
    </row>
    <row r="116">
      <c r="A116" s="2" t="inlineStr">
        <is>
          <t>科技</t>
        </is>
      </c>
      <c r="B116" s="27" t="inlineStr">
        <is>
          <t>FA</t>
        </is>
      </c>
      <c r="C116" s="2" t="inlineStr">
        <is>
          <t>First Advantage Corporation</t>
        </is>
      </c>
      <c r="D116" s="2" t="inlineStr">
        <is>
          <t>EDP Services</t>
        </is>
      </c>
      <c r="E116" s="2" t="inlineStr">
        <is>
          <t>中型</t>
        </is>
      </c>
      <c r="F116" s="10" t="n">
        <v>17.8</v>
      </c>
      <c r="G116" s="2" t="inlineStr">
        <is>
          <t>2026-06-12</t>
        </is>
      </c>
      <c r="H116" s="15" t="n">
        <v>0.05976863753213357</v>
      </c>
      <c r="I116" s="15" t="n">
        <v>0.05848329048843182</v>
      </c>
      <c r="J116" s="17" t="n">
        <v>3.665567621525152</v>
      </c>
      <c r="K116" s="2" t="inlineStr">
        <is>
          <t>2026-05-06</t>
        </is>
      </c>
      <c r="L116" s="14" t="n">
        <v>0.8843749999999999</v>
      </c>
      <c r="M116" s="9" t="n">
        <v>2.257385179187084</v>
      </c>
      <c r="N116" s="2" t="inlineStr">
        <is>
          <t>2026-08-06</t>
        </is>
      </c>
      <c r="O116" s="12" t="n">
        <v>38</v>
      </c>
      <c r="P116" s="15" t="n">
        <v>-0.2620232172470979</v>
      </c>
      <c r="Q116" s="16" t="n">
        <v>-0.1252426468781498</v>
      </c>
      <c r="R116" s="2" t="inlineStr">
        <is>
          <t>跌穿 MA20</t>
        </is>
      </c>
      <c r="S116" s="2" t="inlineStr">
        <is>
          <t>有</t>
        </is>
      </c>
      <c r="T116" s="9" t="n">
        <v>1.140624174810631</v>
      </c>
      <c r="U116" s="9" t="n">
        <v>0.8034268274045669</v>
      </c>
      <c r="V116" s="3" t="inlineStr">
        <is>
          <t>C3 回落20MA、C4 波幅減低</t>
        </is>
      </c>
    </row>
    <row r="117">
      <c r="A117" s="2" t="inlineStr">
        <is>
          <t>科技</t>
        </is>
      </c>
      <c r="B117" s="27" t="inlineStr">
        <is>
          <t>SHAZ</t>
        </is>
      </c>
      <c r="C117" s="2" t="inlineStr">
        <is>
          <t>SharonAI Holdings Inc. Class A</t>
        </is>
      </c>
      <c r="D117" s="2" t="inlineStr">
        <is>
          <t>EDP Services</t>
        </is>
      </c>
      <c r="E117" s="2" t="inlineStr">
        <is>
          <t>小型</t>
        </is>
      </c>
      <c r="F117" s="10" t="n">
        <v>54.6</v>
      </c>
      <c r="G117" s="2" t="inlineStr">
        <is>
          <t>2026-06-17</t>
        </is>
      </c>
      <c r="H117" s="15" t="n">
        <v>0.1091549295774648</v>
      </c>
      <c r="I117" s="15" t="n">
        <v>0.05633802816901401</v>
      </c>
      <c r="J117" s="17" t="n">
        <v>6.74649453037619</v>
      </c>
      <c r="K117" s="2" t="inlineStr">
        <is>
          <t>2026-04-08</t>
        </is>
      </c>
      <c r="L117" s="14" t="n">
        <v>2.076923076923077</v>
      </c>
      <c r="M117" s="9" t="n">
        <v>14.19918912076199</v>
      </c>
      <c r="N117" s="2" t="inlineStr">
        <is>
          <t>2026-07-09</t>
        </is>
      </c>
      <c r="O117" s="12" t="n">
        <v>58</v>
      </c>
      <c r="P117" s="15" t="n">
        <v>-0.3175</v>
      </c>
      <c r="Q117" s="16" t="n">
        <v>-0.02289748476632691</v>
      </c>
      <c r="R117" s="2" t="inlineStr">
        <is>
          <t>貼近 MA20</t>
        </is>
      </c>
      <c r="S117" s="2" t="inlineStr">
        <is>
          <t>有</t>
        </is>
      </c>
      <c r="T117" s="9" t="n">
        <v>0.6807556585502426</v>
      </c>
      <c r="U117" s="9" t="n">
        <v>0.411219279310742</v>
      </c>
      <c r="V117" s="3" t="inlineStr">
        <is>
          <t>C3 回落20MA</t>
        </is>
      </c>
    </row>
    <row r="118">
      <c r="A118" s="2" t="inlineStr">
        <is>
          <t>科技</t>
        </is>
      </c>
      <c r="B118" s="27" t="inlineStr">
        <is>
          <t>ALAB</t>
        </is>
      </c>
      <c r="C118" s="2" t="inlineStr">
        <is>
          <t>Astera Labs Inc.</t>
        </is>
      </c>
      <c r="D118" s="2" t="inlineStr">
        <is>
          <t>Semiconductors</t>
        </is>
      </c>
      <c r="E118" s="2" t="inlineStr">
        <is>
          <t>大型</t>
        </is>
      </c>
      <c r="F118" s="10" t="n">
        <v>355.97</v>
      </c>
      <c r="G118" s="2" t="inlineStr">
        <is>
          <t>2026-06-18</t>
        </is>
      </c>
      <c r="H118" s="15" t="n">
        <v>0.1131365431835165</v>
      </c>
      <c r="I118" s="15" t="n">
        <v>0.02682288886516493</v>
      </c>
      <c r="J118" s="17" t="n">
        <v>3.686573643572669</v>
      </c>
      <c r="K118" s="2" t="inlineStr">
        <is>
          <t>2026-04-02</t>
        </is>
      </c>
      <c r="L118" s="14" t="n">
        <v>2.694212053952536</v>
      </c>
      <c r="M118" s="9" t="n">
        <v>2.405653807607427</v>
      </c>
      <c r="N118" s="2" t="inlineStr">
        <is>
          <t>2026-07-06</t>
        </is>
      </c>
      <c r="O118" s="12" t="n">
        <v>61</v>
      </c>
      <c r="P118" s="15" t="n">
        <v>-0.1774044460877201</v>
      </c>
      <c r="Q118" s="16" t="n">
        <v>0.1367450267205508</v>
      </c>
      <c r="R118" s="2" t="inlineStr">
        <is>
          <t>仍高於 MA20</t>
        </is>
      </c>
      <c r="S118" s="2" t="inlineStr">
        <is>
          <t>有</t>
        </is>
      </c>
      <c r="T118" s="9" t="n">
        <v>0.7872880106430791</v>
      </c>
      <c r="U118" s="9" t="n">
        <v>0.601988604993264</v>
      </c>
      <c r="V118" s="3" t="inlineStr">
        <is>
          <t>C3 回落20MA</t>
        </is>
      </c>
    </row>
    <row r="119">
      <c r="A119" s="2" t="inlineStr">
        <is>
          <t>科技</t>
        </is>
      </c>
      <c r="B119" s="27" t="inlineStr">
        <is>
          <t>EXFY</t>
        </is>
      </c>
      <c r="C119" s="2" t="inlineStr">
        <is>
          <t>Expensify Inc. Class A</t>
        </is>
      </c>
      <c r="D119" s="2" t="inlineStr">
        <is>
          <t>Computer Software: Prepackaged Software</t>
        </is>
      </c>
      <c r="E119" s="2" t="inlineStr">
        <is>
          <t>小型</t>
        </is>
      </c>
      <c r="F119" s="10" t="n">
        <v>2.25</v>
      </c>
      <c r="G119" s="2" t="inlineStr">
        <is>
          <t>2026-06-18</t>
        </is>
      </c>
      <c r="H119" s="15" t="n">
        <v>0.3</v>
      </c>
      <c r="I119" s="15" t="n">
        <v>0.05000000000000004</v>
      </c>
      <c r="J119" s="17" t="n">
        <v>16.86395072430215</v>
      </c>
      <c r="K119" s="2" t="inlineStr">
        <is>
          <t>2026-05-22</t>
        </is>
      </c>
      <c r="L119" s="14" t="n">
        <v>1.385964912280702</v>
      </c>
      <c r="M119" s="9" t="n">
        <v>3.23814021584701</v>
      </c>
      <c r="N119" s="2" t="inlineStr">
        <is>
          <t>2026-08-24</t>
        </is>
      </c>
      <c r="O119" s="12" t="n">
        <v>26</v>
      </c>
      <c r="P119" s="15" t="n">
        <v>-0.1727941176470589</v>
      </c>
      <c r="Q119" s="16" t="n">
        <v>-0.01982138967545255</v>
      </c>
      <c r="R119" s="2" t="inlineStr">
        <is>
          <t>貼近 MA20</t>
        </is>
      </c>
      <c r="S119" s="2" t="inlineStr">
        <is>
          <t>有</t>
        </is>
      </c>
      <c r="T119" s="9" t="n">
        <v>1.052937515179733</v>
      </c>
      <c r="U119" s="9" t="n">
        <v>0.6604318511784115</v>
      </c>
      <c r="V119" s="3" t="inlineStr">
        <is>
          <t>C3 回落20MA、C4 波幅減低</t>
        </is>
      </c>
    </row>
    <row r="120">
      <c r="A120" s="2" t="inlineStr">
        <is>
          <t>科技</t>
        </is>
      </c>
      <c r="B120" s="27" t="inlineStr">
        <is>
          <t>SSTK</t>
        </is>
      </c>
      <c r="C120" s="2" t="inlineStr">
        <is>
          <t>Shutterstock Inc.</t>
        </is>
      </c>
      <c r="D120" s="2" t="inlineStr">
        <is>
          <t>EDP Services</t>
        </is>
      </c>
      <c r="E120" s="2" t="inlineStr">
        <is>
          <t>小型</t>
        </is>
      </c>
      <c r="F120" s="10" t="n">
        <v>4.22</v>
      </c>
      <c r="G120" s="2" t="inlineStr">
        <is>
          <t>2026-06-22</t>
        </is>
      </c>
      <c r="H120" s="15" t="n">
        <v>0.1883509833585477</v>
      </c>
      <c r="I120" s="15" t="n">
        <v>0.1875945537065051</v>
      </c>
      <c r="J120" s="17" t="n">
        <v>3.43770878182763</v>
      </c>
      <c r="K120" s="2" t="inlineStr">
        <is>
          <t>2026-07-02</t>
        </is>
      </c>
      <c r="L120" s="14" t="n">
        <v>0</v>
      </c>
      <c r="M120" s="9" t="n">
        <v>2.536864029626173</v>
      </c>
      <c r="N120" s="2" t="inlineStr">
        <is>
          <t>2026-07-02</t>
        </is>
      </c>
      <c r="O120" s="12" t="n">
        <v>62</v>
      </c>
      <c r="P120" s="15" t="n">
        <v>-0.5698267074413864</v>
      </c>
      <c r="Q120" s="16" t="n">
        <v>-0.1211995002082462</v>
      </c>
      <c r="R120" s="2" t="inlineStr">
        <is>
          <t>跌穿 MA20</t>
        </is>
      </c>
      <c r="S120" s="2" t="inlineStr"/>
      <c r="T120" s="9" t="n">
        <v>1.055521197282079</v>
      </c>
      <c r="U120" s="9" t="n">
        <v>0.5958830927023316</v>
      </c>
      <c r="V120" s="3" t="inlineStr">
        <is>
          <t>C2 曾有10MA上升、C3 回落20MA、C4 波幅減低</t>
        </is>
      </c>
    </row>
    <row r="121">
      <c r="A121" s="2" t="inlineStr">
        <is>
          <t>科技</t>
        </is>
      </c>
      <c r="B121" s="27" t="inlineStr">
        <is>
          <t>BLZE</t>
        </is>
      </c>
      <c r="C121" s="2" t="inlineStr">
        <is>
          <t>Backblaze Inc. Class A</t>
        </is>
      </c>
      <c r="D121" s="2" t="inlineStr">
        <is>
          <t>Computer Software: Prepackaged Software</t>
        </is>
      </c>
      <c r="E121" s="2" t="inlineStr">
        <is>
          <t>小型</t>
        </is>
      </c>
      <c r="F121" s="10" t="n">
        <v>13.99</v>
      </c>
      <c r="G121" s="2" t="inlineStr">
        <is>
          <t>2026-06-23</t>
        </is>
      </c>
      <c r="H121" s="15" t="n">
        <v>0.4359605911330051</v>
      </c>
      <c r="I121" s="15" t="n">
        <v>0.2697044334975371</v>
      </c>
      <c r="J121" s="17" t="n">
        <v>17.29493558162831</v>
      </c>
      <c r="K121" s="2" t="inlineStr">
        <is>
          <t>2026-05-15</t>
        </is>
      </c>
      <c r="L121" s="14" t="n">
        <v>1.906116642958748</v>
      </c>
      <c r="M121" s="9" t="n">
        <v>4.582142604901126</v>
      </c>
      <c r="N121" s="2" t="inlineStr">
        <is>
          <t>2026-08-13</t>
        </is>
      </c>
      <c r="O121" s="12" t="n">
        <v>33</v>
      </c>
      <c r="P121" s="15" t="n">
        <v>-0.3152227116984826</v>
      </c>
      <c r="Q121" s="16" t="n">
        <v>0.04695977549111419</v>
      </c>
      <c r="R121" s="2" t="inlineStr">
        <is>
          <t>仍高於 MA20</t>
        </is>
      </c>
      <c r="S121" s="2" t="inlineStr"/>
      <c r="T121" s="9" t="n">
        <v>1.029447017868529</v>
      </c>
      <c r="U121" s="9" t="n">
        <v>0.5803818277643765</v>
      </c>
      <c r="V121" s="3" t="inlineStr">
        <is>
          <t>C2 曾有10MA上升、C3 回落20MA、C4 波幅減低</t>
        </is>
      </c>
    </row>
    <row r="122">
      <c r="A122" s="2" t="inlineStr">
        <is>
          <t>科技</t>
        </is>
      </c>
      <c r="B122" s="27" t="inlineStr">
        <is>
          <t>WYY</t>
        </is>
      </c>
      <c r="C122" s="2" t="inlineStr">
        <is>
          <t>WidePoint Corporation</t>
        </is>
      </c>
      <c r="D122" s="2" t="inlineStr">
        <is>
          <t>EDP Services</t>
        </is>
      </c>
      <c r="E122" s="2" t="inlineStr">
        <is>
          <t>小型</t>
        </is>
      </c>
      <c r="F122" s="10" t="n">
        <v>7.88</v>
      </c>
      <c r="G122" s="2" t="inlineStr">
        <is>
          <t>2026-06-25</t>
        </is>
      </c>
      <c r="H122" s="15" t="n">
        <v>0.1464245175936434</v>
      </c>
      <c r="I122" s="15" t="n">
        <v>0.362088535754824</v>
      </c>
      <c r="J122" s="17" t="n">
        <v>35.39665556664222</v>
      </c>
      <c r="K122" s="2" t="inlineStr">
        <is>
          <t>2026-04-22</t>
        </is>
      </c>
      <c r="L122" s="14" t="n">
        <v>2.416309012875536</v>
      </c>
      <c r="M122" s="9" t="n">
        <v>29.32960571389747</v>
      </c>
      <c r="N122" s="2" t="inlineStr">
        <is>
          <t>2026-07-02</t>
        </is>
      </c>
      <c r="O122" s="12" t="n">
        <v>62</v>
      </c>
      <c r="P122" s="15" t="n">
        <v>-0.5050251256281407</v>
      </c>
      <c r="Q122" s="16" t="n">
        <v>-0.2436894135713612</v>
      </c>
      <c r="R122" s="2" t="inlineStr">
        <is>
          <t>跌穿 MA20</t>
        </is>
      </c>
      <c r="S122" s="2" t="inlineStr">
        <is>
          <t>有</t>
        </is>
      </c>
      <c r="T122" s="9" t="n">
        <v>2.256002673998293</v>
      </c>
      <c r="U122" s="9" t="n">
        <v>1.889280416898283</v>
      </c>
      <c r="V122" s="3" t="inlineStr">
        <is>
          <t>C3 回落20MA、C4 波幅減低</t>
        </is>
      </c>
    </row>
    <row r="123">
      <c r="A123" s="2" t="inlineStr">
        <is>
          <t>科技</t>
        </is>
      </c>
      <c r="B123" s="27" t="inlineStr">
        <is>
          <t>VREX</t>
        </is>
      </c>
      <c r="C123" s="2" t="inlineStr">
        <is>
          <t>Varex Imaging Corporation</t>
        </is>
      </c>
      <c r="D123" s="2" t="inlineStr">
        <is>
          <t>Industrial Machinery/Components</t>
        </is>
      </c>
      <c r="E123" s="2" t="inlineStr">
        <is>
          <t>小型</t>
        </is>
      </c>
      <c r="F123" s="10" t="n">
        <v>18.45</v>
      </c>
      <c r="G123" s="2" t="inlineStr">
        <is>
          <t>2026-08-10</t>
        </is>
      </c>
      <c r="H123" s="15" t="n">
        <v>0.4875100725221595</v>
      </c>
      <c r="I123" s="15" t="n">
        <v>0.4818694601128122</v>
      </c>
      <c r="J123" s="17" t="n">
        <v>32.33688213671203</v>
      </c>
      <c r="K123" s="2" t="inlineStr">
        <is>
          <t>2026-05-19</t>
        </is>
      </c>
      <c r="L123" s="14" t="n">
        <v>0.9935622317596564</v>
      </c>
      <c r="M123" s="9" t="n">
        <v>2.439745837113192</v>
      </c>
      <c r="N123" s="2" t="inlineStr">
        <is>
          <t>2026-08-11</t>
        </is>
      </c>
      <c r="O123" s="12" t="n">
        <v>35</v>
      </c>
      <c r="P123" s="15" t="n">
        <v>-0.006996770721205525</v>
      </c>
      <c r="Q123" s="16" t="n">
        <v>-0.001488296576912296</v>
      </c>
      <c r="R123" s="2" t="inlineStr">
        <is>
          <t>貼近 MA20</t>
        </is>
      </c>
      <c r="S123" s="2" t="inlineStr">
        <is>
          <t>有</t>
        </is>
      </c>
      <c r="T123" s="9" t="n">
        <v>0.8693347392494728</v>
      </c>
      <c r="U123" s="9" t="n">
        <v>0.03641765536179054</v>
      </c>
      <c r="V123" s="3" t="inlineStr">
        <is>
          <t>C3 回落20MA</t>
        </is>
      </c>
    </row>
    <row r="124">
      <c r="A124" s="2" t="inlineStr">
        <is>
          <t>科技</t>
        </is>
      </c>
      <c r="B124" s="27" t="inlineStr">
        <is>
          <t>QMCO</t>
        </is>
      </c>
      <c r="C124" s="2" t="inlineStr">
        <is>
          <t>Quantum Corporation</t>
        </is>
      </c>
      <c r="D124" s="2" t="inlineStr">
        <is>
          <t>Electronic Components</t>
        </is>
      </c>
      <c r="E124" s="2" t="inlineStr">
        <is>
          <t>小型</t>
        </is>
      </c>
      <c r="F124" s="10" t="n">
        <v>31.72</v>
      </c>
      <c r="G124" s="2" t="inlineStr">
        <is>
          <t>2026-08-11</t>
        </is>
      </c>
      <c r="H124" s="15" t="n">
        <v>0.6468590831918506</v>
      </c>
      <c r="I124" s="15" t="n">
        <v>0.2325976230899831</v>
      </c>
      <c r="J124" s="17" t="n">
        <v>13.18019877736775</v>
      </c>
      <c r="K124" s="2" t="inlineStr">
        <is>
          <t>2026-07-16</t>
        </is>
      </c>
      <c r="L124" s="14" t="n">
        <v>2.422916666666667</v>
      </c>
      <c r="M124" s="9" t="n">
        <v>3.096727687546363</v>
      </c>
      <c r="N124" s="2" t="inlineStr">
        <is>
          <t>2026-09-29</t>
        </is>
      </c>
      <c r="O124" s="12" t="n">
        <v>1</v>
      </c>
      <c r="P124" s="15" t="n">
        <v>-0.03469263542300671</v>
      </c>
      <c r="Q124" s="16" t="n">
        <v>0.2154653791623558</v>
      </c>
      <c r="R124" s="2" t="inlineStr">
        <is>
          <t>仍高於 MA20</t>
        </is>
      </c>
      <c r="S124" s="2" t="inlineStr">
        <is>
          <t>有</t>
        </is>
      </c>
      <c r="T124" s="9" t="n">
        <v>1.376501601777071</v>
      </c>
      <c r="U124" s="9" t="n">
        <v>1.151208965567008</v>
      </c>
      <c r="V124" s="3" t="inlineStr">
        <is>
          <t>C3 回落20MA、C4 波幅減低</t>
        </is>
      </c>
    </row>
    <row r="125">
      <c r="A125" s="2" t="inlineStr">
        <is>
          <t>科技</t>
        </is>
      </c>
      <c r="B125" s="27" t="inlineStr">
        <is>
          <t>DAIC</t>
        </is>
      </c>
      <c r="C125" s="2" t="inlineStr">
        <is>
          <t>CID HoldCo Inc.</t>
        </is>
      </c>
      <c r="D125" s="2" t="inlineStr">
        <is>
          <t>EDP Services</t>
        </is>
      </c>
      <c r="E125" s="2" t="inlineStr">
        <is>
          <t>小型</t>
        </is>
      </c>
      <c r="F125" s="10" t="n">
        <v>2.68</v>
      </c>
      <c r="G125" s="2" t="inlineStr">
        <is>
          <t>2026-08-24</t>
        </is>
      </c>
      <c r="H125" s="15" t="n">
        <v>3.061032863849765</v>
      </c>
      <c r="I125" s="15" t="n">
        <v>1.535211267605634</v>
      </c>
      <c r="J125" s="17" t="n">
        <v>183.5029043676807</v>
      </c>
      <c r="K125" s="2" t="inlineStr">
        <is>
          <t>2026-08-19</t>
        </is>
      </c>
      <c r="L125" s="14" t="n">
        <v>12.71428571428571</v>
      </c>
      <c r="M125" s="9" t="n">
        <v>74.48132139362605</v>
      </c>
      <c r="N125" s="2" t="inlineStr">
        <is>
          <t>2026-08-27</t>
        </is>
      </c>
      <c r="O125" s="12" t="n">
        <v>23</v>
      </c>
      <c r="P125" s="15" t="n">
        <v>-0.5347222222222221</v>
      </c>
      <c r="Q125" s="16" t="n">
        <v>-0.131983805668029</v>
      </c>
      <c r="R125" s="2" t="inlineStr">
        <is>
          <t>跌穿 MA20</t>
        </is>
      </c>
      <c r="S125" s="2" t="inlineStr">
        <is>
          <t>有</t>
        </is>
      </c>
      <c r="T125" s="9" t="n">
        <v>0.3191595017638958</v>
      </c>
      <c r="U125" s="9" t="n">
        <v>0.05619030873226713</v>
      </c>
      <c r="V125" s="3" t="inlineStr">
        <is>
          <t>C3 回落20MA</t>
        </is>
      </c>
    </row>
    <row r="126">
      <c r="A126" s="2" t="inlineStr">
        <is>
          <t>非必需消費</t>
        </is>
      </c>
      <c r="B126" s="27" t="inlineStr">
        <is>
          <t>SPIR</t>
        </is>
      </c>
      <c r="C126" s="2" t="inlineStr">
        <is>
          <t>Spire Global Inc. Class A</t>
        </is>
      </c>
      <c r="D126" s="2" t="inlineStr">
        <is>
          <t>Telecommunications Equipment</t>
        </is>
      </c>
      <c r="E126" s="2" t="inlineStr">
        <is>
          <t>小型</t>
        </is>
      </c>
      <c r="F126" s="10" t="n">
        <v>11.18</v>
      </c>
      <c r="G126" s="2" t="inlineStr">
        <is>
          <t>2026-04-08</t>
        </is>
      </c>
      <c r="H126" s="15" t="n">
        <v>0.3166345536287734</v>
      </c>
      <c r="I126" s="15" t="n">
        <v>0.02761721258831074</v>
      </c>
      <c r="J126" s="17" t="n">
        <v>8.336404324748427</v>
      </c>
      <c r="K126" s="2" t="inlineStr">
        <is>
          <t>2026-04-01</t>
        </is>
      </c>
      <c r="L126" s="14" t="n">
        <v>0.3781763826606876</v>
      </c>
      <c r="M126" s="9" t="n">
        <v>4.779198369529761</v>
      </c>
      <c r="N126" s="2" t="inlineStr">
        <is>
          <t>2026-07-02</t>
        </is>
      </c>
      <c r="O126" s="12" t="n">
        <v>62</v>
      </c>
      <c r="P126" s="15" t="n">
        <v>-0.3937093275488071</v>
      </c>
      <c r="Q126" s="16" t="n">
        <v>-0.04794345567572045</v>
      </c>
      <c r="R126" s="2" t="inlineStr">
        <is>
          <t>跌穿 MA20</t>
        </is>
      </c>
      <c r="S126" s="2" t="inlineStr">
        <is>
          <t>有</t>
        </is>
      </c>
      <c r="T126" s="9" t="n">
        <v>1.154143433810451</v>
      </c>
      <c r="U126" s="9" t="n">
        <v>0.5959740228363644</v>
      </c>
      <c r="V126" s="3" t="inlineStr">
        <is>
          <t>C3 回落20MA、C4 波幅減低</t>
        </is>
      </c>
    </row>
    <row r="127">
      <c r="A127" s="2" t="inlineStr">
        <is>
          <t>非必需消費</t>
        </is>
      </c>
      <c r="B127" s="27" t="inlineStr">
        <is>
          <t>GRPN</t>
        </is>
      </c>
      <c r="C127" s="2" t="inlineStr">
        <is>
          <t>Groupon Inc.</t>
        </is>
      </c>
      <c r="D127" s="2" t="inlineStr">
        <is>
          <t>Advertising</t>
        </is>
      </c>
      <c r="E127" s="2" t="inlineStr">
        <is>
          <t>小型</t>
        </is>
      </c>
      <c r="F127" s="10" t="n">
        <v>19.76</v>
      </c>
      <c r="G127" s="2" t="inlineStr">
        <is>
          <t>2026-04-21</t>
        </is>
      </c>
      <c r="H127" s="15" t="n">
        <v>0.1143812709030101</v>
      </c>
      <c r="I127" s="15" t="n">
        <v>0.1692307692307693</v>
      </c>
      <c r="J127" s="17" t="n">
        <v>5.902596060686575</v>
      </c>
      <c r="K127" s="2" t="inlineStr">
        <is>
          <t>2026-04-15</t>
        </is>
      </c>
      <c r="L127" s="14" t="n">
        <v>1.212074303405573</v>
      </c>
      <c r="M127" s="9" t="n">
        <v>2.483447507380627</v>
      </c>
      <c r="N127" s="2" t="inlineStr">
        <is>
          <t>2026-07-16</t>
        </is>
      </c>
      <c r="O127" s="12" t="n">
        <v>53</v>
      </c>
      <c r="P127" s="15" t="n">
        <v>-0.3086074177746675</v>
      </c>
      <c r="Q127" s="16" t="n">
        <v>0.01087095536513916</v>
      </c>
      <c r="R127" s="2" t="inlineStr">
        <is>
          <t>貼近 MA20</t>
        </is>
      </c>
      <c r="S127" s="2" t="inlineStr">
        <is>
          <t>有</t>
        </is>
      </c>
      <c r="T127" s="9" t="n">
        <v>0.9470979530139286</v>
      </c>
      <c r="U127" s="9" t="n">
        <v>0.5483260116534292</v>
      </c>
      <c r="V127" s="3" t="inlineStr">
        <is>
          <t>C3 回落20MA、C4 波幅減低</t>
        </is>
      </c>
    </row>
    <row r="128">
      <c r="A128" s="2" t="inlineStr">
        <is>
          <t>非必需消費</t>
        </is>
      </c>
      <c r="B128" s="27" t="inlineStr">
        <is>
          <t>ELA</t>
        </is>
      </c>
      <c r="C128" s="2" t="inlineStr">
        <is>
          <t>Envela Corporation</t>
        </is>
      </c>
      <c r="D128" s="2" t="inlineStr">
        <is>
          <t>Consumer Specialties</t>
        </is>
      </c>
      <c r="E128" s="2" t="inlineStr">
        <is>
          <t>小型</t>
        </is>
      </c>
      <c r="F128" s="10" t="n">
        <v>12.08</v>
      </c>
      <c r="G128" s="2" t="inlineStr">
        <is>
          <t>2026-05-07</t>
        </is>
      </c>
      <c r="H128" s="15" t="n">
        <v>0.2126107347576862</v>
      </c>
      <c r="I128" s="15" t="n">
        <v>0.1000521104742051</v>
      </c>
      <c r="J128" s="17" t="n">
        <v>3.956810520343113</v>
      </c>
      <c r="K128" s="2" t="inlineStr">
        <is>
          <t>2026-05-04</t>
        </is>
      </c>
      <c r="L128" s="14" t="n">
        <v>0.5250596658711215</v>
      </c>
      <c r="M128" s="9" t="n">
        <v>2.013465350481116</v>
      </c>
      <c r="N128" s="2" t="inlineStr">
        <is>
          <t>2026-07-02</t>
        </is>
      </c>
      <c r="O128" s="12" t="n">
        <v>62</v>
      </c>
      <c r="P128" s="15" t="n">
        <v>-0.5273865414710485</v>
      </c>
      <c r="Q128" s="16" t="n">
        <v>-0.07810890220170086</v>
      </c>
      <c r="R128" s="2" t="inlineStr">
        <is>
          <t>跌穿 MA20</t>
        </is>
      </c>
      <c r="S128" s="2" t="inlineStr"/>
      <c r="T128" s="9" t="n">
        <v>0.9263677615556635</v>
      </c>
      <c r="U128" s="9" t="n">
        <v>0.5140402884876371</v>
      </c>
      <c r="V128" s="3" t="inlineStr">
        <is>
          <t>C2 曾有10MA上升、C3 回落20MA、C4 波幅減低</t>
        </is>
      </c>
    </row>
    <row r="129">
      <c r="A129" s="2" t="inlineStr">
        <is>
          <t>非必需消費</t>
        </is>
      </c>
      <c r="B129" s="27" t="inlineStr">
        <is>
          <t>PTRN</t>
        </is>
      </c>
      <c r="C129" s="2" t="inlineStr">
        <is>
          <t>Pattern Group Inc. Series A</t>
        </is>
      </c>
      <c r="D129" s="2" t="inlineStr">
        <is>
          <t>Catalog/Specialty Distribution</t>
        </is>
      </c>
      <c r="E129" s="2" t="inlineStr">
        <is>
          <t>中型</t>
        </is>
      </c>
      <c r="F129" s="10" t="n">
        <v>17.16</v>
      </c>
      <c r="G129" s="2" t="inlineStr">
        <is>
          <t>2026-05-07</t>
        </is>
      </c>
      <c r="H129" s="15" t="n">
        <v>0.1894736842105262</v>
      </c>
      <c r="I129" s="15" t="n">
        <v>0.0378947368421052</v>
      </c>
      <c r="J129" s="17" t="n">
        <v>5.299899703659565</v>
      </c>
      <c r="K129" s="2" t="inlineStr">
        <is>
          <t>2026-04-10</t>
        </is>
      </c>
      <c r="L129" s="14" t="n">
        <v>1.363344051446945</v>
      </c>
      <c r="M129" s="9" t="n">
        <v>2.924001896346249</v>
      </c>
      <c r="N129" s="2" t="inlineStr">
        <is>
          <t>2026-07-09</t>
        </is>
      </c>
      <c r="O129" s="12" t="n">
        <v>58</v>
      </c>
      <c r="P129" s="15" t="n">
        <v>-0.4163265306122449</v>
      </c>
      <c r="Q129" s="16" t="n">
        <v>-0.1068314899154207</v>
      </c>
      <c r="R129" s="2" t="inlineStr">
        <is>
          <t>跌穿 MA20</t>
        </is>
      </c>
      <c r="S129" s="2" t="inlineStr"/>
      <c r="T129" s="9" t="n">
        <v>1.288347381793244</v>
      </c>
      <c r="U129" s="9" t="n">
        <v>1.089270208405841</v>
      </c>
      <c r="V129" s="3" t="inlineStr">
        <is>
          <t>C2 曾有10MA上升、C3 回落20MA、C4 波幅減低</t>
        </is>
      </c>
    </row>
    <row r="130">
      <c r="A130" s="2" t="inlineStr">
        <is>
          <t>非必需消費</t>
        </is>
      </c>
      <c r="B130" s="27" t="inlineStr">
        <is>
          <t>DBGI</t>
        </is>
      </c>
      <c r="C130" s="2" t="inlineStr">
        <is>
          <t>Digital Brands Group Inc.</t>
        </is>
      </c>
      <c r="D130" s="2" t="inlineStr">
        <is>
          <t>Clothing/Shoe/Accessory Stores</t>
        </is>
      </c>
      <c r="E130" s="2" t="inlineStr">
        <is>
          <t>小型</t>
        </is>
      </c>
      <c r="F130" s="10" t="n">
        <v>4.79</v>
      </c>
      <c r="G130" s="2" t="inlineStr">
        <is>
          <t>2026-05-21</t>
        </is>
      </c>
      <c r="H130" s="15" t="n">
        <v>-0.5617647058823529</v>
      </c>
      <c r="I130" s="15" t="n">
        <v>0.05882352941176494</v>
      </c>
      <c r="J130" s="17" t="n">
        <v>95.79734454477132</v>
      </c>
      <c r="K130" s="2" t="inlineStr">
        <is>
          <t>2026-05-26</t>
        </is>
      </c>
      <c r="L130" s="14" t="n">
        <v>1.679310344827586</v>
      </c>
      <c r="M130" s="9" t="n">
        <v>4.283625007083672</v>
      </c>
      <c r="N130" s="2" t="inlineStr">
        <is>
          <t>2026-07-10</t>
        </is>
      </c>
      <c r="O130" s="12" t="n">
        <v>57</v>
      </c>
      <c r="P130" s="15" t="n">
        <v>-0.8458815958815958</v>
      </c>
      <c r="Q130" s="16" t="n">
        <v>0.0229578216765185</v>
      </c>
      <c r="R130" s="2" t="inlineStr">
        <is>
          <t>貼近 MA20</t>
        </is>
      </c>
      <c r="S130" s="2" t="inlineStr"/>
      <c r="T130" s="9" t="n">
        <v>0.6447371952104938</v>
      </c>
      <c r="U130" s="9" t="n">
        <v>0.584530999627773</v>
      </c>
      <c r="V130" s="3" t="inlineStr">
        <is>
          <t>C2 曾有10MA上升、C3 回落20MA</t>
        </is>
      </c>
    </row>
    <row r="131">
      <c r="A131" s="2" t="inlineStr">
        <is>
          <t>非必需消費</t>
        </is>
      </c>
      <c r="B131" s="27" t="inlineStr">
        <is>
          <t>MOV</t>
        </is>
      </c>
      <c r="C131" s="2" t="inlineStr">
        <is>
          <t>Movado Group Inc.</t>
        </is>
      </c>
      <c r="D131" s="2" t="inlineStr">
        <is>
          <t>Consumer Specialties</t>
        </is>
      </c>
      <c r="E131" s="2" t="inlineStr">
        <is>
          <t>小型</t>
        </is>
      </c>
      <c r="F131" s="10" t="n">
        <v>33.28</v>
      </c>
      <c r="G131" s="2" t="inlineStr">
        <is>
          <t>2026-05-27</t>
        </is>
      </c>
      <c r="H131" s="15" t="n">
        <v>0.1498993963782695</v>
      </c>
      <c r="I131" s="15" t="n">
        <v>0.06036217303822933</v>
      </c>
      <c r="J131" s="17" t="n">
        <v>4.250864173057624</v>
      </c>
      <c r="K131" s="2" t="inlineStr">
        <is>
          <t>2026-05-19</t>
        </is>
      </c>
      <c r="L131" s="14" t="n">
        <v>0.5085324232081911</v>
      </c>
      <c r="M131" s="9" t="n">
        <v>2.939112398984885</v>
      </c>
      <c r="N131" s="2" t="inlineStr">
        <is>
          <t>2026-07-16</t>
        </is>
      </c>
      <c r="O131" s="12" t="n">
        <v>53</v>
      </c>
      <c r="P131" s="15" t="n">
        <v>-0.1633986928104575</v>
      </c>
      <c r="Q131" s="16" t="n">
        <v>0.0006915837267351677</v>
      </c>
      <c r="R131" s="2" t="inlineStr">
        <is>
          <t>貼近 MA20</t>
        </is>
      </c>
      <c r="S131" s="2" t="inlineStr"/>
      <c r="T131" s="9" t="n">
        <v>0.960804658192337</v>
      </c>
      <c r="U131" s="9" t="n">
        <v>0.6164131231407821</v>
      </c>
      <c r="V131" s="3" t="inlineStr">
        <is>
          <t>C2 曾有10MA上升、C3 回落20MA、C4 波幅減低</t>
        </is>
      </c>
    </row>
    <row r="132">
      <c r="A132" s="2" t="inlineStr">
        <is>
          <t>非必需消費</t>
        </is>
      </c>
      <c r="B132" s="27" t="inlineStr">
        <is>
          <t>BBCP</t>
        </is>
      </c>
      <c r="C132" s="2" t="inlineStr">
        <is>
          <t>Concrete Pumping Holdings Inc.</t>
        </is>
      </c>
      <c r="D132" s="2" t="inlineStr">
        <is>
          <t>Engineering &amp; Construction</t>
        </is>
      </c>
      <c r="E132" s="2" t="inlineStr">
        <is>
          <t>小型</t>
        </is>
      </c>
      <c r="F132" s="10" t="n">
        <v>9.69</v>
      </c>
      <c r="G132" s="2" t="inlineStr">
        <is>
          <t>2026-06-05</t>
        </is>
      </c>
      <c r="H132" s="15" t="n">
        <v>0.307017543859649</v>
      </c>
      <c r="I132" s="15" t="n">
        <v>0.4172932330827068</v>
      </c>
      <c r="J132" s="17" t="n">
        <v>28.48487192378595</v>
      </c>
      <c r="K132" s="2" t="inlineStr">
        <is>
          <t>2026-04-02</t>
        </is>
      </c>
      <c r="L132" s="14" t="n">
        <v>0.6045845272206303</v>
      </c>
      <c r="M132" s="9" t="n">
        <v>3.245676448025437</v>
      </c>
      <c r="N132" s="2" t="inlineStr">
        <is>
          <t>2026-07-06</t>
        </is>
      </c>
      <c r="O132" s="12" t="n">
        <v>61</v>
      </c>
      <c r="P132" s="15" t="n">
        <v>-0.1348214285714285</v>
      </c>
      <c r="Q132" s="16" t="n">
        <v>-0.02168151644413163</v>
      </c>
      <c r="R132" s="2" t="inlineStr">
        <is>
          <t>貼近 MA20</t>
        </is>
      </c>
      <c r="S132" s="2" t="inlineStr">
        <is>
          <t>有</t>
        </is>
      </c>
      <c r="T132" s="9" t="n">
        <v>0.7509125251814192</v>
      </c>
      <c r="U132" s="9" t="n">
        <v>0.6614702947688469</v>
      </c>
      <c r="V132" s="3" t="inlineStr">
        <is>
          <t>C3 回落20MA</t>
        </is>
      </c>
    </row>
    <row r="133">
      <c r="A133" s="2" t="inlineStr">
        <is>
          <t>非必需消費</t>
        </is>
      </c>
      <c r="B133" s="27" t="inlineStr">
        <is>
          <t>MPAA</t>
        </is>
      </c>
      <c r="C133" s="2" t="inlineStr">
        <is>
          <t>Motorcar Parts  of America Inc.</t>
        </is>
      </c>
      <c r="D133" s="2" t="inlineStr">
        <is>
          <t>Auto Parts:O.E.M.</t>
        </is>
      </c>
      <c r="E133" s="2" t="inlineStr">
        <is>
          <t>小型</t>
        </is>
      </c>
      <c r="F133" s="10" t="n">
        <v>10.49</v>
      </c>
      <c r="G133" s="2" t="inlineStr">
        <is>
          <t>2026-06-08</t>
        </is>
      </c>
      <c r="H133" s="15" t="n">
        <v>0.3456090651558075</v>
      </c>
      <c r="I133" s="15" t="n">
        <v>0.3229461756373937</v>
      </c>
      <c r="J133" s="17" t="n">
        <v>12.33603029781374</v>
      </c>
      <c r="K133" s="2" t="inlineStr">
        <is>
          <t>2026-05-19</t>
        </is>
      </c>
      <c r="L133" s="14" t="n">
        <v>0.4011461318051575</v>
      </c>
      <c r="M133" s="9" t="n">
        <v>2.203657979668966</v>
      </c>
      <c r="N133" s="2" t="inlineStr">
        <is>
          <t>2026-07-02</t>
        </is>
      </c>
      <c r="O133" s="12" t="n">
        <v>62</v>
      </c>
      <c r="P133" s="15" t="n">
        <v>-0.2849352419904567</v>
      </c>
      <c r="Q133" s="16" t="n">
        <v>-0.04196538654733006</v>
      </c>
      <c r="R133" s="2" t="inlineStr">
        <is>
          <t>跌穿 MA20</t>
        </is>
      </c>
      <c r="S133" s="2" t="inlineStr"/>
      <c r="T133" s="9" t="n">
        <v>0.9055768435596593</v>
      </c>
      <c r="U133" s="9" t="n">
        <v>0.4561507142867616</v>
      </c>
      <c r="V133" s="3" t="inlineStr">
        <is>
          <t>C2 曾有10MA上升、C3 回落20MA、C4 波幅減低</t>
        </is>
      </c>
    </row>
    <row r="134">
      <c r="A134" s="2" t="inlineStr">
        <is>
          <t>非必需消費</t>
        </is>
      </c>
      <c r="B134" s="27" t="inlineStr">
        <is>
          <t>PAYO</t>
        </is>
      </c>
      <c r="C134" s="2" t="inlineStr">
        <is>
          <t>Payoneer Global Inc.</t>
        </is>
      </c>
      <c r="D134" s="2" t="inlineStr">
        <is>
          <t>Business Services</t>
        </is>
      </c>
      <c r="E134" s="2" t="inlineStr">
        <is>
          <t>中型</t>
        </is>
      </c>
      <c r="F134" s="10" t="n">
        <v>7.14</v>
      </c>
      <c r="G134" s="2" t="inlineStr">
        <is>
          <t>2026-06-09</t>
        </is>
      </c>
      <c r="H134" s="15" t="n">
        <v>0.2431906614785992</v>
      </c>
      <c r="I134" s="15" t="n">
        <v>0.01167315175097294</v>
      </c>
      <c r="J134" s="17" t="n">
        <v>14.06020861610345</v>
      </c>
      <c r="K134" s="2" t="inlineStr">
        <is>
          <t>2026-06-05</t>
        </is>
      </c>
      <c r="L134" s="14" t="n">
        <v>0.4246031746031744</v>
      </c>
      <c r="M134" s="9" t="n">
        <v>2.418518160286512</v>
      </c>
      <c r="N134" s="2" t="inlineStr">
        <is>
          <t>2026-09-03</t>
        </is>
      </c>
      <c r="O134" s="12" t="n">
        <v>18</v>
      </c>
      <c r="P134" s="15" t="n">
        <v>-0.005571030640668551</v>
      </c>
      <c r="Q134" s="16" t="n">
        <v>0.0006306495690511227</v>
      </c>
      <c r="R134" s="2" t="inlineStr">
        <is>
          <t>貼近 MA20</t>
        </is>
      </c>
      <c r="S134" s="2" t="inlineStr"/>
      <c r="T134" s="9" t="n">
        <v>0.9001144664518054</v>
      </c>
      <c r="U134" s="9" t="n">
        <v>0.3397493475292486</v>
      </c>
      <c r="V134" s="3" t="inlineStr">
        <is>
          <t>C2 曾有10MA上升、C3 回落20MA、C4 波幅減低</t>
        </is>
      </c>
    </row>
    <row r="135">
      <c r="A135" s="2" t="inlineStr">
        <is>
          <t>非必需消費</t>
        </is>
      </c>
      <c r="B135" s="27" t="inlineStr">
        <is>
          <t>RTB</t>
        </is>
      </c>
      <c r="C135" s="2" t="inlineStr">
        <is>
          <t>RTB Digital Inc.</t>
        </is>
      </c>
      <c r="D135" s="2" t="inlineStr">
        <is>
          <t>Professional Services</t>
        </is>
      </c>
      <c r="E135" s="2" t="inlineStr">
        <is>
          <t>小型</t>
        </is>
      </c>
      <c r="F135" s="10" t="n">
        <v>8.859999999999999</v>
      </c>
      <c r="G135" s="2" t="inlineStr">
        <is>
          <t>2026-06-22</t>
        </is>
      </c>
      <c r="H135" s="15" t="n">
        <v>0.2156097560975612</v>
      </c>
      <c r="I135" s="15" t="n">
        <v>0.009756097560975618</v>
      </c>
      <c r="J135" s="17" t="n">
        <v>32.29370272796805</v>
      </c>
      <c r="K135" s="2" t="inlineStr">
        <is>
          <t>2026-06-05</t>
        </is>
      </c>
      <c r="L135" s="14" t="n">
        <v>4.755223880597015</v>
      </c>
      <c r="M135" s="9" t="n">
        <v>10.25468394182582</v>
      </c>
      <c r="N135" s="2" t="inlineStr">
        <is>
          <t>2026-07-08</t>
        </is>
      </c>
      <c r="O135" s="12" t="n">
        <v>59</v>
      </c>
      <c r="P135" s="15" t="n">
        <v>-0.5404564315352698</v>
      </c>
      <c r="Q135" s="16" t="n">
        <v>-0.03706118900120026</v>
      </c>
      <c r="R135" s="2" t="inlineStr">
        <is>
          <t>跌穿 MA20</t>
        </is>
      </c>
      <c r="S135" s="2" t="inlineStr"/>
      <c r="T135" s="9" t="n">
        <v>0.5720205137352565</v>
      </c>
      <c r="U135" s="9" t="n">
        <v>0.3997624189634859</v>
      </c>
      <c r="V135" s="3" t="inlineStr">
        <is>
          <t>C2 曾有10MA上升、C3 回落20MA</t>
        </is>
      </c>
    </row>
    <row r="136">
      <c r="A136" s="2" t="inlineStr">
        <is>
          <t>非必需消費</t>
        </is>
      </c>
      <c r="B136" s="27" t="inlineStr">
        <is>
          <t>COOK</t>
        </is>
      </c>
      <c r="C136" s="2" t="inlineStr">
        <is>
          <t>Traeger Inc.</t>
        </is>
      </c>
      <c r="D136" s="2" t="inlineStr">
        <is>
          <t>Consumer Electronics/Appliances</t>
        </is>
      </c>
      <c r="E136" s="2" t="inlineStr">
        <is>
          <t>小型</t>
        </is>
      </c>
      <c r="F136" s="10" t="n">
        <v>48.34</v>
      </c>
      <c r="G136" s="2" t="inlineStr">
        <is>
          <t>2026-06-24</t>
        </is>
      </c>
      <c r="H136" s="15" t="n">
        <v>0.1416727272727272</v>
      </c>
      <c r="I136" s="15" t="n">
        <v>0.01105454545454543</v>
      </c>
      <c r="J136" s="17" t="n">
        <v>7.263545702852062</v>
      </c>
      <c r="K136" s="2" t="inlineStr">
        <is>
          <t>2026-04-01</t>
        </is>
      </c>
      <c r="L136" s="14" t="n">
        <v>1.480013436345314</v>
      </c>
      <c r="M136" s="9" t="n">
        <v>5.506944062835128</v>
      </c>
      <c r="N136" s="2" t="inlineStr">
        <is>
          <t>2026-07-02</t>
        </is>
      </c>
      <c r="O136" s="12" t="n">
        <v>62</v>
      </c>
      <c r="P136" s="15" t="n">
        <v>-0.3452526073411891</v>
      </c>
      <c r="Q136" s="16" t="n">
        <v>-0.005165565639727143</v>
      </c>
      <c r="R136" s="2" t="inlineStr">
        <is>
          <t>貼近 MA20</t>
        </is>
      </c>
      <c r="S136" s="2" t="inlineStr"/>
      <c r="T136" s="9" t="n">
        <v>1.378192716056022</v>
      </c>
      <c r="U136" s="9" t="n">
        <v>0.7107179990749838</v>
      </c>
      <c r="V136" s="3" t="inlineStr">
        <is>
          <t>C2 曾有10MA上升、C3 回落20MA、C4 波幅減低</t>
        </is>
      </c>
    </row>
    <row r="137">
      <c r="A137" s="2" t="inlineStr">
        <is>
          <t>非必需消費</t>
        </is>
      </c>
      <c r="B137" s="27" t="inlineStr">
        <is>
          <t>WEN</t>
        </is>
      </c>
      <c r="C137" s="2" t="inlineStr">
        <is>
          <t>Wendy's Company (The)</t>
        </is>
      </c>
      <c r="D137" s="2" t="inlineStr">
        <is>
          <t>Restaurants</t>
        </is>
      </c>
      <c r="E137" s="2" t="inlineStr">
        <is>
          <t>小型</t>
        </is>
      </c>
      <c r="F137" s="10" t="n">
        <v>6.38</v>
      </c>
      <c r="G137" s="2" t="inlineStr">
        <is>
          <t>2026-06-24</t>
        </is>
      </c>
      <c r="H137" s="15" t="n">
        <v>0.255591054313099</v>
      </c>
      <c r="I137" s="15" t="n">
        <v>0.2476038338658146</v>
      </c>
      <c r="J137" s="17" t="n">
        <v>19.79926056336703</v>
      </c>
      <c r="K137" s="2" t="inlineStr">
        <is>
          <t>2026-06-22</t>
        </is>
      </c>
      <c r="L137" s="14" t="n">
        <v>0.4781199351701781</v>
      </c>
      <c r="M137" s="9" t="n">
        <v>2.184714188003963</v>
      </c>
      <c r="N137" s="2" t="inlineStr">
        <is>
          <t>2026-08-25</t>
        </is>
      </c>
      <c r="O137" s="12" t="n">
        <v>25</v>
      </c>
      <c r="P137" s="15" t="n">
        <v>-0.3004385964912281</v>
      </c>
      <c r="Q137" s="16" t="n">
        <v>-0.1066302597493548</v>
      </c>
      <c r="R137" s="2" t="inlineStr">
        <is>
          <t>跌穿 MA20</t>
        </is>
      </c>
      <c r="S137" s="2" t="inlineStr">
        <is>
          <t>有</t>
        </is>
      </c>
      <c r="T137" s="9" t="n">
        <v>0.9151703473127101</v>
      </c>
      <c r="U137" s="9" t="n">
        <v>0.5093012908225674</v>
      </c>
      <c r="V137" s="3" t="inlineStr">
        <is>
          <t>C3 回落20MA、C4 波幅減低</t>
        </is>
      </c>
    </row>
    <row r="138">
      <c r="A138" s="2" t="inlineStr">
        <is>
          <t>非必需消費</t>
        </is>
      </c>
      <c r="B138" s="27" t="inlineStr">
        <is>
          <t>PAY</t>
        </is>
      </c>
      <c r="C138" s="2" t="inlineStr">
        <is>
          <t>Paymentus Holdings Inc. Class A</t>
        </is>
      </c>
      <c r="D138" s="2" t="inlineStr">
        <is>
          <t>Business Services</t>
        </is>
      </c>
      <c r="E138" s="2" t="inlineStr">
        <is>
          <t>中型</t>
        </is>
      </c>
      <c r="F138" s="10" t="n">
        <v>30.64</v>
      </c>
      <c r="G138" s="2" t="inlineStr">
        <is>
          <t>2026-06-26</t>
        </is>
      </c>
      <c r="H138" s="15" t="n">
        <v>0.1015514809590974</v>
      </c>
      <c r="I138" s="15" t="n">
        <v>-0.0009402914903620108</v>
      </c>
      <c r="J138" s="17" t="n">
        <v>15.74727079509226</v>
      </c>
      <c r="K138" s="2" t="inlineStr">
        <is>
          <t>2026-06-22</t>
        </is>
      </c>
      <c r="L138" s="14" t="n">
        <v>1.206828302820386</v>
      </c>
      <c r="M138" s="9" t="n">
        <v>2.789710632996025</v>
      </c>
      <c r="N138" s="2" t="inlineStr">
        <is>
          <t>2026-08-04</t>
        </is>
      </c>
      <c r="O138" s="12" t="n">
        <v>40</v>
      </c>
      <c r="P138" s="15" t="n">
        <v>-0.3130044843049328</v>
      </c>
      <c r="Q138" s="16" t="n">
        <v>-0.1016111770828748</v>
      </c>
      <c r="R138" s="2" t="inlineStr">
        <is>
          <t>跌穿 MA20</t>
        </is>
      </c>
      <c r="S138" s="2" t="inlineStr">
        <is>
          <t>有</t>
        </is>
      </c>
      <c r="T138" s="9" t="n">
        <v>0.8063412821669225</v>
      </c>
      <c r="U138" s="9" t="n">
        <v>0.5912506056353358</v>
      </c>
      <c r="V138" s="3" t="inlineStr">
        <is>
          <t>C3 回落20MA</t>
        </is>
      </c>
    </row>
    <row r="139">
      <c r="A139" s="2" t="inlineStr">
        <is>
          <t>非必需消費</t>
        </is>
      </c>
      <c r="B139" s="27" t="inlineStr">
        <is>
          <t>IRDM</t>
        </is>
      </c>
      <c r="C139" s="2" t="inlineStr">
        <is>
          <t>Iridium Communications Inc</t>
        </is>
      </c>
      <c r="D139" s="2" t="inlineStr">
        <is>
          <t>Telecommunications Equipment</t>
        </is>
      </c>
      <c r="E139" s="2" t="inlineStr">
        <is>
          <t>中型</t>
        </is>
      </c>
      <c r="F139" s="10" t="n">
        <v>47.9</v>
      </c>
      <c r="G139" s="2" t="inlineStr">
        <is>
          <t>2026-06-29</t>
        </is>
      </c>
      <c r="H139" s="15" t="n">
        <v>0.2543658088235294</v>
      </c>
      <c r="I139" s="15" t="n">
        <v>0.1893382352941175</v>
      </c>
      <c r="J139" s="17" t="n">
        <v>4.940921006893055</v>
      </c>
      <c r="K139" s="2" t="inlineStr">
        <is>
          <t>2026-04-01</t>
        </is>
      </c>
      <c r="L139" s="14" t="n">
        <v>0.8846423562412342</v>
      </c>
      <c r="M139" s="9" t="n">
        <v>2.511593583207931</v>
      </c>
      <c r="N139" s="2" t="inlineStr">
        <is>
          <t>2026-07-02</t>
        </is>
      </c>
      <c r="O139" s="12" t="n">
        <v>62</v>
      </c>
      <c r="P139" s="15" t="n">
        <v>-0.1088372093023257</v>
      </c>
      <c r="Q139" s="16" t="n">
        <v>0.006207396359586781</v>
      </c>
      <c r="R139" s="2" t="inlineStr">
        <is>
          <t>貼近 MA20</t>
        </is>
      </c>
      <c r="S139" s="2" t="inlineStr"/>
      <c r="T139" s="9" t="n">
        <v>0.9413723055390588</v>
      </c>
      <c r="U139" s="9" t="n">
        <v>0.2612016071895173</v>
      </c>
      <c r="V139" s="3" t="inlineStr">
        <is>
          <t>C2 曾有10MA上升、C3 回落20MA、C4 波幅減低</t>
        </is>
      </c>
    </row>
    <row r="140">
      <c r="A140" s="2" t="inlineStr">
        <is>
          <t>非必需消費</t>
        </is>
      </c>
      <c r="B140" s="27" t="inlineStr">
        <is>
          <t>AMWL</t>
        </is>
      </c>
      <c r="C140" s="2" t="inlineStr">
        <is>
          <t>American Well Corporation Class A</t>
        </is>
      </c>
      <c r="D140" s="2" t="inlineStr">
        <is>
          <t>Business Services</t>
        </is>
      </c>
      <c r="E140" s="2" t="inlineStr">
        <is>
          <t>小型</t>
        </is>
      </c>
      <c r="F140" s="10" t="n">
        <v>13.58</v>
      </c>
      <c r="G140" s="2" t="inlineStr">
        <is>
          <t>2026-07-13</t>
        </is>
      </c>
      <c r="H140" s="15" t="n">
        <v>0.1109989909182643</v>
      </c>
      <c r="I140" s="15" t="n">
        <v>0.001009081735620532</v>
      </c>
      <c r="J140" s="17" t="n">
        <v>4.799895937215453</v>
      </c>
      <c r="K140" s="2" t="inlineStr">
        <is>
          <t>2026-06-22</t>
        </is>
      </c>
      <c r="L140" s="14" t="n">
        <v>0.6873479318734792</v>
      </c>
      <c r="M140" s="9" t="n">
        <v>2.48976158508562</v>
      </c>
      <c r="N140" s="2" t="inlineStr">
        <is>
          <t>2026-09-14</t>
        </is>
      </c>
      <c r="O140" s="12" t="n">
        <v>12</v>
      </c>
      <c r="P140" s="15" t="n">
        <v>-0.02090843547224219</v>
      </c>
      <c r="Q140" s="16" t="n">
        <v>0.02239789196310893</v>
      </c>
      <c r="R140" s="2" t="inlineStr">
        <is>
          <t>貼近 MA20</t>
        </is>
      </c>
      <c r="S140" s="2" t="inlineStr">
        <is>
          <t>有</t>
        </is>
      </c>
      <c r="T140" s="9" t="n">
        <v>0.8166654078763365</v>
      </c>
      <c r="U140" s="9" t="n">
        <v>0.6051895848666311</v>
      </c>
      <c r="V140" s="3" t="inlineStr">
        <is>
          <t>C3 回落20MA</t>
        </is>
      </c>
    </row>
    <row r="141">
      <c r="A141" s="2" t="inlineStr">
        <is>
          <t>非必需消費</t>
        </is>
      </c>
      <c r="B141" s="27" t="inlineStr">
        <is>
          <t>DSGR</t>
        </is>
      </c>
      <c r="C141" s="2" t="inlineStr">
        <is>
          <t>Distribution Solutions Group Inc.</t>
        </is>
      </c>
      <c r="D141" s="2" t="inlineStr">
        <is>
          <t>Industrial Specialties</t>
        </is>
      </c>
      <c r="E141" s="2" t="inlineStr">
        <is>
          <t>小型</t>
        </is>
      </c>
      <c r="F141" s="10" t="n">
        <v>34.9</v>
      </c>
      <c r="G141" s="2" t="inlineStr">
        <is>
          <t>2026-07-16</t>
        </is>
      </c>
      <c r="H141" s="15" t="n">
        <v>0.2529112081513829</v>
      </c>
      <c r="I141" s="15" t="n">
        <v>0.2631004366812226</v>
      </c>
      <c r="J141" s="17" t="n">
        <v>37.84950723893294</v>
      </c>
      <c r="K141" s="2" t="inlineStr">
        <is>
          <t>2026-07-09</t>
        </is>
      </c>
      <c r="L141" s="14" t="n">
        <v>0.3035381750465549</v>
      </c>
      <c r="M141" s="9" t="n">
        <v>4.405351918405405</v>
      </c>
      <c r="N141" s="2" t="inlineStr">
        <is>
          <t>2026-09-28</t>
        </is>
      </c>
      <c r="O141" s="12" t="n">
        <v>2</v>
      </c>
      <c r="P141" s="15" t="n">
        <v>-0.002857142857142891</v>
      </c>
      <c r="Q141" s="16" t="n">
        <v>0.001851559472378694</v>
      </c>
      <c r="R141" s="2" t="inlineStr">
        <is>
          <t>貼近 MA20</t>
        </is>
      </c>
      <c r="S141" s="2" t="inlineStr"/>
      <c r="T141" s="9" t="n">
        <v>0.882112623828383</v>
      </c>
      <c r="U141" s="9" t="n">
        <v>0.2113224699664229</v>
      </c>
      <c r="V141" s="3" t="inlineStr">
        <is>
          <t>C2 曾有10MA上升、C3 回落20MA</t>
        </is>
      </c>
    </row>
    <row r="142">
      <c r="A142" s="2" t="inlineStr">
        <is>
          <t>非必需消費</t>
        </is>
      </c>
      <c r="B142" s="27" t="inlineStr">
        <is>
          <t>DFNS</t>
        </is>
      </c>
      <c r="C142" s="2" t="inlineStr">
        <is>
          <t>T3 Defense Inc.</t>
        </is>
      </c>
      <c r="D142" s="2" t="inlineStr">
        <is>
          <t>Professional Services</t>
        </is>
      </c>
      <c r="E142" s="2" t="inlineStr">
        <is>
          <t>小型</t>
        </is>
      </c>
      <c r="F142" s="10" t="n">
        <v>6.43</v>
      </c>
      <c r="G142" s="2" t="inlineStr">
        <is>
          <t>2026-07-21</t>
        </is>
      </c>
      <c r="H142" s="15" t="n">
        <v>0.5422535211267607</v>
      </c>
      <c r="I142" s="15" t="n">
        <v>-0.01643192488262901</v>
      </c>
      <c r="J142" s="17" t="n">
        <v>116.1255072407733</v>
      </c>
      <c r="K142" s="2" t="inlineStr">
        <is>
          <t>2026-07-23</t>
        </is>
      </c>
      <c r="L142" s="14" t="n">
        <v>20.78974358974359</v>
      </c>
      <c r="M142" s="9" t="n">
        <v>104.1620805562252</v>
      </c>
      <c r="N142" s="2" t="inlineStr">
        <is>
          <t>2026-07-30</t>
        </is>
      </c>
      <c r="O142" s="12" t="n">
        <v>43</v>
      </c>
      <c r="P142" s="15" t="n">
        <v>-0.924335137679454</v>
      </c>
      <c r="Q142" s="16" t="n">
        <v>-0.24419629738457</v>
      </c>
      <c r="R142" s="2" t="inlineStr">
        <is>
          <t>跌穿 MA20</t>
        </is>
      </c>
      <c r="S142" s="2" t="inlineStr"/>
      <c r="T142" s="9" t="n">
        <v>0.6819689366073215</v>
      </c>
      <c r="U142" s="9" t="n">
        <v>0.04565120902752585</v>
      </c>
      <c r="V142" s="3" t="inlineStr">
        <is>
          <t>C2 曾有10MA上升、C3 回落20MA</t>
        </is>
      </c>
    </row>
    <row r="143">
      <c r="A143" s="2" t="inlineStr">
        <is>
          <t>非必需消費</t>
        </is>
      </c>
      <c r="B143" s="27" t="inlineStr">
        <is>
          <t>AIRT</t>
        </is>
      </c>
      <c r="C143" s="2" t="inlineStr">
        <is>
          <t>Air T Inc.</t>
        </is>
      </c>
      <c r="D143" s="2" t="inlineStr">
        <is>
          <t>Air Freight/Delivery Services</t>
        </is>
      </c>
      <c r="E143" s="2" t="inlineStr">
        <is>
          <t>小型</t>
        </is>
      </c>
      <c r="F143" s="10" t="n">
        <v>28.38</v>
      </c>
      <c r="G143" s="2" t="inlineStr">
        <is>
          <t>2026-08-05</t>
        </is>
      </c>
      <c r="H143" s="15" t="n">
        <v>0.08001350438892629</v>
      </c>
      <c r="I143" s="15" t="n">
        <v>0.04659014179608367</v>
      </c>
      <c r="J143" s="17" t="n">
        <v>19.87461877329719</v>
      </c>
      <c r="K143" s="2" t="inlineStr">
        <is>
          <t>2026-05-26</t>
        </is>
      </c>
      <c r="L143" s="14" t="n">
        <v>0.655072463768116</v>
      </c>
      <c r="M143" s="9" t="n">
        <v>6.310639000079047</v>
      </c>
      <c r="N143" s="2" t="inlineStr">
        <is>
          <t>2026-08-06</t>
        </is>
      </c>
      <c r="O143" s="12" t="n">
        <v>38</v>
      </c>
      <c r="P143" s="15" t="n">
        <v>-0.1716287215411558</v>
      </c>
      <c r="Q143" s="16" t="n">
        <v>-0.06071588144764783</v>
      </c>
      <c r="R143" s="2" t="inlineStr">
        <is>
          <t>跌穿 MA20</t>
        </is>
      </c>
      <c r="S143" s="2" t="inlineStr">
        <is>
          <t>有</t>
        </is>
      </c>
      <c r="T143" s="9" t="n">
        <v>0.9861950980854847</v>
      </c>
      <c r="U143" s="9" t="n">
        <v>1.036020098621558</v>
      </c>
      <c r="V143" s="3" t="inlineStr">
        <is>
          <t>C3 回落20MA、C4 波幅減低</t>
        </is>
      </c>
    </row>
    <row r="144">
      <c r="A144" s="2" t="inlineStr">
        <is>
          <t>非必需消費</t>
        </is>
      </c>
      <c r="B144" s="27" t="inlineStr">
        <is>
          <t>OESX</t>
        </is>
      </c>
      <c r="C144" s="2" t="inlineStr">
        <is>
          <t>Orion Energy Systems Inc.</t>
        </is>
      </c>
      <c r="D144" s="2" t="inlineStr">
        <is>
          <t>Building Products</t>
        </is>
      </c>
      <c r="E144" s="2" t="inlineStr">
        <is>
          <t>小型</t>
        </is>
      </c>
      <c r="F144" s="10" t="n">
        <v>30.5</v>
      </c>
      <c r="G144" s="2" t="inlineStr">
        <is>
          <t>2026-08-05</t>
        </is>
      </c>
      <c r="H144" s="15" t="n">
        <v>0.5442307692307691</v>
      </c>
      <c r="I144" s="15" t="n">
        <v>0.3144230769230769</v>
      </c>
      <c r="J144" s="17" t="n">
        <v>12.58211780425342</v>
      </c>
      <c r="K144" s="2" t="inlineStr">
        <is>
          <t>2026-07-29</t>
        </is>
      </c>
      <c r="L144" s="14" t="n">
        <v>2.186458333333333</v>
      </c>
      <c r="M144" s="9" t="n">
        <v>4.599665199091485</v>
      </c>
      <c r="N144" s="2" t="inlineStr">
        <is>
          <t>2026-09-25</t>
        </is>
      </c>
      <c r="O144" s="12" t="n">
        <v>3</v>
      </c>
      <c r="P144" s="15" t="n">
        <v>-0.00294213795357956</v>
      </c>
      <c r="Q144" s="16" t="n">
        <v>0.09947549611578843</v>
      </c>
      <c r="R144" s="2" t="inlineStr">
        <is>
          <t>仍高於 MA20</t>
        </is>
      </c>
      <c r="S144" s="2" t="inlineStr">
        <is>
          <t>有</t>
        </is>
      </c>
      <c r="T144" s="9" t="n">
        <v>0.7251256488621041</v>
      </c>
      <c r="U144" s="9" t="n">
        <v>0.5709811119637315</v>
      </c>
      <c r="V144" s="3" t="inlineStr">
        <is>
          <t>C3 回落20MA</t>
        </is>
      </c>
    </row>
    <row r="145">
      <c r="A145" s="2" t="inlineStr">
        <is>
          <t>非必需消費</t>
        </is>
      </c>
      <c r="B145" s="27" t="inlineStr">
        <is>
          <t>AEVA</t>
        </is>
      </c>
      <c r="C145" s="2" t="inlineStr">
        <is>
          <t>Aeva Technologies Inc.</t>
        </is>
      </c>
      <c r="D145" s="2" t="inlineStr">
        <is>
          <t>Auto Parts:O.E.M.</t>
        </is>
      </c>
      <c r="E145" s="2" t="inlineStr">
        <is>
          <t>小型</t>
        </is>
      </c>
      <c r="F145" s="10" t="n">
        <v>14.04</v>
      </c>
      <c r="G145" s="2" t="inlineStr">
        <is>
          <t>2026-08-06</t>
        </is>
      </c>
      <c r="H145" s="15" t="n">
        <v>0.2881183069862316</v>
      </c>
      <c r="I145" s="15" t="n">
        <v>0.315655277919429</v>
      </c>
      <c r="J145" s="17" t="n">
        <v>4.01525193887035</v>
      </c>
      <c r="K145" s="2" t="inlineStr">
        <is>
          <t>2026-05-08</t>
        </is>
      </c>
      <c r="L145" s="14" t="n">
        <v>0.9616801768607222</v>
      </c>
      <c r="M145" s="9" t="n">
        <v>2.382823581061909</v>
      </c>
      <c r="N145" s="2" t="inlineStr">
        <is>
          <t>2026-08-07</t>
        </is>
      </c>
      <c r="O145" s="12" t="n">
        <v>37</v>
      </c>
      <c r="P145" s="15" t="n">
        <v>-0.4725770097670925</v>
      </c>
      <c r="Q145" s="16" t="n">
        <v>-0.06695464362851344</v>
      </c>
      <c r="R145" s="2" t="inlineStr">
        <is>
          <t>跌穿 MA20</t>
        </is>
      </c>
      <c r="S145" s="2" t="inlineStr">
        <is>
          <t>有</t>
        </is>
      </c>
      <c r="T145" s="9" t="n">
        <v>1.092815839482422</v>
      </c>
      <c r="U145" s="9" t="n">
        <v>0.5269021956220272</v>
      </c>
      <c r="V145" s="3" t="inlineStr">
        <is>
          <t>C3 回落20MA、C4 波幅減低</t>
        </is>
      </c>
    </row>
    <row r="146">
      <c r="A146" s="2" t="inlineStr">
        <is>
          <t>非必需消費</t>
        </is>
      </c>
      <c r="B146" s="27" t="inlineStr">
        <is>
          <t>ASPN</t>
        </is>
      </c>
      <c r="C146" s="2" t="inlineStr">
        <is>
          <t>Aspen Aerogels Inc.</t>
        </is>
      </c>
      <c r="D146" s="2" t="inlineStr">
        <is>
          <t>RETAIL: Building Materials</t>
        </is>
      </c>
      <c r="E146" s="2" t="inlineStr">
        <is>
          <t>小型</t>
        </is>
      </c>
      <c r="F146" s="10" t="n">
        <v>5.48</v>
      </c>
      <c r="G146" s="2" t="inlineStr">
        <is>
          <t>2026-08-06</t>
        </is>
      </c>
      <c r="H146" s="15" t="n">
        <v>0.3752495009980039</v>
      </c>
      <c r="I146" s="15" t="n">
        <v>0.4570858283433135</v>
      </c>
      <c r="J146" s="17" t="n">
        <v>11.17268549120373</v>
      </c>
      <c r="K146" s="2" t="inlineStr">
        <is>
          <t>2026-07-29</t>
        </is>
      </c>
      <c r="L146" s="14" t="n">
        <v>0.684596577017115</v>
      </c>
      <c r="M146" s="9" t="n">
        <v>2.220730515270438</v>
      </c>
      <c r="N146" s="2" t="inlineStr">
        <is>
          <t>2026-08-06</t>
        </is>
      </c>
      <c r="O146" s="12" t="n">
        <v>38</v>
      </c>
      <c r="P146" s="15" t="n">
        <v>-0.2046444121915819</v>
      </c>
      <c r="Q146" s="16" t="n">
        <v>0.07831562377016565</v>
      </c>
      <c r="R146" s="2" t="inlineStr">
        <is>
          <t>仍高於 MA20</t>
        </is>
      </c>
      <c r="S146" s="2" t="inlineStr">
        <is>
          <t>有</t>
        </is>
      </c>
      <c r="T146" s="9" t="n">
        <v>1.281888535263423</v>
      </c>
      <c r="U146" s="9" t="n">
        <v>0.3779143565948762</v>
      </c>
      <c r="V146" s="3" t="inlineStr">
        <is>
          <t>C3 回落20MA、C4 波幅減低</t>
        </is>
      </c>
    </row>
    <row r="147">
      <c r="A147" s="2" t="inlineStr">
        <is>
          <t>非必需消費</t>
        </is>
      </c>
      <c r="B147" s="27" t="inlineStr">
        <is>
          <t>HBB</t>
        </is>
      </c>
      <c r="C147" s="2" t="inlineStr">
        <is>
          <t>Hamilton Beach Brands Holding Company Class A</t>
        </is>
      </c>
      <c r="D147" s="2" t="inlineStr">
        <is>
          <t>Home Furnishings</t>
        </is>
      </c>
      <c r="E147" s="2" t="inlineStr">
        <is>
          <t>小型</t>
        </is>
      </c>
      <c r="F147" s="10" t="n">
        <v>38.25</v>
      </c>
      <c r="G147" s="2" t="inlineStr">
        <is>
          <t>2026-08-07</t>
        </is>
      </c>
      <c r="H147" s="15" t="n">
        <v>0.1637037037037037</v>
      </c>
      <c r="I147" s="15" t="n">
        <v>0.05407407407407416</v>
      </c>
      <c r="J147" s="17" t="n">
        <v>6.51664188493652</v>
      </c>
      <c r="K147" s="2" t="inlineStr">
        <is>
          <t>2026-07-08</t>
        </is>
      </c>
      <c r="L147" s="14" t="n">
        <v>0.8831231813773035</v>
      </c>
      <c r="M147" s="9" t="n">
        <v>4.492303049474345</v>
      </c>
      <c r="N147" s="2" t="inlineStr">
        <is>
          <t>2026-09-29</t>
        </is>
      </c>
      <c r="O147" s="12" t="n">
        <v>1</v>
      </c>
      <c r="P147" s="15" t="n">
        <v>-0.01493690445531803</v>
      </c>
      <c r="Q147" s="16" t="n">
        <v>0.15565895220255</v>
      </c>
      <c r="R147" s="2" t="inlineStr">
        <is>
          <t>仍高於 MA20</t>
        </is>
      </c>
      <c r="S147" s="2" t="inlineStr">
        <is>
          <t>有</t>
        </is>
      </c>
      <c r="T147" s="9" t="n">
        <v>1.11440478915334</v>
      </c>
      <c r="U147" s="9" t="n">
        <v>0.9672689178584239</v>
      </c>
      <c r="V147" s="3" t="inlineStr">
        <is>
          <t>C3 回落20MA、C4 波幅減低</t>
        </is>
      </c>
    </row>
    <row r="148">
      <c r="A148" s="2" t="inlineStr">
        <is>
          <t>非必需消費</t>
        </is>
      </c>
      <c r="B148" s="27" t="inlineStr">
        <is>
          <t>BWMN</t>
        </is>
      </c>
      <c r="C148" s="2" t="inlineStr">
        <is>
          <t>Bowman Consulting Group Ltd.</t>
        </is>
      </c>
      <c r="D148" s="2" t="inlineStr">
        <is>
          <t>Professional Services</t>
        </is>
      </c>
      <c r="E148" s="2" t="inlineStr">
        <is>
          <t>小型</t>
        </is>
      </c>
      <c r="F148" s="10" t="n">
        <v>42.64</v>
      </c>
      <c r="G148" s="2" t="inlineStr">
        <is>
          <t>2026-08-10</t>
        </is>
      </c>
      <c r="H148" s="15" t="n">
        <v>0.557840616966581</v>
      </c>
      <c r="I148" s="15" t="n">
        <v>0.5552699228791773</v>
      </c>
      <c r="J148" s="17" t="n">
        <v>21.56879324680449</v>
      </c>
      <c r="K148" s="2" t="inlineStr">
        <is>
          <t>2026-07-17</t>
        </is>
      </c>
      <c r="L148" s="14" t="n">
        <v>0.6847096009482418</v>
      </c>
      <c r="M148" s="9" t="n">
        <v>3.884557826842591</v>
      </c>
      <c r="N148" s="2" t="inlineStr">
        <is>
          <t>2026-09-30</t>
        </is>
      </c>
      <c r="O148" s="12" t="n">
        <v>0</v>
      </c>
      <c r="P148" s="15" t="n">
        <v>0</v>
      </c>
      <c r="Q148" s="16" t="n">
        <v>0.002704291593185859</v>
      </c>
      <c r="R148" s="2" t="inlineStr">
        <is>
          <t>貼近 MA20</t>
        </is>
      </c>
      <c r="S148" s="2" t="inlineStr">
        <is>
          <t>有</t>
        </is>
      </c>
      <c r="T148" s="9" t="n">
        <v>0.4784070124859948</v>
      </c>
      <c r="U148" s="9" t="n">
        <v>0.06011775679316744</v>
      </c>
      <c r="V148" s="3" t="inlineStr">
        <is>
          <t>C3 回落20MA</t>
        </is>
      </c>
    </row>
    <row r="149">
      <c r="A149" s="2" t="inlineStr">
        <is>
          <t>非必需消費</t>
        </is>
      </c>
      <c r="B149" s="27" t="inlineStr">
        <is>
          <t>HZO</t>
        </is>
      </c>
      <c r="C149" s="2" t="inlineStr">
        <is>
          <t>MarineMax Inc.  (FL)</t>
        </is>
      </c>
      <c r="D149" s="2" t="inlineStr">
        <is>
          <t>Auto &amp; Home Supply Stores</t>
        </is>
      </c>
      <c r="E149" s="2" t="inlineStr">
        <is>
          <t>小型</t>
        </is>
      </c>
      <c r="F149" s="10" t="n">
        <v>52.3</v>
      </c>
      <c r="G149" s="2" t="inlineStr">
        <is>
          <t>2026-08-10</t>
        </is>
      </c>
      <c r="H149" s="15" t="n">
        <v>0.460762331838565</v>
      </c>
      <c r="I149" s="15" t="n">
        <v>0.4543161434977578</v>
      </c>
      <c r="J149" s="17" t="n">
        <v>26.53978927560896</v>
      </c>
      <c r="K149" s="2" t="inlineStr">
        <is>
          <t>2026-07-22</t>
        </is>
      </c>
      <c r="L149" s="14" t="n">
        <v>0.5965978128797085</v>
      </c>
      <c r="M149" s="9" t="n">
        <v>3.82413626150355</v>
      </c>
      <c r="N149" s="2" t="inlineStr">
        <is>
          <t>2026-09-18</t>
        </is>
      </c>
      <c r="O149" s="12" t="n">
        <v>8</v>
      </c>
      <c r="P149" s="15" t="n">
        <v>-0.004946727549467345</v>
      </c>
      <c r="Q149" s="16" t="n">
        <v>-0.0001051514659059505</v>
      </c>
      <c r="R149" s="2" t="inlineStr">
        <is>
          <t>貼近 MA20</t>
        </is>
      </c>
      <c r="S149" s="2" t="inlineStr">
        <is>
          <t>有</t>
        </is>
      </c>
      <c r="T149" s="9" t="n">
        <v>0.7251567537094613</v>
      </c>
      <c r="U149" s="9" t="n">
        <v>0.06333304486260327</v>
      </c>
      <c r="V149" s="3" t="inlineStr">
        <is>
          <t>C3 回落20MA</t>
        </is>
      </c>
    </row>
    <row r="150">
      <c r="A150" s="2" t="inlineStr">
        <is>
          <t>非必需消費</t>
        </is>
      </c>
      <c r="B150" s="27" t="inlineStr">
        <is>
          <t>KPLT</t>
        </is>
      </c>
      <c r="C150" s="2" t="inlineStr">
        <is>
          <t>Katapult Holdings Inc.</t>
        </is>
      </c>
      <c r="D150" s="2" t="inlineStr">
        <is>
          <t>Diversified Commercial Services</t>
        </is>
      </c>
      <c r="E150" s="2" t="inlineStr">
        <is>
          <t>小型</t>
        </is>
      </c>
      <c r="F150" s="10" t="n">
        <v>4.37</v>
      </c>
      <c r="G150" s="2" t="inlineStr">
        <is>
          <t>2026-08-11</t>
        </is>
      </c>
      <c r="H150" s="15" t="n">
        <v>0.2578616352201257</v>
      </c>
      <c r="I150" s="15" t="n">
        <v>0.01886792452830188</v>
      </c>
      <c r="J150" s="17" t="n">
        <v>61.12567589709979</v>
      </c>
      <c r="K150" s="2" t="inlineStr">
        <is>
          <t>2026-08-31</t>
        </is>
      </c>
      <c r="L150" s="14" t="n">
        <v>0.756007393715342</v>
      </c>
      <c r="M150" s="9" t="n">
        <v>8.244168707962967</v>
      </c>
      <c r="N150" s="2" t="inlineStr">
        <is>
          <t>2026-09-18</t>
        </is>
      </c>
      <c r="O150" s="12" t="n">
        <v>8</v>
      </c>
      <c r="P150" s="15" t="n">
        <v>-0.54</v>
      </c>
      <c r="Q150" s="16" t="n">
        <v>-0.4284406369551693</v>
      </c>
      <c r="R150" s="2" t="inlineStr">
        <is>
          <t>跌穿 MA20</t>
        </is>
      </c>
      <c r="S150" s="2" t="inlineStr">
        <is>
          <t>有</t>
        </is>
      </c>
      <c r="T150" s="9" t="n">
        <v>1.061015734193316</v>
      </c>
      <c r="U150" s="9" t="n">
        <v>1.1712823331753</v>
      </c>
      <c r="V150" s="3" t="inlineStr">
        <is>
          <t>C3 回落20MA、C4 波幅減低</t>
        </is>
      </c>
    </row>
    <row r="151">
      <c r="A151" s="2" t="inlineStr">
        <is>
          <t>非必需消費</t>
        </is>
      </c>
      <c r="B151" s="27" t="inlineStr">
        <is>
          <t>CURI</t>
        </is>
      </c>
      <c r="C151" s="2" t="inlineStr">
        <is>
          <t>CuriosityStream Inc. Class A</t>
        </is>
      </c>
      <c r="D151" s="2" t="inlineStr">
        <is>
          <t>Movies/Entertainment</t>
        </is>
      </c>
      <c r="E151" s="2" t="inlineStr">
        <is>
          <t>小型</t>
        </is>
      </c>
      <c r="F151" s="10" t="n">
        <v>2.91</v>
      </c>
      <c r="G151" s="2" t="inlineStr">
        <is>
          <t>2026-08-13</t>
        </is>
      </c>
      <c r="H151" s="15" t="n">
        <v>0.4250000000000003</v>
      </c>
      <c r="I151" s="15" t="n">
        <v>0.2785714285714287</v>
      </c>
      <c r="J151" s="17" t="n">
        <v>47.84016468392597</v>
      </c>
      <c r="K151" s="2" t="inlineStr">
        <is>
          <t>2026-07-24</t>
        </is>
      </c>
      <c r="L151" s="14" t="n">
        <v>0.697872340425532</v>
      </c>
      <c r="M151" s="9" t="n">
        <v>5.077849007176629</v>
      </c>
      <c r="N151" s="2" t="inlineStr">
        <is>
          <t>2026-08-13</t>
        </is>
      </c>
      <c r="O151" s="12" t="n">
        <v>33</v>
      </c>
      <c r="P151" s="15" t="n">
        <v>-0.2706766917293233</v>
      </c>
      <c r="Q151" s="16" t="n">
        <v>0.02690780767534484</v>
      </c>
      <c r="R151" s="2" t="inlineStr">
        <is>
          <t>貼近 MA20</t>
        </is>
      </c>
      <c r="S151" s="2" t="inlineStr">
        <is>
          <t>有</t>
        </is>
      </c>
      <c r="T151" s="9" t="n">
        <v>1.223747443427254</v>
      </c>
      <c r="U151" s="9" t="n">
        <v>0.6942427945824918</v>
      </c>
      <c r="V151" s="3" t="inlineStr">
        <is>
          <t>C3 回落20MA、C4 波幅減低</t>
        </is>
      </c>
    </row>
    <row r="152">
      <c r="A152" s="2" t="inlineStr">
        <is>
          <t>非必需消費</t>
        </is>
      </c>
      <c r="B152" s="27" t="inlineStr">
        <is>
          <t>IMXI</t>
        </is>
      </c>
      <c r="C152" s="2" t="inlineStr">
        <is>
          <t>International Money Express Inc.</t>
        </is>
      </c>
      <c r="D152" s="2" t="inlineStr">
        <is>
          <t>Business Services</t>
        </is>
      </c>
      <c r="E152" s="2" t="inlineStr">
        <is>
          <t>小型</t>
        </is>
      </c>
      <c r="F152" s="10" t="n">
        <v>11.58</v>
      </c>
      <c r="G152" s="2" t="inlineStr">
        <is>
          <t>2026-08-14</t>
        </is>
      </c>
      <c r="H152" s="15" t="n">
        <v>0.247008547008547</v>
      </c>
      <c r="I152" s="15" t="n">
        <v>0.2170940170940172</v>
      </c>
      <c r="J152" s="17" t="n">
        <v>11.84657022352279</v>
      </c>
      <c r="K152" s="2" t="inlineStr">
        <is>
          <t>2026-08-12</t>
        </is>
      </c>
      <c r="L152" s="14" t="n">
        <v>0.3118942731277534</v>
      </c>
      <c r="M152" s="9" t="n">
        <v>3.790101959175765</v>
      </c>
      <c r="N152" s="2" t="inlineStr">
        <is>
          <t>2026-08-17</t>
        </is>
      </c>
      <c r="O152" s="12" t="n">
        <v>31</v>
      </c>
      <c r="P152" s="15" t="n">
        <v>-0.2222968435191404</v>
      </c>
      <c r="Q152" s="16" t="n">
        <v>-0.1044256684905568</v>
      </c>
      <c r="R152" s="2" t="inlineStr">
        <is>
          <t>跌穿 MA20</t>
        </is>
      </c>
      <c r="S152" s="2" t="inlineStr">
        <is>
          <t>有</t>
        </is>
      </c>
      <c r="T152" s="9" t="n">
        <v>1.515742968994945</v>
      </c>
      <c r="U152" s="9" t="n">
        <v>0.5316456031435053</v>
      </c>
      <c r="V152" s="3" t="inlineStr">
        <is>
          <t>C3 回落20MA、C4 波幅減低</t>
        </is>
      </c>
    </row>
    <row r="153">
      <c r="A153" s="2" t="inlineStr">
        <is>
          <t>非必需消費</t>
        </is>
      </c>
      <c r="B153" s="27" t="inlineStr">
        <is>
          <t>TLYS</t>
        </is>
      </c>
      <c r="C153" s="2" t="inlineStr">
        <is>
          <t>Tilly's Inc.</t>
        </is>
      </c>
      <c r="D153" s="2" t="inlineStr">
        <is>
          <t>Clothing/Shoe/Accessory Stores</t>
        </is>
      </c>
      <c r="E153" s="2" t="inlineStr">
        <is>
          <t>小型</t>
        </is>
      </c>
      <c r="F153" s="10" t="n">
        <v>4.63</v>
      </c>
      <c r="G153" s="2" t="inlineStr">
        <is>
          <t>2026-09-03</t>
        </is>
      </c>
      <c r="H153" s="15" t="n">
        <v>0.1548556430446195</v>
      </c>
      <c r="I153" s="15" t="n">
        <v>0.4566929133858266</v>
      </c>
      <c r="J153" s="17" t="n">
        <v>55.77733778822753</v>
      </c>
      <c r="K153" s="2" t="inlineStr">
        <is>
          <t>2026-08-18</t>
        </is>
      </c>
      <c r="L153" s="14" t="n">
        <v>0.340599455040872</v>
      </c>
      <c r="M153" s="9" t="n">
        <v>4.742897388641099</v>
      </c>
      <c r="N153" s="2" t="inlineStr">
        <is>
          <t>2026-09-14</t>
        </is>
      </c>
      <c r="O153" s="12" t="n">
        <v>12</v>
      </c>
      <c r="P153" s="15" t="n">
        <v>-0.05894308943089432</v>
      </c>
      <c r="Q153" s="16" t="n">
        <v>0.06375646180356598</v>
      </c>
      <c r="R153" s="2" t="inlineStr">
        <is>
          <t>仍高於 MA20</t>
        </is>
      </c>
      <c r="S153" s="2" t="inlineStr">
        <is>
          <t>有</t>
        </is>
      </c>
      <c r="T153" s="9" t="n">
        <v>0.5209476153181234</v>
      </c>
      <c r="U153" s="9" t="n">
        <v>0.5100354581760576</v>
      </c>
      <c r="V153" s="3" t="inlineStr">
        <is>
          <t>C3 回落20MA</t>
        </is>
      </c>
    </row>
    <row r="154">
      <c r="A154" s="2" t="inlineStr">
        <is>
          <t>非必需消費</t>
        </is>
      </c>
      <c r="B154" s="27" t="inlineStr">
        <is>
          <t>AOUT</t>
        </is>
      </c>
      <c r="C154" s="2" t="inlineStr">
        <is>
          <t>American Outdoor Brands Inc.</t>
        </is>
      </c>
      <c r="D154" s="2" t="inlineStr">
        <is>
          <t>Recreational Games/Products/Toys</t>
        </is>
      </c>
      <c r="E154" s="2" t="inlineStr">
        <is>
          <t>小型</t>
        </is>
      </c>
      <c r="F154" s="10" t="n">
        <v>16.2</v>
      </c>
      <c r="G154" s="2" t="inlineStr">
        <is>
          <t>2026-09-04</t>
        </is>
      </c>
      <c r="H154" s="15" t="n">
        <v>0.4465534465534466</v>
      </c>
      <c r="I154" s="15" t="n">
        <v>0.2747252747252746</v>
      </c>
      <c r="J154" s="17" t="n">
        <v>36.83278753927224</v>
      </c>
      <c r="K154" s="2" t="inlineStr">
        <is>
          <t>2026-09-02</t>
        </is>
      </c>
      <c r="L154" s="14" t="n">
        <v>0.7638190954773871</v>
      </c>
      <c r="M154" s="9" t="n">
        <v>4.929941085230451</v>
      </c>
      <c r="N154" s="2" t="inlineStr">
        <is>
          <t>2026-09-25</t>
        </is>
      </c>
      <c r="O154" s="12" t="n">
        <v>3</v>
      </c>
      <c r="P154" s="15" t="n">
        <v>-0.07692307692307698</v>
      </c>
      <c r="Q154" s="16" t="n">
        <v>0.05187974806830575</v>
      </c>
      <c r="R154" s="2" t="inlineStr">
        <is>
          <t>仍高於 MA20</t>
        </is>
      </c>
      <c r="S154" s="2" t="inlineStr">
        <is>
          <t>有</t>
        </is>
      </c>
      <c r="T154" s="9" t="n">
        <v>0.6749203117999977</v>
      </c>
      <c r="U154" s="9" t="n">
        <v>0.6158090666155382</v>
      </c>
      <c r="V154" s="3" t="inlineStr">
        <is>
          <t>C3 回落20MA</t>
        </is>
      </c>
    </row>
    <row r="155">
      <c r="A155" s="2" t="inlineStr">
        <is>
          <t>非必需消費</t>
        </is>
      </c>
      <c r="B155" s="27" t="inlineStr">
        <is>
          <t>JILL</t>
        </is>
      </c>
      <c r="C155" s="2" t="inlineStr">
        <is>
          <t>J. Jill Inc.</t>
        </is>
      </c>
      <c r="D155" s="2" t="inlineStr">
        <is>
          <t>Apparel</t>
        </is>
      </c>
      <c r="E155" s="2" t="inlineStr">
        <is>
          <t>小型</t>
        </is>
      </c>
      <c r="F155" s="10" t="n">
        <v>24.37</v>
      </c>
      <c r="G155" s="2" t="inlineStr">
        <is>
          <t>2026-09-09</t>
        </is>
      </c>
      <c r="H155" s="15" t="n">
        <v>0.09576612903225801</v>
      </c>
      <c r="I155" s="15" t="n">
        <v>0.1436491935483872</v>
      </c>
      <c r="J155" s="17" t="n">
        <v>11.95757250268528</v>
      </c>
      <c r="K155" s="2" t="inlineStr">
        <is>
          <t>2026-07-07</t>
        </is>
      </c>
      <c r="L155" s="14" t="n">
        <v>0.5717932354818123</v>
      </c>
      <c r="M155" s="9" t="n">
        <v>2.720582879386769</v>
      </c>
      <c r="N155" s="2" t="inlineStr">
        <is>
          <t>2026-09-25</t>
        </is>
      </c>
      <c r="O155" s="12" t="n">
        <v>3</v>
      </c>
      <c r="P155" s="15" t="n">
        <v>-0.01055623223710911</v>
      </c>
      <c r="Q155" s="16" t="n">
        <v>0.05779456127786009</v>
      </c>
      <c r="R155" s="2" t="inlineStr">
        <is>
          <t>仍高於 MA20</t>
        </is>
      </c>
      <c r="S155" s="2" t="inlineStr">
        <is>
          <t>有</t>
        </is>
      </c>
      <c r="T155" s="9" t="n">
        <v>0.7564484487800078</v>
      </c>
      <c r="U155" s="9" t="n">
        <v>0.7639853419604968</v>
      </c>
      <c r="V155" s="3" t="inlineStr">
        <is>
          <t>C3 回落20MA、C4 波幅減低</t>
        </is>
      </c>
    </row>
    <row r="156">
      <c r="A156" s="2" t="inlineStr">
        <is>
          <t>非必需消費</t>
        </is>
      </c>
      <c r="B156" s="27" t="inlineStr">
        <is>
          <t>ACVA</t>
        </is>
      </c>
      <c r="C156" s="2" t="inlineStr">
        <is>
          <t>ACV Auctions Inc. Class A</t>
        </is>
      </c>
      <c r="D156" s="2" t="inlineStr">
        <is>
          <t>Business Services</t>
        </is>
      </c>
      <c r="E156" s="2" t="inlineStr">
        <is>
          <t>小型</t>
        </is>
      </c>
      <c r="F156" s="10" t="n">
        <v>10.43</v>
      </c>
      <c r="G156" s="2" t="inlineStr">
        <is>
          <t>2026-09-11</t>
        </is>
      </c>
      <c r="H156" s="15" t="n">
        <v>0.4418282548476455</v>
      </c>
      <c r="I156" s="15" t="n">
        <v>0.4480609418282548</v>
      </c>
      <c r="J156" s="17" t="n">
        <v>28.25496345293893</v>
      </c>
      <c r="K156" s="2" t="inlineStr">
        <is>
          <t>2026-06-22</t>
        </is>
      </c>
      <c r="L156" s="14" t="n">
        <v>0.6452119309262168</v>
      </c>
      <c r="M156" s="9" t="n">
        <v>3.301171318892977</v>
      </c>
      <c r="N156" s="2" t="inlineStr">
        <is>
          <t>2026-09-21</t>
        </is>
      </c>
      <c r="O156" s="12" t="n">
        <v>7</v>
      </c>
      <c r="P156" s="15" t="n">
        <v>-0.004770992366412319</v>
      </c>
      <c r="Q156" s="16" t="n">
        <v>0.1077478625670398</v>
      </c>
      <c r="R156" s="2" t="inlineStr">
        <is>
          <t>仍高於 MA20</t>
        </is>
      </c>
      <c r="S156" s="2" t="inlineStr">
        <is>
          <t>有</t>
        </is>
      </c>
      <c r="T156" s="9" t="n">
        <v>0.06201051314578743</v>
      </c>
      <c r="U156" s="9" t="n">
        <v>0.04584641292980407</v>
      </c>
      <c r="V156" s="3" t="inlineStr">
        <is>
          <t>C3 回落20MA</t>
        </is>
      </c>
    </row>
    <row r="157">
      <c r="A157" s="2" t="inlineStr">
        <is>
          <t>非必需消費</t>
        </is>
      </c>
      <c r="B157" s="27" t="inlineStr">
        <is>
          <t>VNCE</t>
        </is>
      </c>
      <c r="C157" s="2" t="inlineStr">
        <is>
          <t>Vince Holding Corp.</t>
        </is>
      </c>
      <c r="D157" s="2" t="inlineStr">
        <is>
          <t>Clothing/Shoe/Accessory Stores</t>
        </is>
      </c>
      <c r="E157" s="2" t="inlineStr">
        <is>
          <t>小型</t>
        </is>
      </c>
      <c r="F157" s="10" t="n">
        <v>10.07</v>
      </c>
      <c r="G157" s="2" t="inlineStr">
        <is>
          <t>2026-09-14</t>
        </is>
      </c>
      <c r="H157" s="15" t="n">
        <v>0.4599236641221374</v>
      </c>
      <c r="I157" s="15" t="n">
        <v>0.05343511450381677</v>
      </c>
      <c r="J157" s="17" t="n">
        <v>31.70125544452985</v>
      </c>
      <c r="K157" s="2" t="inlineStr">
        <is>
          <t>2026-09-10</t>
        </is>
      </c>
      <c r="L157" s="14" t="n">
        <v>1.286282306163022</v>
      </c>
      <c r="M157" s="9" t="n">
        <v>6.409618507406006</v>
      </c>
      <c r="N157" s="2" t="inlineStr">
        <is>
          <t>2026-09-25</t>
        </is>
      </c>
      <c r="O157" s="12" t="n">
        <v>3</v>
      </c>
      <c r="P157" s="15" t="n">
        <v>-0.1243478260869565</v>
      </c>
      <c r="Q157" s="16" t="n">
        <v>0.1753034547152179</v>
      </c>
      <c r="R157" s="2" t="inlineStr">
        <is>
          <t>仍高於 MA20</t>
        </is>
      </c>
      <c r="S157" s="2" t="inlineStr">
        <is>
          <t>有</t>
        </is>
      </c>
      <c r="T157" s="9" t="n">
        <v>0.8457393777670973</v>
      </c>
      <c r="U157" s="9" t="n">
        <v>0.6684419465022959</v>
      </c>
      <c r="V157" s="3" t="inlineStr">
        <is>
          <t>C3 回落20MA</t>
        </is>
      </c>
    </row>
    <row r="158">
      <c r="A158" s="2" t="inlineStr">
        <is>
          <t>非必需消費</t>
        </is>
      </c>
      <c r="B158" s="27" t="inlineStr">
        <is>
          <t>VRA</t>
        </is>
      </c>
      <c r="C158" s="2" t="inlineStr">
        <is>
          <t>Vera Bradley Inc.</t>
        </is>
      </c>
      <c r="D158" s="2" t="inlineStr">
        <is>
          <t>Apparel</t>
        </is>
      </c>
      <c r="E158" s="2" t="inlineStr">
        <is>
          <t>小型</t>
        </is>
      </c>
      <c r="F158" s="10" t="n">
        <v>4.62</v>
      </c>
      <c r="G158" s="2" t="inlineStr">
        <is>
          <t>2026-09-15</t>
        </is>
      </c>
      <c r="H158" s="15" t="n">
        <v>0.3453947368421053</v>
      </c>
      <c r="I158" s="15" t="n">
        <v>0.1875</v>
      </c>
      <c r="J158" s="17" t="n">
        <v>101.7954269419655</v>
      </c>
      <c r="K158" s="2" t="inlineStr">
        <is>
          <t>2026-08-20</t>
        </is>
      </c>
      <c r="L158" s="14" t="n">
        <v>0.5197368421052633</v>
      </c>
      <c r="M158" s="9" t="n">
        <v>2.312270360645122</v>
      </c>
      <c r="N158" s="2" t="inlineStr">
        <is>
          <t>2026-09-30</t>
        </is>
      </c>
      <c r="O158" s="12" t="n">
        <v>0</v>
      </c>
      <c r="P158" s="15" t="n">
        <v>0</v>
      </c>
      <c r="Q158" s="16" t="n">
        <v>0.2201241251815695</v>
      </c>
      <c r="R158" s="2" t="inlineStr">
        <is>
          <t>仍高於 MA20</t>
        </is>
      </c>
      <c r="S158" s="2" t="inlineStr">
        <is>
          <t>有</t>
        </is>
      </c>
      <c r="T158" s="9" t="n">
        <v>0.6891186868724605</v>
      </c>
      <c r="U158" s="9" t="n">
        <v>0.7837158325359439</v>
      </c>
      <c r="V158" s="3" t="inlineStr">
        <is>
          <t>C3 回落20MA、C4 波幅減低</t>
        </is>
      </c>
    </row>
    <row r="159">
      <c r="A159" s="2" t="inlineStr">
        <is>
          <t>非必需消費</t>
        </is>
      </c>
      <c r="B159" s="27" t="inlineStr">
        <is>
          <t>PRTH</t>
        </is>
      </c>
      <c r="C159" s="2" t="inlineStr">
        <is>
          <t>Priority Technology Holdings Inc.</t>
        </is>
      </c>
      <c r="D159" s="2" t="inlineStr">
        <is>
          <t>Business Services</t>
        </is>
      </c>
      <c r="E159" s="2" t="inlineStr">
        <is>
          <t>小型</t>
        </is>
      </c>
      <c r="F159" s="10" t="n">
        <v>7.8</v>
      </c>
      <c r="G159" s="2" t="inlineStr">
        <is>
          <t>2026-09-21</t>
        </is>
      </c>
      <c r="H159" s="15" t="n">
        <v>0.3379073756432247</v>
      </c>
      <c r="I159" s="15" t="n">
        <v>0.3353344768439108</v>
      </c>
      <c r="J159" s="17" t="n">
        <v>43.81835149787091</v>
      </c>
      <c r="K159" s="2" t="inlineStr">
        <is>
          <t>2026-08-12</t>
        </is>
      </c>
      <c r="L159" s="14" t="n">
        <v>0.5057915057915059</v>
      </c>
      <c r="M159" s="9" t="n">
        <v>3.645474808476201</v>
      </c>
      <c r="N159" s="2" t="inlineStr">
        <is>
          <t>2026-09-30</t>
        </is>
      </c>
      <c r="O159" s="12" t="n">
        <v>0</v>
      </c>
      <c r="P159" s="15" t="n">
        <v>0</v>
      </c>
      <c r="Q159" s="16" t="n">
        <v>0.1908851482881015</v>
      </c>
      <c r="R159" s="2" t="inlineStr">
        <is>
          <t>仍高於 MA20</t>
        </is>
      </c>
      <c r="S159" s="2" t="inlineStr">
        <is>
          <t>有</t>
        </is>
      </c>
      <c r="T159" s="9" t="n">
        <v>0.06885663296798639</v>
      </c>
      <c r="U159" s="9" t="n">
        <v>0.06792680425587909</v>
      </c>
      <c r="V159" s="3" t="inlineStr">
        <is>
          <t>C3 回落20MA</t>
        </is>
      </c>
    </row>
    <row r="160">
      <c r="A160" s="2" t="inlineStr">
        <is>
          <t>非必需消費</t>
        </is>
      </c>
      <c r="B160" s="27" t="inlineStr">
        <is>
          <t>NATH</t>
        </is>
      </c>
      <c r="C160" s="2" t="inlineStr">
        <is>
          <t>Nathan's Famous Inc.</t>
        </is>
      </c>
      <c r="D160" s="2" t="inlineStr">
        <is>
          <t>Restaurants</t>
        </is>
      </c>
      <c r="E160" s="2" t="inlineStr">
        <is>
          <t>小型</t>
        </is>
      </c>
      <c r="F160" s="10" t="n">
        <v>101.43</v>
      </c>
      <c r="G160" s="2" t="inlineStr">
        <is>
          <t>2026-09-25</t>
        </is>
      </c>
      <c r="H160" s="15" t="n">
        <v>0.07699650015908355</v>
      </c>
      <c r="I160" s="15" t="n">
        <v>0.07328454767207537</v>
      </c>
      <c r="J160" s="17" t="n">
        <v>6.244157058273606</v>
      </c>
      <c r="K160" s="2" t="inlineStr">
        <is>
          <t>2026-09-24</t>
        </is>
      </c>
      <c r="L160" s="14" t="n">
        <v>0.07699650015908355</v>
      </c>
      <c r="M160" s="9" t="n">
        <v>2.089979095225914</v>
      </c>
      <c r="N160" s="2" t="inlineStr">
        <is>
          <t>2026-09-29</t>
        </is>
      </c>
      <c r="O160" s="12" t="n">
        <v>1</v>
      </c>
      <c r="P160" s="15" t="n">
        <v>-0.001181683899556751</v>
      </c>
      <c r="Q160" s="16" t="n">
        <v>0.03106511883221197</v>
      </c>
      <c r="R160" s="2" t="inlineStr">
        <is>
          <t>仍高於 MA20</t>
        </is>
      </c>
      <c r="S160" s="2" t="inlineStr"/>
      <c r="T160" s="9" t="n">
        <v>1.37670935554701</v>
      </c>
      <c r="U160" s="9" t="n">
        <v>0.71396636394764</v>
      </c>
      <c r="V160" s="3" t="inlineStr">
        <is>
          <t>C2 曾有10MA上升、C3 回落20MA、C4 波幅減低</t>
        </is>
      </c>
    </row>
    <row r="161">
      <c r="A161" s="2" t="inlineStr">
        <is>
          <t>工業</t>
        </is>
      </c>
      <c r="B161" s="27" t="inlineStr">
        <is>
          <t>CECO</t>
        </is>
      </c>
      <c r="C161" s="2" t="inlineStr">
        <is>
          <t>CECO Environmental Corp.</t>
        </is>
      </c>
      <c r="D161" s="2" t="inlineStr">
        <is>
          <t>Pollution Control Equipment</t>
        </is>
      </c>
      <c r="E161" s="2" t="inlineStr">
        <is>
          <t>中型</t>
        </is>
      </c>
      <c r="F161" s="10" t="n">
        <v>69.64</v>
      </c>
      <c r="G161" s="2" t="inlineStr">
        <is>
          <t>2026-04-28</t>
        </is>
      </c>
      <c r="H161" s="15" t="n">
        <v>0.1443314849044979</v>
      </c>
      <c r="I161" s="15" t="n">
        <v>0.04343807763401109</v>
      </c>
      <c r="J161" s="17" t="n">
        <v>4.060188704286869</v>
      </c>
      <c r="K161" s="2" t="inlineStr">
        <is>
          <t>2026-04-21</t>
        </is>
      </c>
      <c r="L161" s="14" t="n">
        <v>0.3717260452253131</v>
      </c>
      <c r="M161" s="9" t="n">
        <v>2.16356128639723</v>
      </c>
      <c r="N161" s="2" t="inlineStr">
        <is>
          <t>2026-07-09</t>
        </is>
      </c>
      <c r="O161" s="12" t="n">
        <v>58</v>
      </c>
      <c r="P161" s="15" t="n">
        <v>-0.1740986717267552</v>
      </c>
      <c r="Q161" s="16" t="n">
        <v>-0.04450252800702259</v>
      </c>
      <c r="R161" s="2" t="inlineStr">
        <is>
          <t>跌穿 MA20</t>
        </is>
      </c>
      <c r="S161" s="2" t="inlineStr">
        <is>
          <t>有</t>
        </is>
      </c>
      <c r="T161" s="9" t="n">
        <v>0.7319698159570949</v>
      </c>
      <c r="U161" s="9" t="n">
        <v>0.6110647722479862</v>
      </c>
      <c r="V161" s="3" t="inlineStr">
        <is>
          <t>C3 回落20MA</t>
        </is>
      </c>
    </row>
    <row r="162">
      <c r="A162" s="2" t="inlineStr">
        <is>
          <t>工業</t>
        </is>
      </c>
      <c r="B162" s="27" t="inlineStr">
        <is>
          <t>INTT</t>
        </is>
      </c>
      <c r="C162" s="2" t="inlineStr">
        <is>
          <t>inTest Corporation</t>
        </is>
      </c>
      <c r="D162" s="2" t="inlineStr">
        <is>
          <t>Electrical Products</t>
        </is>
      </c>
      <c r="E162" s="2" t="inlineStr">
        <is>
          <t>小型</t>
        </is>
      </c>
      <c r="F162" s="10" t="n">
        <v>11.83</v>
      </c>
      <c r="G162" s="2" t="inlineStr">
        <is>
          <t>2026-04-30</t>
        </is>
      </c>
      <c r="H162" s="15" t="n">
        <v>0.1151551312649164</v>
      </c>
      <c r="I162" s="15" t="n">
        <v>0.019689737470167</v>
      </c>
      <c r="J162" s="17" t="n">
        <v>3.985961266134866</v>
      </c>
      <c r="K162" s="2" t="inlineStr">
        <is>
          <t>2026-04-07</t>
        </is>
      </c>
      <c r="L162" s="14" t="n">
        <v>0.162962962962963</v>
      </c>
      <c r="M162" s="9" t="n">
        <v>4.839884501698902</v>
      </c>
      <c r="N162" s="2" t="inlineStr">
        <is>
          <t>2026-07-02</t>
        </is>
      </c>
      <c r="O162" s="12" t="n">
        <v>62</v>
      </c>
      <c r="P162" s="15" t="n">
        <v>-0.2464968152866241</v>
      </c>
      <c r="Q162" s="16" t="n">
        <v>0.05563735332173669</v>
      </c>
      <c r="R162" s="2" t="inlineStr">
        <is>
          <t>仍高於 MA20</t>
        </is>
      </c>
      <c r="S162" s="2" t="inlineStr"/>
      <c r="T162" s="9" t="n">
        <v>0.9665080574435371</v>
      </c>
      <c r="U162" s="9" t="n">
        <v>0.5012342886392455</v>
      </c>
      <c r="V162" s="3" t="inlineStr">
        <is>
          <t>C2 曾有10MA上升、C3 回落20MA、C4 波幅減低</t>
        </is>
      </c>
    </row>
    <row r="163">
      <c r="A163" s="2" t="inlineStr">
        <is>
          <t>工業</t>
        </is>
      </c>
      <c r="B163" s="27" t="inlineStr">
        <is>
          <t>NWPX</t>
        </is>
      </c>
      <c r="C163" s="2" t="inlineStr">
        <is>
          <t>NWPX Infrastructure Inc.</t>
        </is>
      </c>
      <c r="D163" s="2" t="inlineStr">
        <is>
          <t>Steel/Iron Ore</t>
        </is>
      </c>
      <c r="E163" s="2" t="inlineStr">
        <is>
          <t>小型</t>
        </is>
      </c>
      <c r="F163" s="10" t="n">
        <v>103.03</v>
      </c>
      <c r="G163" s="2" t="inlineStr">
        <is>
          <t>2026-04-30</t>
        </is>
      </c>
      <c r="H163" s="15" t="n">
        <v>0.1433554237879315</v>
      </c>
      <c r="I163" s="15" t="n">
        <v>0.04557609580281374</v>
      </c>
      <c r="J163" s="17" t="n">
        <v>3.273013633455285</v>
      </c>
      <c r="K163" s="2" t="inlineStr">
        <is>
          <t>2026-04-06</t>
        </is>
      </c>
      <c r="L163" s="14" t="n">
        <v>0.8255769475965828</v>
      </c>
      <c r="M163" s="9" t="n">
        <v>2.702813042711331</v>
      </c>
      <c r="N163" s="2" t="inlineStr">
        <is>
          <t>2026-07-06</t>
        </is>
      </c>
      <c r="O163" s="12" t="n">
        <v>61</v>
      </c>
      <c r="P163" s="15" t="n">
        <v>-0.2804162592540858</v>
      </c>
      <c r="Q163" s="16" t="n">
        <v>-0.008955281307413854</v>
      </c>
      <c r="R163" s="2" t="inlineStr">
        <is>
          <t>貼近 MA20</t>
        </is>
      </c>
      <c r="S163" s="2" t="inlineStr"/>
      <c r="T163" s="9" t="n">
        <v>0.8327505729736875</v>
      </c>
      <c r="U163" s="9" t="n">
        <v>0.5456794945832856</v>
      </c>
      <c r="V163" s="3" t="inlineStr">
        <is>
          <t>C2 曾有10MA上升、C3 回落20MA</t>
        </is>
      </c>
    </row>
    <row r="164">
      <c r="A164" s="2" t="inlineStr">
        <is>
          <t>工業</t>
        </is>
      </c>
      <c r="B164" s="27" t="inlineStr">
        <is>
          <t>FSTR</t>
        </is>
      </c>
      <c r="C164" s="2" t="inlineStr">
        <is>
          <t>L.B. Foster Company</t>
        </is>
      </c>
      <c r="D164" s="2" t="inlineStr">
        <is>
          <t>Metal Fabrications</t>
        </is>
      </c>
      <c r="E164" s="2" t="inlineStr">
        <is>
          <t>小型</t>
        </is>
      </c>
      <c r="F164" s="10" t="n">
        <v>36.07</v>
      </c>
      <c r="G164" s="2" t="inlineStr">
        <is>
          <t>2026-05-04</t>
        </is>
      </c>
      <c r="H164" s="15" t="n">
        <v>0.1921824104234529</v>
      </c>
      <c r="I164" s="15" t="n">
        <v>0.07524429967426705</v>
      </c>
      <c r="J164" s="17" t="n">
        <v>3.697219899665552</v>
      </c>
      <c r="K164" s="2" t="inlineStr">
        <is>
          <t>2026-04-02</t>
        </is>
      </c>
      <c r="L164" s="14" t="n">
        <v>0.5580564487316899</v>
      </c>
      <c r="M164" s="9" t="n">
        <v>5.766103055381544</v>
      </c>
      <c r="N164" s="2" t="inlineStr">
        <is>
          <t>2026-07-06</t>
        </is>
      </c>
      <c r="O164" s="12" t="n">
        <v>61</v>
      </c>
      <c r="P164" s="15" t="n">
        <v>-0.1728961247420316</v>
      </c>
      <c r="Q164" s="16" t="n">
        <v>-0.03560017646351521</v>
      </c>
      <c r="R164" s="2" t="inlineStr">
        <is>
          <t>跌穿 MA20</t>
        </is>
      </c>
      <c r="S164" s="2" t="inlineStr"/>
      <c r="T164" s="9" t="n">
        <v>1.057405934413212</v>
      </c>
      <c r="U164" s="9" t="n">
        <v>0.6493476905961142</v>
      </c>
      <c r="V164" s="3" t="inlineStr">
        <is>
          <t>C2 曾有10MA上升、C3 回落20MA、C4 波幅減低</t>
        </is>
      </c>
    </row>
    <row r="165">
      <c r="A165" s="2" t="inlineStr">
        <is>
          <t>工業</t>
        </is>
      </c>
      <c r="B165" s="27" t="inlineStr">
        <is>
          <t>STRL</t>
        </is>
      </c>
      <c r="C165" s="2" t="inlineStr">
        <is>
          <t>Sterling Infrastructure Inc.</t>
        </is>
      </c>
      <c r="D165" s="2" t="inlineStr">
        <is>
          <t>Military/Government/Technical</t>
        </is>
      </c>
      <c r="E165" s="2" t="inlineStr">
        <is>
          <t>大型</t>
        </is>
      </c>
      <c r="F165" s="10" t="n">
        <v>491.78</v>
      </c>
      <c r="G165" s="2" t="inlineStr">
        <is>
          <t>2026-05-05</t>
        </is>
      </c>
      <c r="H165" s="15" t="n">
        <v>0.5222194942302971</v>
      </c>
      <c r="I165" s="15" t="n">
        <v>0.3738691948856447</v>
      </c>
      <c r="J165" s="17" t="n">
        <v>4.933304629682283</v>
      </c>
      <c r="K165" s="2" t="inlineStr">
        <is>
          <t>2026-04-29</t>
        </is>
      </c>
      <c r="L165" s="14" t="n">
        <v>0.5313251729643429</v>
      </c>
      <c r="M165" s="9" t="n">
        <v>2.899779972899604</v>
      </c>
      <c r="N165" s="2" t="inlineStr">
        <is>
          <t>2026-07-22</t>
        </is>
      </c>
      <c r="O165" s="12" t="n">
        <v>49</v>
      </c>
      <c r="P165" s="15" t="n">
        <v>-0.3163455389662747</v>
      </c>
      <c r="Q165" s="16" t="n">
        <v>-0.006367547832375919</v>
      </c>
      <c r="R165" s="2" t="inlineStr">
        <is>
          <t>貼近 MA20</t>
        </is>
      </c>
      <c r="S165" s="2" t="inlineStr">
        <is>
          <t>有</t>
        </is>
      </c>
      <c r="T165" s="9" t="n">
        <v>0.9247957633624105</v>
      </c>
      <c r="U165" s="9" t="n">
        <v>0.5591000650315138</v>
      </c>
      <c r="V165" s="3" t="inlineStr">
        <is>
          <t>C3 回落20MA、C4 波幅減低</t>
        </is>
      </c>
    </row>
    <row r="166">
      <c r="A166" s="2" t="inlineStr">
        <is>
          <t>工業</t>
        </is>
      </c>
      <c r="B166" s="27" t="inlineStr">
        <is>
          <t>EVC</t>
        </is>
      </c>
      <c r="C166" s="2" t="inlineStr">
        <is>
          <t>Entravision Communications Corporation</t>
        </is>
      </c>
      <c r="D166" s="2" t="inlineStr">
        <is>
          <t>Broadcasting</t>
        </is>
      </c>
      <c r="E166" s="2" t="inlineStr">
        <is>
          <t>小型</t>
        </is>
      </c>
      <c r="F166" s="10" t="n">
        <v>7.35</v>
      </c>
      <c r="G166" s="2" t="inlineStr">
        <is>
          <t>2026-05-06</t>
        </is>
      </c>
      <c r="H166" s="15" t="n">
        <v>0.9321608040201006</v>
      </c>
      <c r="I166" s="15" t="n">
        <v>0.6306532663316584</v>
      </c>
      <c r="J166" s="17" t="n">
        <v>82.85084493674786</v>
      </c>
      <c r="K166" s="2" t="inlineStr">
        <is>
          <t>2026-04-01</t>
        </is>
      </c>
      <c r="L166" s="14" t="n">
        <v>3.379194630872483</v>
      </c>
      <c r="M166" s="9" t="n">
        <v>24.36201184201798</v>
      </c>
      <c r="N166" s="2" t="inlineStr">
        <is>
          <t>2026-07-02</t>
        </is>
      </c>
      <c r="O166" s="12" t="n">
        <v>62</v>
      </c>
      <c r="P166" s="15" t="n">
        <v>-0.4367816091954023</v>
      </c>
      <c r="Q166" s="16" t="n">
        <v>-0.08262606090863589</v>
      </c>
      <c r="R166" s="2" t="inlineStr">
        <is>
          <t>跌穿 MA20</t>
        </is>
      </c>
      <c r="S166" s="2" t="inlineStr"/>
      <c r="T166" s="9" t="n">
        <v>0.7957516467954816</v>
      </c>
      <c r="U166" s="9" t="n">
        <v>0.3820695695730056</v>
      </c>
      <c r="V166" s="3" t="inlineStr">
        <is>
          <t>C2 曾有10MA上升、C3 回落20MA</t>
        </is>
      </c>
    </row>
    <row r="167">
      <c r="A167" s="2" t="inlineStr">
        <is>
          <t>工業</t>
        </is>
      </c>
      <c r="B167" s="27" t="inlineStr">
        <is>
          <t>OUST</t>
        </is>
      </c>
      <c r="C167" s="2" t="inlineStr">
        <is>
          <t>Ouster Inc.</t>
        </is>
      </c>
      <c r="D167" s="2" t="inlineStr">
        <is>
          <t>Industrial Machinery/Components</t>
        </is>
      </c>
      <c r="E167" s="2" t="inlineStr">
        <is>
          <t>中型</t>
        </is>
      </c>
      <c r="F167" s="10" t="n">
        <v>40.34</v>
      </c>
      <c r="G167" s="2" t="inlineStr">
        <is>
          <t>2026-05-13</t>
        </is>
      </c>
      <c r="H167" s="15" t="n">
        <v>0.2608856088560885</v>
      </c>
      <c r="I167" s="15" t="n">
        <v>0.06143911439114391</v>
      </c>
      <c r="J167" s="17" t="n">
        <v>5.799867497479057</v>
      </c>
      <c r="K167" s="2" t="inlineStr">
        <is>
          <t>2026-04-01</t>
        </is>
      </c>
      <c r="L167" s="14" t="n">
        <v>1.676691729323308</v>
      </c>
      <c r="M167" s="9" t="n">
        <v>3.830445518478443</v>
      </c>
      <c r="N167" s="2" t="inlineStr">
        <is>
          <t>2026-07-02</t>
        </is>
      </c>
      <c r="O167" s="12" t="n">
        <v>62</v>
      </c>
      <c r="P167" s="15" t="n">
        <v>-0.1906099518459069</v>
      </c>
      <c r="Q167" s="16" t="n">
        <v>0.0819364355639014</v>
      </c>
      <c r="R167" s="2" t="inlineStr">
        <is>
          <t>仍高於 MA20</t>
        </is>
      </c>
      <c r="S167" s="2" t="inlineStr">
        <is>
          <t>有</t>
        </is>
      </c>
      <c r="T167" s="9" t="n">
        <v>1.133792573366485</v>
      </c>
      <c r="U167" s="9" t="n">
        <v>0.5703032716899993</v>
      </c>
      <c r="V167" s="3" t="inlineStr">
        <is>
          <t>C3 回落20MA、C4 波幅減低</t>
        </is>
      </c>
    </row>
    <row r="168">
      <c r="A168" s="2" t="inlineStr">
        <is>
          <t>工業</t>
        </is>
      </c>
      <c r="B168" s="27" t="inlineStr">
        <is>
          <t>MNTS</t>
        </is>
      </c>
      <c r="C168" s="2" t="inlineStr">
        <is>
          <t>Momentus Inc. Class A</t>
        </is>
      </c>
      <c r="D168" s="2" t="inlineStr">
        <is>
          <t>Military/Government/Technical</t>
        </is>
      </c>
      <c r="E168" s="2" t="inlineStr">
        <is>
          <t>小型</t>
        </is>
      </c>
      <c r="F168" s="10" t="n">
        <v>3.87</v>
      </c>
      <c r="G168" s="2" t="inlineStr">
        <is>
          <t>2026-05-26</t>
        </is>
      </c>
      <c r="H168" s="15" t="n">
        <v>1.097560975609756</v>
      </c>
      <c r="I168" s="15" t="n">
        <v>0.75609756097561</v>
      </c>
      <c r="J168" s="17" t="n">
        <v>33.27123962470107</v>
      </c>
      <c r="K168" s="2" t="inlineStr">
        <is>
          <t>2026-04-07</t>
        </is>
      </c>
      <c r="L168" s="14" t="n">
        <v>1.037151702786378</v>
      </c>
      <c r="M168" s="9" t="n">
        <v>8.76465071662196</v>
      </c>
      <c r="N168" s="2" t="inlineStr">
        <is>
          <t>2026-07-06</t>
        </is>
      </c>
      <c r="O168" s="12" t="n">
        <v>61</v>
      </c>
      <c r="P168" s="15" t="n">
        <v>-0.4118541033434651</v>
      </c>
      <c r="Q168" s="16" t="n">
        <v>-0.06436990027197931</v>
      </c>
      <c r="R168" s="2" t="inlineStr">
        <is>
          <t>跌穿 MA20</t>
        </is>
      </c>
      <c r="S168" s="2" t="inlineStr"/>
      <c r="T168" s="9" t="n">
        <v>1.145737723438585</v>
      </c>
      <c r="U168" s="9" t="n">
        <v>0.3028811314537356</v>
      </c>
      <c r="V168" s="3" t="inlineStr">
        <is>
          <t>C2 曾有10MA上升、C3 回落20MA、C4 波幅減低</t>
        </is>
      </c>
    </row>
    <row r="169">
      <c r="A169" s="2" t="inlineStr">
        <is>
          <t>工業</t>
        </is>
      </c>
      <c r="B169" s="27" t="inlineStr">
        <is>
          <t>CHRN</t>
        </is>
      </c>
      <c r="C169" s="2" t="inlineStr">
        <is>
          <t>ChronoScale Holdings Corporation</t>
        </is>
      </c>
      <c r="D169" s="2" t="inlineStr">
        <is>
          <t>Industrial Machinery/Components</t>
        </is>
      </c>
      <c r="E169" s="2" t="inlineStr">
        <is>
          <t>中型</t>
        </is>
      </c>
      <c r="F169" s="10" t="n">
        <v>19.73</v>
      </c>
      <c r="G169" s="2" t="inlineStr">
        <is>
          <t>2026-05-28</t>
        </is>
      </c>
      <c r="H169" s="15" t="n">
        <v>0.2324797843665767</v>
      </c>
      <c r="I169" s="15" t="n">
        <v>0.04009433962264164</v>
      </c>
      <c r="J169" s="17" t="n">
        <v>8.236625565865493</v>
      </c>
      <c r="K169" s="2" t="inlineStr">
        <is>
          <t>2026-04-14</t>
        </is>
      </c>
      <c r="L169" s="14" t="n">
        <v>1.963</v>
      </c>
      <c r="M169" s="9" t="n">
        <v>4.723721136489394</v>
      </c>
      <c r="N169" s="2" t="inlineStr">
        <is>
          <t>2026-07-15</t>
        </is>
      </c>
      <c r="O169" s="12" t="n">
        <v>54</v>
      </c>
      <c r="P169" s="15" t="n">
        <v>-0.3341208234897063</v>
      </c>
      <c r="Q169" s="16" t="n">
        <v>-0.003094801995832119</v>
      </c>
      <c r="R169" s="2" t="inlineStr">
        <is>
          <t>貼近 MA20</t>
        </is>
      </c>
      <c r="S169" s="2" t="inlineStr">
        <is>
          <t>有</t>
        </is>
      </c>
      <c r="T169" s="9" t="n">
        <v>0.9792338299056196</v>
      </c>
      <c r="U169" s="9" t="n">
        <v>0.5786358305881485</v>
      </c>
      <c r="V169" s="3" t="inlineStr">
        <is>
          <t>C3 回落20MA、C4 波幅減低</t>
        </is>
      </c>
    </row>
    <row r="170">
      <c r="A170" s="2" t="inlineStr">
        <is>
          <t>工業</t>
        </is>
      </c>
      <c r="B170" s="27" t="inlineStr">
        <is>
          <t>AIRJ</t>
        </is>
      </c>
      <c r="C170" s="2" t="inlineStr">
        <is>
          <t>AirJoule Technologies Corporation Class A</t>
        </is>
      </c>
      <c r="D170" s="2" t="inlineStr">
        <is>
          <t>Industrial Machinery/Components</t>
        </is>
      </c>
      <c r="E170" s="2" t="inlineStr">
        <is>
          <t>小型</t>
        </is>
      </c>
      <c r="F170" s="10" t="n">
        <v>3.9</v>
      </c>
      <c r="G170" s="2" t="inlineStr">
        <is>
          <t>2026-06-01</t>
        </is>
      </c>
      <c r="H170" s="15" t="n">
        <v>0.158129175946548</v>
      </c>
      <c r="I170" s="15" t="n">
        <v>0.08574610244988867</v>
      </c>
      <c r="J170" s="17" t="n">
        <v>6.051006078999459</v>
      </c>
      <c r="K170" s="2" t="inlineStr">
        <is>
          <t>2026-05-18</t>
        </is>
      </c>
      <c r="L170" s="14" t="n">
        <v>0.8181818181818183</v>
      </c>
      <c r="M170" s="9" t="n">
        <v>6.287839358395646</v>
      </c>
      <c r="N170" s="2" t="inlineStr">
        <is>
          <t>2026-08-11</t>
        </is>
      </c>
      <c r="O170" s="12" t="n">
        <v>35</v>
      </c>
      <c r="P170" s="15" t="n">
        <v>-0.390625</v>
      </c>
      <c r="Q170" s="16" t="n">
        <v>-0.079537408543781</v>
      </c>
      <c r="R170" s="2" t="inlineStr">
        <is>
          <t>跌穿 MA20</t>
        </is>
      </c>
      <c r="S170" s="2" t="inlineStr"/>
      <c r="T170" s="9" t="n">
        <v>0.8466550978993859</v>
      </c>
      <c r="U170" s="9" t="n">
        <v>0.3299440084521177</v>
      </c>
      <c r="V170" s="3" t="inlineStr">
        <is>
          <t>C2 曾有10MA上升、C3 回落20MA</t>
        </is>
      </c>
    </row>
    <row r="171">
      <c r="A171" s="2" t="inlineStr">
        <is>
          <t>工業</t>
        </is>
      </c>
      <c r="B171" s="27" t="inlineStr">
        <is>
          <t>MEC</t>
        </is>
      </c>
      <c r="C171" s="2" t="inlineStr">
        <is>
          <t>Mayville Engineering Company Inc.</t>
        </is>
      </c>
      <c r="D171" s="2" t="inlineStr">
        <is>
          <t>Industrial Specialties</t>
        </is>
      </c>
      <c r="E171" s="2" t="inlineStr">
        <is>
          <t>小型</t>
        </is>
      </c>
      <c r="F171" s="10" t="n">
        <v>15</v>
      </c>
      <c r="G171" s="2" t="inlineStr">
        <is>
          <t>2026-06-01</t>
        </is>
      </c>
      <c r="H171" s="15" t="n">
        <v>0.1500931098696461</v>
      </c>
      <c r="I171" s="15" t="n">
        <v>0.01229050279329602</v>
      </c>
      <c r="J171" s="17" t="n">
        <v>3.637268988376248</v>
      </c>
      <c r="K171" s="2" t="inlineStr">
        <is>
          <t>2026-04-16</t>
        </is>
      </c>
      <c r="L171" s="14" t="n">
        <v>0.7445624683864442</v>
      </c>
      <c r="M171" s="9" t="n">
        <v>4.879605635953623</v>
      </c>
      <c r="N171" s="2" t="inlineStr">
        <is>
          <t>2026-07-14</t>
        </is>
      </c>
      <c r="O171" s="12" t="n">
        <v>55</v>
      </c>
      <c r="P171" s="15" t="n">
        <v>-0.5650913308205276</v>
      </c>
      <c r="Q171" s="16" t="n">
        <v>-0.1596638655462164</v>
      </c>
      <c r="R171" s="2" t="inlineStr">
        <is>
          <t>跌穿 MA20</t>
        </is>
      </c>
      <c r="S171" s="2" t="inlineStr"/>
      <c r="T171" s="9" t="n">
        <v>1.192605190070889</v>
      </c>
      <c r="U171" s="9" t="n">
        <v>1.173302045318731</v>
      </c>
      <c r="V171" s="3" t="inlineStr">
        <is>
          <t>C2 曾有10MA上升、C3 回落20MA、C4 波幅減低</t>
        </is>
      </c>
    </row>
    <row r="172">
      <c r="A172" s="2" t="inlineStr">
        <is>
          <t>工業</t>
        </is>
      </c>
      <c r="B172" s="27" t="inlineStr">
        <is>
          <t>OCC</t>
        </is>
      </c>
      <c r="C172" s="2" t="inlineStr">
        <is>
          <t>Optical Cable Corporation</t>
        </is>
      </c>
      <c r="D172" s="2" t="inlineStr">
        <is>
          <t>Telecommunications Equipment</t>
        </is>
      </c>
      <c r="E172" s="2" t="inlineStr">
        <is>
          <t>小型</t>
        </is>
      </c>
      <c r="F172" s="10" t="n">
        <v>16.57</v>
      </c>
      <c r="G172" s="2" t="inlineStr">
        <is>
          <t>2026-06-08</t>
        </is>
      </c>
      <c r="H172" s="15" t="n">
        <v>0.5447154471544715</v>
      </c>
      <c r="I172" s="15" t="n">
        <v>0.5943089430894308</v>
      </c>
      <c r="J172" s="17" t="n">
        <v>64.5408405919202</v>
      </c>
      <c r="K172" s="2" t="inlineStr">
        <is>
          <t>2026-05-20</t>
        </is>
      </c>
      <c r="L172" s="14" t="n">
        <v>0.7450980392156865</v>
      </c>
      <c r="M172" s="9" t="n">
        <v>6.562499970432664</v>
      </c>
      <c r="N172" s="2" t="inlineStr">
        <is>
          <t>2026-08-14</t>
        </is>
      </c>
      <c r="O172" s="12" t="n">
        <v>32</v>
      </c>
      <c r="P172" s="15" t="n">
        <v>-0.06910112359550569</v>
      </c>
      <c r="Q172" s="16" t="n">
        <v>0.1637053163845767</v>
      </c>
      <c r="R172" s="2" t="inlineStr">
        <is>
          <t>仍高於 MA20</t>
        </is>
      </c>
      <c r="S172" s="2" t="inlineStr">
        <is>
          <t>有</t>
        </is>
      </c>
      <c r="T172" s="9" t="n">
        <v>0.8107478157723262</v>
      </c>
      <c r="U172" s="9" t="n">
        <v>0.4881484852912737</v>
      </c>
      <c r="V172" s="3" t="inlineStr">
        <is>
          <t>C3 回落20MA</t>
        </is>
      </c>
    </row>
    <row r="173">
      <c r="A173" s="2" t="inlineStr">
        <is>
          <t>工業</t>
        </is>
      </c>
      <c r="B173" s="27" t="inlineStr">
        <is>
          <t>FRD</t>
        </is>
      </c>
      <c r="C173" s="2" t="inlineStr">
        <is>
          <t>Friedman Industries Inc.</t>
        </is>
      </c>
      <c r="D173" s="2" t="inlineStr">
        <is>
          <t>Steel/Iron Ore</t>
        </is>
      </c>
      <c r="E173" s="2" t="inlineStr">
        <is>
          <t>小型</t>
        </is>
      </c>
      <c r="F173" s="10" t="n">
        <v>38.2</v>
      </c>
      <c r="G173" s="2" t="inlineStr">
        <is>
          <t>2026-06-12</t>
        </is>
      </c>
      <c r="H173" s="15" t="n">
        <v>0.3161485974222895</v>
      </c>
      <c r="I173" s="15" t="n">
        <v>0.1827141774071266</v>
      </c>
      <c r="J173" s="17" t="n">
        <v>11.0230352303523</v>
      </c>
      <c r="K173" s="2" t="inlineStr">
        <is>
          <t>2026-05-18</t>
        </is>
      </c>
      <c r="L173" s="14" t="n">
        <v>1.353401860009789</v>
      </c>
      <c r="M173" s="9" t="n">
        <v>5.47801722024952</v>
      </c>
      <c r="N173" s="2" t="inlineStr">
        <is>
          <t>2026-08-17</t>
        </is>
      </c>
      <c r="O173" s="12" t="n">
        <v>31</v>
      </c>
      <c r="P173" s="15" t="n">
        <v>-0.2054908485856904</v>
      </c>
      <c r="Q173" s="16" t="n">
        <v>-0.0839987530873082</v>
      </c>
      <c r="R173" s="2" t="inlineStr">
        <is>
          <t>跌穿 MA20</t>
        </is>
      </c>
      <c r="S173" s="2" t="inlineStr">
        <is>
          <t>有</t>
        </is>
      </c>
      <c r="T173" s="9" t="n">
        <v>0.7185161493966079</v>
      </c>
      <c r="U173" s="9" t="n">
        <v>0.4354386384674178</v>
      </c>
      <c r="V173" s="3" t="inlineStr">
        <is>
          <t>C3 回落20MA</t>
        </is>
      </c>
    </row>
    <row r="174">
      <c r="A174" s="2" t="inlineStr">
        <is>
          <t>工業</t>
        </is>
      </c>
      <c r="B174" s="27" t="inlineStr">
        <is>
          <t>SWBI</t>
        </is>
      </c>
      <c r="C174" s="2" t="inlineStr">
        <is>
          <t>Smith &amp; Wesson Brands Inc.</t>
        </is>
      </c>
      <c r="D174" s="2" t="inlineStr">
        <is>
          <t>Ordnance And Accessories</t>
        </is>
      </c>
      <c r="E174" s="2" t="inlineStr">
        <is>
          <t>小型</t>
        </is>
      </c>
      <c r="F174" s="10" t="n">
        <v>14.06</v>
      </c>
      <c r="G174" s="2" t="inlineStr">
        <is>
          <t>2026-06-18</t>
        </is>
      </c>
      <c r="H174" s="15" t="n">
        <v>0.1711580480699197</v>
      </c>
      <c r="I174" s="15" t="n">
        <v>0.1507647487254189</v>
      </c>
      <c r="J174" s="17" t="n">
        <v>8.301436516118446</v>
      </c>
      <c r="K174" s="2" t="inlineStr">
        <is>
          <t>2026-06-17</t>
        </is>
      </c>
      <c r="L174" s="14" t="n">
        <v>0.1405680990531681</v>
      </c>
      <c r="M174" s="9" t="n">
        <v>2.248491760728294</v>
      </c>
      <c r="N174" s="2" t="inlineStr">
        <is>
          <t>2026-07-13</t>
        </is>
      </c>
      <c r="O174" s="12" t="n">
        <v>56</v>
      </c>
      <c r="P174" s="15" t="n">
        <v>-0.1021711366538952</v>
      </c>
      <c r="Q174" s="16" t="n">
        <v>0.04271729457134454</v>
      </c>
      <c r="R174" s="2" t="inlineStr">
        <is>
          <t>仍高於 MA20</t>
        </is>
      </c>
      <c r="S174" s="2" t="inlineStr">
        <is>
          <t>有</t>
        </is>
      </c>
      <c r="T174" s="9" t="n">
        <v>0.6303688258347132</v>
      </c>
      <c r="U174" s="9" t="n">
        <v>0.3711390728844171</v>
      </c>
      <c r="V174" s="3" t="inlineStr">
        <is>
          <t>C3 回落20MA</t>
        </is>
      </c>
    </row>
    <row r="175">
      <c r="A175" s="2" t="inlineStr">
        <is>
          <t>工業</t>
        </is>
      </c>
      <c r="B175" s="27" t="inlineStr">
        <is>
          <t>CDNL</t>
        </is>
      </c>
      <c r="C175" s="2" t="inlineStr">
        <is>
          <t>Cardinal Infrastructure Group Inc. Class A</t>
        </is>
      </c>
      <c r="D175" s="2" t="inlineStr">
        <is>
          <t>Military/Government/Technical</t>
        </is>
      </c>
      <c r="E175" s="2" t="inlineStr">
        <is>
          <t>小型</t>
        </is>
      </c>
      <c r="F175" s="10" t="n">
        <v>30.6</v>
      </c>
      <c r="G175" s="2" t="inlineStr">
        <is>
          <t>2026-06-25</t>
        </is>
      </c>
      <c r="H175" s="15" t="n">
        <v>0.1224066390041494</v>
      </c>
      <c r="I175" s="15" t="n">
        <v>0.01134976812301702</v>
      </c>
      <c r="J175" s="17" t="n">
        <v>5.444163990504067</v>
      </c>
      <c r="K175" s="2" t="inlineStr">
        <is>
          <t>2026-04-06</t>
        </is>
      </c>
      <c r="L175" s="14" t="n">
        <v>0.9401647286821706</v>
      </c>
      <c r="M175" s="9" t="n">
        <v>4.049986249364</v>
      </c>
      <c r="N175" s="2" t="inlineStr">
        <is>
          <t>2026-07-06</t>
        </is>
      </c>
      <c r="O175" s="12" t="n">
        <v>61</v>
      </c>
      <c r="P175" s="15" t="n">
        <v>-0.6179298289424398</v>
      </c>
      <c r="Q175" s="16" t="n">
        <v>-0.0491431412457537</v>
      </c>
      <c r="R175" s="2" t="inlineStr">
        <is>
          <t>跌穿 MA20</t>
        </is>
      </c>
      <c r="S175" s="2" t="inlineStr"/>
      <c r="T175" s="9" t="n">
        <v>1.041754417791869</v>
      </c>
      <c r="U175" s="9" t="n">
        <v>0.8198702023163393</v>
      </c>
      <c r="V175" s="3" t="inlineStr">
        <is>
          <t>C2 曾有10MA上升、C3 回落20MA、C4 波幅減低</t>
        </is>
      </c>
    </row>
    <row r="176">
      <c r="A176" s="2" t="inlineStr">
        <is>
          <t>工業</t>
        </is>
      </c>
      <c r="B176" s="27" t="inlineStr">
        <is>
          <t>NNBR</t>
        </is>
      </c>
      <c r="C176" s="2" t="inlineStr">
        <is>
          <t>NN Inc.</t>
        </is>
      </c>
      <c r="D176" s="2" t="inlineStr">
        <is>
          <t>Industrial Machinery/Components</t>
        </is>
      </c>
      <c r="E176" s="2" t="inlineStr">
        <is>
          <t>小型</t>
        </is>
      </c>
      <c r="F176" s="10" t="n">
        <v>3.67</v>
      </c>
      <c r="G176" s="2" t="inlineStr">
        <is>
          <t>2026-06-29</t>
        </is>
      </c>
      <c r="H176" s="15" t="n">
        <v>0.3115942028985508</v>
      </c>
      <c r="I176" s="15" t="n">
        <v>0.3840579710144929</v>
      </c>
      <c r="J176" s="17" t="n">
        <v>98.38535645472062</v>
      </c>
      <c r="K176" s="2" t="inlineStr">
        <is>
          <t>2026-05-18</t>
        </is>
      </c>
      <c r="L176" s="14" t="n">
        <v>0.8853211009174311</v>
      </c>
      <c r="M176" s="9" t="n">
        <v>6.328953670612798</v>
      </c>
      <c r="N176" s="2" t="inlineStr">
        <is>
          <t>2026-08-17</t>
        </is>
      </c>
      <c r="O176" s="12" t="n">
        <v>31</v>
      </c>
      <c r="P176" s="15" t="n">
        <v>-0.1070559610705597</v>
      </c>
      <c r="Q176" s="16" t="n">
        <v>0.0352609308885774</v>
      </c>
      <c r="R176" s="2" t="inlineStr">
        <is>
          <t>仍高於 MA20</t>
        </is>
      </c>
      <c r="S176" s="2" t="inlineStr">
        <is>
          <t>有</t>
        </is>
      </c>
      <c r="T176" s="9" t="n">
        <v>1.106384622640841</v>
      </c>
      <c r="U176" s="9" t="n">
        <v>0.7230828650572936</v>
      </c>
      <c r="V176" s="3" t="inlineStr">
        <is>
          <t>C3 回落20MA、C4 波幅減低</t>
        </is>
      </c>
    </row>
    <row r="177">
      <c r="A177" s="2" t="inlineStr">
        <is>
          <t>工業</t>
        </is>
      </c>
      <c r="B177" s="27" t="inlineStr">
        <is>
          <t>MYE</t>
        </is>
      </c>
      <c r="C177" s="2" t="inlineStr">
        <is>
          <t>Myers Industries Inc.</t>
        </is>
      </c>
      <c r="D177" s="2" t="inlineStr">
        <is>
          <t>Plastic Products</t>
        </is>
      </c>
      <c r="E177" s="2" t="inlineStr">
        <is>
          <t>小型</t>
        </is>
      </c>
      <c r="F177" s="10" t="n">
        <v>30.77</v>
      </c>
      <c r="G177" s="2" t="inlineStr">
        <is>
          <t>2026-06-30</t>
        </is>
      </c>
      <c r="H177" s="15" t="n">
        <v>0.1441996111471162</v>
      </c>
      <c r="I177" s="15" t="n">
        <v>0.04990278677900184</v>
      </c>
      <c r="J177" s="17" t="n">
        <v>4.436139096522587</v>
      </c>
      <c r="K177" s="2" t="inlineStr">
        <is>
          <t>2026-05-04</t>
        </is>
      </c>
      <c r="L177" s="14" t="n">
        <v>0.8536831483350151</v>
      </c>
      <c r="M177" s="9" t="n">
        <v>2.400597800616872</v>
      </c>
      <c r="N177" s="2" t="inlineStr">
        <is>
          <t>2026-08-03</t>
        </is>
      </c>
      <c r="O177" s="12" t="n">
        <v>41</v>
      </c>
      <c r="P177" s="15" t="n">
        <v>-0.1624931954273272</v>
      </c>
      <c r="Q177" s="16" t="n">
        <v>-0.007819427650143984</v>
      </c>
      <c r="R177" s="2" t="inlineStr">
        <is>
          <t>貼近 MA20</t>
        </is>
      </c>
      <c r="S177" s="2" t="inlineStr"/>
      <c r="T177" s="9" t="n">
        <v>0.8531832147464135</v>
      </c>
      <c r="U177" s="9" t="n">
        <v>0.5643410064739649</v>
      </c>
      <c r="V177" s="3" t="inlineStr">
        <is>
          <t>C2 曾有10MA上升、C3 回落20MA</t>
        </is>
      </c>
    </row>
    <row r="178">
      <c r="A178" s="2" t="inlineStr">
        <is>
          <t>工業</t>
        </is>
      </c>
      <c r="B178" s="27" t="inlineStr">
        <is>
          <t>LCID</t>
        </is>
      </c>
      <c r="C178" s="2" t="inlineStr">
        <is>
          <t>Lucid Group Inc.</t>
        </is>
      </c>
      <c r="D178" s="2" t="inlineStr">
        <is>
          <t>Auto Manufacturing</t>
        </is>
      </c>
      <c r="E178" s="2" t="inlineStr">
        <is>
          <t>小型</t>
        </is>
      </c>
      <c r="F178" s="10" t="n">
        <v>4.07</v>
      </c>
      <c r="G178" s="2" t="inlineStr">
        <is>
          <t>2026-07-15</t>
        </is>
      </c>
      <c r="H178" s="15" t="n">
        <v>0.2878787878787878</v>
      </c>
      <c r="I178" s="15" t="n">
        <v>0.003246753246753276</v>
      </c>
      <c r="J178" s="17" t="n">
        <v>3.144608426128752</v>
      </c>
      <c r="K178" s="2" t="inlineStr">
        <is>
          <t>2026-07-14</t>
        </is>
      </c>
      <c r="L178" s="14" t="n">
        <v>0.7575757575757573</v>
      </c>
      <c r="M178" s="9" t="n">
        <v>2.013183726773202</v>
      </c>
      <c r="N178" s="2" t="inlineStr">
        <is>
          <t>2026-07-30</t>
        </is>
      </c>
      <c r="O178" s="12" t="n">
        <v>43</v>
      </c>
      <c r="P178" s="15" t="n">
        <v>-0.4987684729064038</v>
      </c>
      <c r="Q178" s="16" t="n">
        <v>-0.04257821689014829</v>
      </c>
      <c r="R178" s="2" t="inlineStr">
        <is>
          <t>跌穿 MA20</t>
        </is>
      </c>
      <c r="S178" s="2" t="inlineStr"/>
      <c r="T178" s="9" t="n">
        <v>0.8485842976593613</v>
      </c>
      <c r="U178" s="9" t="n">
        <v>0.3385953888797281</v>
      </c>
      <c r="V178" s="3" t="inlineStr">
        <is>
          <t>C2 曾有10MA上升、C3 回落20MA</t>
        </is>
      </c>
    </row>
    <row r="179">
      <c r="A179" s="2" t="inlineStr">
        <is>
          <t>工業</t>
        </is>
      </c>
      <c r="B179" s="27" t="inlineStr">
        <is>
          <t>PRPO</t>
        </is>
      </c>
      <c r="C179" s="2" t="inlineStr">
        <is>
          <t>Precipio Inc.</t>
        </is>
      </c>
      <c r="D179" s="2" t="inlineStr">
        <is>
          <t>Biotechnology: Laboratory Analytical Instruments</t>
        </is>
      </c>
      <c r="E179" s="2" t="inlineStr">
        <is>
          <t>小型</t>
        </is>
      </c>
      <c r="F179" s="10" t="n">
        <v>23.68</v>
      </c>
      <c r="G179" s="2" t="inlineStr">
        <is>
          <t>2026-07-15</t>
        </is>
      </c>
      <c r="H179" s="15" t="n">
        <v>0.08793103448275863</v>
      </c>
      <c r="I179" s="15" t="n">
        <v>-0.008189655172413657</v>
      </c>
      <c r="J179" s="17" t="n">
        <v>4.169723648813891</v>
      </c>
      <c r="K179" s="2" t="inlineStr">
        <is>
          <t>2026-07-30</t>
        </is>
      </c>
      <c r="L179" s="14" t="n">
        <v>0.4686172722982538</v>
      </c>
      <c r="M179" s="9" t="n">
        <v>2.223082395650987</v>
      </c>
      <c r="N179" s="2" t="inlineStr">
        <is>
          <t>2026-08-24</t>
        </is>
      </c>
      <c r="O179" s="12" t="n">
        <v>26</v>
      </c>
      <c r="P179" s="15" t="n">
        <v>-0.2390745501285347</v>
      </c>
      <c r="Q179" s="16" t="n">
        <v>-0.08648142968742212</v>
      </c>
      <c r="R179" s="2" t="inlineStr">
        <is>
          <t>跌穿 MA20</t>
        </is>
      </c>
      <c r="S179" s="2" t="inlineStr">
        <is>
          <t>有</t>
        </is>
      </c>
      <c r="T179" s="9" t="n">
        <v>0.8221099529441022</v>
      </c>
      <c r="U179" s="9" t="n">
        <v>0.5932416548408203</v>
      </c>
      <c r="V179" s="3" t="inlineStr">
        <is>
          <t>C3 回落20MA</t>
        </is>
      </c>
    </row>
    <row r="180">
      <c r="A180" s="2" t="inlineStr">
        <is>
          <t>工業</t>
        </is>
      </c>
      <c r="B180" s="27" t="inlineStr">
        <is>
          <t>PESI</t>
        </is>
      </c>
      <c r="C180" s="2" t="inlineStr">
        <is>
          <t>Perma-Fix Environmental Services Inc.</t>
        </is>
      </c>
      <c r="D180" s="2" t="inlineStr">
        <is>
          <t>Environmental Services</t>
        </is>
      </c>
      <c r="E180" s="2" t="inlineStr">
        <is>
          <t>小型</t>
        </is>
      </c>
      <c r="F180" s="10" t="n">
        <v>15.65</v>
      </c>
      <c r="G180" s="2" t="inlineStr">
        <is>
          <t>2026-07-17</t>
        </is>
      </c>
      <c r="H180" s="15" t="n">
        <v>0.1359791802212102</v>
      </c>
      <c r="I180" s="15" t="n">
        <v>-0.02732595966167861</v>
      </c>
      <c r="J180" s="17" t="n">
        <v>7.400620160450518</v>
      </c>
      <c r="K180" s="2" t="inlineStr">
        <is>
          <t>2026-05-19</t>
        </is>
      </c>
      <c r="L180" s="14" t="n">
        <v>1.256678281068525</v>
      </c>
      <c r="M180" s="9" t="n">
        <v>2.72034882749138</v>
      </c>
      <c r="N180" s="2" t="inlineStr">
        <is>
          <t>2026-08-12</t>
        </is>
      </c>
      <c r="O180" s="12" t="n">
        <v>34</v>
      </c>
      <c r="P180" s="15" t="n">
        <v>-0.1945445187853834</v>
      </c>
      <c r="Q180" s="16" t="n">
        <v>-0.09909909909909986</v>
      </c>
      <c r="R180" s="2" t="inlineStr">
        <is>
          <t>跌穿 MA20</t>
        </is>
      </c>
      <c r="S180" s="2" t="inlineStr">
        <is>
          <t>有</t>
        </is>
      </c>
      <c r="T180" s="9" t="n">
        <v>0.8535337614925133</v>
      </c>
      <c r="U180" s="9" t="n">
        <v>0.5088184687740599</v>
      </c>
      <c r="V180" s="3" t="inlineStr">
        <is>
          <t>C3 回落20MA</t>
        </is>
      </c>
    </row>
    <row r="181">
      <c r="A181" s="2" t="inlineStr">
        <is>
          <t>工業</t>
        </is>
      </c>
      <c r="B181" s="27" t="inlineStr">
        <is>
          <t>NWL</t>
        </is>
      </c>
      <c r="C181" s="2" t="inlineStr">
        <is>
          <t>Newell Brands Inc.</t>
        </is>
      </c>
      <c r="D181" s="2" t="inlineStr">
        <is>
          <t>Plastic Products</t>
        </is>
      </c>
      <c r="E181" s="2" t="inlineStr">
        <is>
          <t>中型</t>
        </is>
      </c>
      <c r="F181" s="10" t="n">
        <v>5.28</v>
      </c>
      <c r="G181" s="2" t="inlineStr">
        <is>
          <t>2026-07-31</t>
        </is>
      </c>
      <c r="H181" s="15" t="n">
        <v>0.08949416342412442</v>
      </c>
      <c r="I181" s="15" t="n">
        <v>0.284046692607004</v>
      </c>
      <c r="J181" s="17" t="n">
        <v>3.930052970834131</v>
      </c>
      <c r="K181" s="2" t="inlineStr">
        <is>
          <t>2026-06-02</t>
        </is>
      </c>
      <c r="L181" s="14" t="n">
        <v>0.9509202453987733</v>
      </c>
      <c r="M181" s="9" t="n">
        <v>2.753109391597714</v>
      </c>
      <c r="N181" s="2" t="inlineStr">
        <is>
          <t>2026-08-03</t>
        </is>
      </c>
      <c r="O181" s="12" t="n">
        <v>41</v>
      </c>
      <c r="P181" s="15" t="n">
        <v>-0.1698113207547169</v>
      </c>
      <c r="Q181" s="16" t="n">
        <v>-0.0778903248340862</v>
      </c>
      <c r="R181" s="2" t="inlineStr">
        <is>
          <t>跌穿 MA20</t>
        </is>
      </c>
      <c r="S181" s="2" t="inlineStr"/>
      <c r="T181" s="9" t="n">
        <v>0.8890085611489933</v>
      </c>
      <c r="U181" s="9" t="n">
        <v>0.479351959431443</v>
      </c>
      <c r="V181" s="3" t="inlineStr">
        <is>
          <t>C2 曾有10MA上升、C3 回落20MA</t>
        </is>
      </c>
    </row>
    <row r="182">
      <c r="A182" s="2" t="inlineStr">
        <is>
          <t>工業</t>
        </is>
      </c>
      <c r="B182" s="27" t="inlineStr">
        <is>
          <t>FTK</t>
        </is>
      </c>
      <c r="C182" s="2" t="inlineStr">
        <is>
          <t>Flotek Industries Inc.</t>
        </is>
      </c>
      <c r="D182" s="2" t="inlineStr">
        <is>
          <t>Major Chemicals</t>
        </is>
      </c>
      <c r="E182" s="2" t="inlineStr">
        <is>
          <t>小型</t>
        </is>
      </c>
      <c r="F182" s="10" t="n">
        <v>29.32</v>
      </c>
      <c r="G182" s="2" t="inlineStr">
        <is>
          <t>2026-08-05</t>
        </is>
      </c>
      <c r="H182" s="15" t="n">
        <v>0.2786246012052462</v>
      </c>
      <c r="I182" s="15" t="n">
        <v>0.1864587025877347</v>
      </c>
      <c r="J182" s="17" t="n">
        <v>4.519675319381849</v>
      </c>
      <c r="K182" s="2" t="inlineStr">
        <is>
          <t>2026-05-11</t>
        </is>
      </c>
      <c r="L182" s="14" t="n">
        <v>1.290265486725664</v>
      </c>
      <c r="M182" s="9" t="n">
        <v>2.180219414625746</v>
      </c>
      <c r="N182" s="2" t="inlineStr">
        <is>
          <t>2026-08-11</t>
        </is>
      </c>
      <c r="O182" s="12" t="n">
        <v>35</v>
      </c>
      <c r="P182" s="15" t="n">
        <v>-0.244719216898506</v>
      </c>
      <c r="Q182" s="16" t="n">
        <v>0.05121632038434831</v>
      </c>
      <c r="R182" s="2" t="inlineStr">
        <is>
          <t>仍高於 MA20</t>
        </is>
      </c>
      <c r="S182" s="2" t="inlineStr">
        <is>
          <t>有</t>
        </is>
      </c>
      <c r="T182" s="9" t="n">
        <v>0.9511672714493369</v>
      </c>
      <c r="U182" s="9" t="n">
        <v>0.7729401758341445</v>
      </c>
      <c r="V182" s="3" t="inlineStr">
        <is>
          <t>C3 回落20MA、C4 波幅減低</t>
        </is>
      </c>
    </row>
    <row r="183">
      <c r="A183" s="2" t="inlineStr">
        <is>
          <t>工業</t>
        </is>
      </c>
      <c r="B183" s="27" t="inlineStr">
        <is>
          <t>KRT</t>
        </is>
      </c>
      <c r="C183" s="2" t="inlineStr">
        <is>
          <t>Karat Packaging Inc.</t>
        </is>
      </c>
      <c r="D183" s="2" t="inlineStr">
        <is>
          <t>Plastic Products</t>
        </is>
      </c>
      <c r="E183" s="2" t="inlineStr">
        <is>
          <t>小型</t>
        </is>
      </c>
      <c r="F183" s="10" t="n">
        <v>52.55</v>
      </c>
      <c r="G183" s="2" t="inlineStr">
        <is>
          <t>2026-08-07</t>
        </is>
      </c>
      <c r="H183" s="15" t="n">
        <v>0.1113995751711119</v>
      </c>
      <c r="I183" s="15" t="n">
        <v>0.05758791597828661</v>
      </c>
      <c r="J183" s="17" t="n">
        <v>3.149925533675327</v>
      </c>
      <c r="K183" s="2" t="inlineStr">
        <is>
          <t>2026-06-25</t>
        </is>
      </c>
      <c r="L183" s="14" t="n">
        <v>0.7425997425997426</v>
      </c>
      <c r="M183" s="9" t="n">
        <v>2.424080710369901</v>
      </c>
      <c r="N183" s="2" t="inlineStr">
        <is>
          <t>2026-09-24</t>
        </is>
      </c>
      <c r="O183" s="12" t="n">
        <v>4</v>
      </c>
      <c r="P183" s="15" t="n">
        <v>-0.02972673559822747</v>
      </c>
      <c r="Q183" s="16" t="n">
        <v>0.04911159912158092</v>
      </c>
      <c r="R183" s="2" t="inlineStr">
        <is>
          <t>仍高於 MA20</t>
        </is>
      </c>
      <c r="S183" s="2" t="inlineStr">
        <is>
          <t>有</t>
        </is>
      </c>
      <c r="T183" s="9" t="n">
        <v>0.7316484525304836</v>
      </c>
      <c r="U183" s="9" t="n">
        <v>0.662151188462606</v>
      </c>
      <c r="V183" s="3" t="inlineStr">
        <is>
          <t>C3 回落20MA</t>
        </is>
      </c>
    </row>
    <row r="184">
      <c r="A184" s="2" t="inlineStr">
        <is>
          <t>工業</t>
        </is>
      </c>
      <c r="B184" s="27" t="inlineStr">
        <is>
          <t>MTW</t>
        </is>
      </c>
      <c r="C184" s="2" t="inlineStr">
        <is>
          <t>Manitowoc Company Inc. (The)</t>
        </is>
      </c>
      <c r="D184" s="2" t="inlineStr">
        <is>
          <t>Construction/Ag Equipment/Trucks</t>
        </is>
      </c>
      <c r="E184" s="2" t="inlineStr">
        <is>
          <t>小型</t>
        </is>
      </c>
      <c r="F184" s="10" t="n">
        <v>21.46</v>
      </c>
      <c r="G184" s="2" t="inlineStr">
        <is>
          <t>2026-08-07</t>
        </is>
      </c>
      <c r="H184" s="15" t="n">
        <v>0.323715693173821</v>
      </c>
      <c r="I184" s="15" t="n">
        <v>0.2061928219563687</v>
      </c>
      <c r="J184" s="17" t="n">
        <v>5.162820954348907</v>
      </c>
      <c r="K184" s="2" t="inlineStr">
        <is>
          <t>2026-07-07</t>
        </is>
      </c>
      <c r="L184" s="14" t="n">
        <v>0.8549307253463734</v>
      </c>
      <c r="M184" s="9" t="n">
        <v>2.052034999041501</v>
      </c>
      <c r="N184" s="2" t="inlineStr">
        <is>
          <t>2026-09-21</t>
        </is>
      </c>
      <c r="O184" s="12" t="n">
        <v>7</v>
      </c>
      <c r="P184" s="15" t="n">
        <v>-0.05711775043936729</v>
      </c>
      <c r="Q184" s="16" t="n">
        <v>0.001867413632121506</v>
      </c>
      <c r="R184" s="2" t="inlineStr">
        <is>
          <t>貼近 MA20</t>
        </is>
      </c>
      <c r="S184" s="2" t="inlineStr">
        <is>
          <t>有</t>
        </is>
      </c>
      <c r="T184" s="9" t="n">
        <v>1.077256734632957</v>
      </c>
      <c r="U184" s="9" t="n">
        <v>0.9969309511620178</v>
      </c>
      <c r="V184" s="3" t="inlineStr">
        <is>
          <t>C4 波幅減低</t>
        </is>
      </c>
    </row>
    <row r="185">
      <c r="A185" s="2" t="inlineStr">
        <is>
          <t>工業</t>
        </is>
      </c>
      <c r="B185" s="27" t="inlineStr">
        <is>
          <t>FEIM</t>
        </is>
      </c>
      <c r="C185" s="2" t="inlineStr">
        <is>
          <t>Frequency Electronics Inc.</t>
        </is>
      </c>
      <c r="D185" s="2" t="inlineStr">
        <is>
          <t>Electrical Products</t>
        </is>
      </c>
      <c r="E185" s="2" t="inlineStr">
        <is>
          <t>小型</t>
        </is>
      </c>
      <c r="F185" s="10" t="n">
        <v>84.53</v>
      </c>
      <c r="G185" s="2" t="inlineStr">
        <is>
          <t>2026-09-11</t>
        </is>
      </c>
      <c r="H185" s="15" t="n">
        <v>0.4241057041572671</v>
      </c>
      <c r="I185" s="15" t="n">
        <v>0.3312922977763455</v>
      </c>
      <c r="J185" s="17" t="n">
        <v>4.864305860231902</v>
      </c>
      <c r="K185" s="2" t="inlineStr">
        <is>
          <t>2026-07-13</t>
        </is>
      </c>
      <c r="L185" s="14" t="n">
        <v>0.6330275229357798</v>
      </c>
      <c r="M185" s="9" t="n">
        <v>2.206478591862632</v>
      </c>
      <c r="N185" s="2" t="inlineStr">
        <is>
          <t>2026-09-21</t>
        </is>
      </c>
      <c r="O185" s="12" t="n">
        <v>7</v>
      </c>
      <c r="P185" s="15" t="n">
        <v>-0.05022471910112358</v>
      </c>
      <c r="Q185" s="16" t="n">
        <v>0.07963471486046525</v>
      </c>
      <c r="R185" s="2" t="inlineStr">
        <is>
          <t>仍高於 MA20</t>
        </is>
      </c>
      <c r="S185" s="2" t="inlineStr">
        <is>
          <t>有</t>
        </is>
      </c>
      <c r="T185" s="9" t="n">
        <v>0.7660293242393159</v>
      </c>
      <c r="U185" s="9" t="n">
        <v>0.6627186692149545</v>
      </c>
      <c r="V185" s="3" t="inlineStr">
        <is>
          <t>C3 回落20MA</t>
        </is>
      </c>
    </row>
    <row r="186">
      <c r="A186" s="2" t="inlineStr">
        <is>
          <t>工業</t>
        </is>
      </c>
      <c r="B186" s="31" t="inlineStr">
        <is>
          <t>RLGT</t>
        </is>
      </c>
      <c r="C186" s="2" t="inlineStr">
        <is>
          <t>Radiant Logistics Inc.</t>
        </is>
      </c>
      <c r="D186" s="2" t="inlineStr">
        <is>
          <t>Integrated Freight &amp; Logistics</t>
        </is>
      </c>
      <c r="E186" s="2" t="inlineStr">
        <is>
          <t>小型</t>
        </is>
      </c>
      <c r="F186" s="10" t="n">
        <v>8.69</v>
      </c>
      <c r="G186" s="2" t="inlineStr">
        <is>
          <t>2026-09-15</t>
        </is>
      </c>
      <c r="H186" s="15" t="n">
        <v>0.194884287454324</v>
      </c>
      <c r="I186" s="15" t="n">
        <v>0.1510353227771009</v>
      </c>
      <c r="J186" s="17" t="n">
        <v>23.12534487265124</v>
      </c>
      <c r="K186" s="2" t="inlineStr">
        <is>
          <t>2026-09-11</t>
        </is>
      </c>
      <c r="L186" s="14" t="n">
        <v>0.2066420664206641</v>
      </c>
      <c r="M186" s="9" t="n">
        <v>6.800994152774171</v>
      </c>
      <c r="N186" s="2" t="inlineStr">
        <is>
          <t>2026-09-15</t>
        </is>
      </c>
      <c r="O186" s="12" t="n">
        <v>11</v>
      </c>
      <c r="P186" s="15" t="n">
        <v>-0.1141692150866463</v>
      </c>
      <c r="Q186" s="16" t="n">
        <v>0.01052386766672342</v>
      </c>
      <c r="R186" s="2" t="inlineStr">
        <is>
          <t>貼近 MA20</t>
        </is>
      </c>
      <c r="S186" s="2" t="inlineStr">
        <is>
          <t>有</t>
        </is>
      </c>
      <c r="T186" s="9" t="n">
        <v>0.5337638568349152</v>
      </c>
      <c r="U186" s="9" t="n">
        <v>0.3215936207075731</v>
      </c>
      <c r="V186" s="3" t="inlineStr">
        <is>
          <t>全部通過</t>
        </is>
      </c>
    </row>
    <row r="187">
      <c r="A187" s="2" t="inlineStr">
        <is>
          <t>工業</t>
        </is>
      </c>
      <c r="B187" s="27" t="inlineStr">
        <is>
          <t>RGR</t>
        </is>
      </c>
      <c r="C187" s="2" t="inlineStr">
        <is>
          <t>Sturm Ruger &amp; Company Inc.</t>
        </is>
      </c>
      <c r="D187" s="2" t="inlineStr">
        <is>
          <t>Ordnance And Accessories</t>
        </is>
      </c>
      <c r="E187" s="2" t="inlineStr">
        <is>
          <t>小型</t>
        </is>
      </c>
      <c r="F187" s="10" t="n">
        <v>42.48</v>
      </c>
      <c r="G187" s="2" t="inlineStr">
        <is>
          <t>2026-09-17</t>
        </is>
      </c>
      <c r="H187" s="15" t="n">
        <v>0.08252427184466016</v>
      </c>
      <c r="I187" s="15" t="n">
        <v>0.04503775620280481</v>
      </c>
      <c r="J187" s="17" t="n">
        <v>3.973732806378683</v>
      </c>
      <c r="K187" s="2" t="inlineStr">
        <is>
          <t>2026-09-16</t>
        </is>
      </c>
      <c r="L187" s="14" t="n">
        <v>0.1545307443365698</v>
      </c>
      <c r="M187" s="9" t="n">
        <v>2.806597494800083</v>
      </c>
      <c r="N187" s="2" t="inlineStr">
        <is>
          <t>2026-09-25</t>
        </is>
      </c>
      <c r="O187" s="12" t="n">
        <v>3</v>
      </c>
      <c r="P187" s="15" t="n">
        <v>-0.007708479327260154</v>
      </c>
      <c r="Q187" s="16" t="n">
        <v>0.06865236094689853</v>
      </c>
      <c r="R187" s="2" t="inlineStr">
        <is>
          <t>仍高於 MA20</t>
        </is>
      </c>
      <c r="S187" s="2" t="inlineStr">
        <is>
          <t>有</t>
        </is>
      </c>
      <c r="T187" s="9" t="n">
        <v>0.7287181157652474</v>
      </c>
      <c r="U187" s="9" t="n">
        <v>0.5479731613286596</v>
      </c>
      <c r="V187" s="3" t="inlineStr">
        <is>
          <t>C3 回落20MA</t>
        </is>
      </c>
    </row>
    <row r="188">
      <c r="A188" s="2" t="inlineStr">
        <is>
          <t>金融</t>
        </is>
      </c>
      <c r="B188" s="27" t="inlineStr">
        <is>
          <t>WYFI</t>
        </is>
      </c>
      <c r="C188" s="2" t="inlineStr">
        <is>
          <t>WhiteFiber Inc.</t>
        </is>
      </c>
      <c r="D188" s="2" t="inlineStr">
        <is>
          <t>Finance: Consumer Services</t>
        </is>
      </c>
      <c r="E188" s="2" t="inlineStr">
        <is>
          <t>小型</t>
        </is>
      </c>
      <c r="F188" s="10" t="n">
        <v>18.01</v>
      </c>
      <c r="G188" s="2" t="inlineStr">
        <is>
          <t>2026-05-14</t>
        </is>
      </c>
      <c r="H188" s="15" t="n">
        <v>0.1095079541250461</v>
      </c>
      <c r="I188" s="15" t="n">
        <v>-0.0558638549759527</v>
      </c>
      <c r="J188" s="17" t="n">
        <v>7.327857228859249</v>
      </c>
      <c r="K188" s="2" t="inlineStr">
        <is>
          <t>2026-04-08</t>
        </is>
      </c>
      <c r="L188" s="14" t="n">
        <v>1.887732342007435</v>
      </c>
      <c r="M188" s="9" t="n">
        <v>3.694593667724782</v>
      </c>
      <c r="N188" s="2" t="inlineStr">
        <is>
          <t>2026-07-09</t>
        </is>
      </c>
      <c r="O188" s="12" t="n">
        <v>58</v>
      </c>
      <c r="P188" s="15" t="n">
        <v>-0.536302780638517</v>
      </c>
      <c r="Q188" s="16" t="n">
        <v>-0.04219959050176747</v>
      </c>
      <c r="R188" s="2" t="inlineStr">
        <is>
          <t>跌穿 MA20</t>
        </is>
      </c>
      <c r="S188" s="2" t="inlineStr">
        <is>
          <t>有</t>
        </is>
      </c>
      <c r="T188" s="9" t="n">
        <v>0.9530462094809919</v>
      </c>
      <c r="U188" s="9" t="n">
        <v>0.4915171396814059</v>
      </c>
      <c r="V188" s="3" t="inlineStr">
        <is>
          <t>C3 回落20MA、C4 波幅減低</t>
        </is>
      </c>
    </row>
    <row r="189">
      <c r="A189" s="2" t="inlineStr">
        <is>
          <t>金融</t>
        </is>
      </c>
      <c r="B189" s="27" t="inlineStr">
        <is>
          <t>BCBP</t>
        </is>
      </c>
      <c r="C189" s="2" t="inlineStr">
        <is>
          <t>BCB Bancorp Inc. (NJ)</t>
        </is>
      </c>
      <c r="D189" s="2" t="inlineStr">
        <is>
          <t>Savings Institutions</t>
        </is>
      </c>
      <c r="E189" s="2" t="inlineStr">
        <is>
          <t>小型</t>
        </is>
      </c>
      <c r="F189" s="10" t="n">
        <v>8.59</v>
      </c>
      <c r="G189" s="2" t="inlineStr">
        <is>
          <t>2026-06-01</t>
        </is>
      </c>
      <c r="H189" s="15" t="n">
        <v>0.09578544061302674</v>
      </c>
      <c r="I189" s="15" t="n">
        <v>0.06609195402298873</v>
      </c>
      <c r="J189" s="17" t="n">
        <v>3.139570087798971</v>
      </c>
      <c r="K189" s="2" t="inlineStr">
        <is>
          <t>2026-05-15</t>
        </is>
      </c>
      <c r="L189" s="14" t="n">
        <v>0.1260504201680674</v>
      </c>
      <c r="M189" s="9" t="n">
        <v>2.123687522880006</v>
      </c>
      <c r="N189" s="2" t="inlineStr">
        <is>
          <t>2026-07-28</t>
        </is>
      </c>
      <c r="O189" s="12" t="n">
        <v>45</v>
      </c>
      <c r="P189" s="15" t="n">
        <v>-0.1986940298507464</v>
      </c>
      <c r="Q189" s="16" t="n">
        <v>-0.003595870548663394</v>
      </c>
      <c r="R189" s="2" t="inlineStr">
        <is>
          <t>貼近 MA20</t>
        </is>
      </c>
      <c r="S189" s="2" t="inlineStr"/>
      <c r="T189" s="9" t="n">
        <v>0.6845411354361854</v>
      </c>
      <c r="U189" s="9" t="n">
        <v>0.5931422245193115</v>
      </c>
      <c r="V189" s="3" t="inlineStr">
        <is>
          <t>C2 曾有10MA上升、C3 回落20MA</t>
        </is>
      </c>
    </row>
    <row r="190">
      <c r="A190" s="2" t="inlineStr">
        <is>
          <t>金融</t>
        </is>
      </c>
      <c r="B190" s="27" t="inlineStr">
        <is>
          <t>ZSQR</t>
        </is>
      </c>
      <c r="C190" s="2" t="inlineStr">
        <is>
          <t>Z Squared Inc.</t>
        </is>
      </c>
      <c r="D190" s="2" t="inlineStr">
        <is>
          <t>Finance: Consumer Services</t>
        </is>
      </c>
      <c r="E190" s="2" t="inlineStr">
        <is>
          <t>小型</t>
        </is>
      </c>
      <c r="F190" s="10" t="n">
        <v>4.16</v>
      </c>
      <c r="G190" s="2" t="inlineStr">
        <is>
          <t>2026-06-16</t>
        </is>
      </c>
      <c r="H190" s="15" t="n">
        <v>0.1644479248238058</v>
      </c>
      <c r="I190" s="15" t="n">
        <v>-0.01957713390759597</v>
      </c>
      <c r="J190" s="17" t="n">
        <v>4.753484040489152</v>
      </c>
      <c r="K190" s="2" t="inlineStr">
        <is>
          <t>2026-05-21</t>
        </is>
      </c>
      <c r="L190" s="14" t="n">
        <v>0.3468137254901962</v>
      </c>
      <c r="M190" s="9" t="n">
        <v>6.766020778808149</v>
      </c>
      <c r="N190" s="2" t="inlineStr">
        <is>
          <t>2026-07-06</t>
        </is>
      </c>
      <c r="O190" s="12" t="n">
        <v>61</v>
      </c>
      <c r="P190" s="15" t="n">
        <v>-0.62147406733394</v>
      </c>
      <c r="Q190" s="16" t="n">
        <v>0.3276948855022748</v>
      </c>
      <c r="R190" s="2" t="inlineStr">
        <is>
          <t>仍高於 MA20</t>
        </is>
      </c>
      <c r="S190" s="2" t="inlineStr"/>
      <c r="T190" s="9" t="n">
        <v>1.325455401635309</v>
      </c>
      <c r="U190" s="9" t="n">
        <v>1.426108128592971</v>
      </c>
      <c r="V190" s="3" t="inlineStr">
        <is>
          <t>C2 曾有10MA上升、C3 回落20MA、C4 波幅減低</t>
        </is>
      </c>
    </row>
    <row r="191">
      <c r="A191" s="2" t="inlineStr">
        <is>
          <t>金融</t>
        </is>
      </c>
      <c r="B191" s="27" t="inlineStr">
        <is>
          <t>FNLC</t>
        </is>
      </c>
      <c r="C191" s="2" t="inlineStr">
        <is>
          <t>First Bancorp Inc  (ME)</t>
        </is>
      </c>
      <c r="D191" s="2" t="inlineStr">
        <is>
          <t>Major Banks</t>
        </is>
      </c>
      <c r="E191" s="2" t="inlineStr">
        <is>
          <t>小型</t>
        </is>
      </c>
      <c r="F191" s="10" t="n">
        <v>33.34</v>
      </c>
      <c r="G191" s="2" t="inlineStr">
        <is>
          <t>2026-06-22</t>
        </is>
      </c>
      <c r="H191" s="15" t="n">
        <v>0.09019091507570764</v>
      </c>
      <c r="I191" s="15" t="n">
        <v>0.008887425938117088</v>
      </c>
      <c r="J191" s="17" t="n">
        <v>6.846496742484855</v>
      </c>
      <c r="K191" s="2" t="inlineStr">
        <is>
          <t>2026-06-17</t>
        </is>
      </c>
      <c r="L191" s="14" t="n">
        <v>0.1929120695419593</v>
      </c>
      <c r="M191" s="9" t="n">
        <v>2.379689545201567</v>
      </c>
      <c r="N191" s="2" t="inlineStr">
        <is>
          <t>2026-09-15</t>
        </is>
      </c>
      <c r="O191" s="12" t="n">
        <v>11</v>
      </c>
      <c r="P191" s="15" t="n">
        <v>-0.06558295964125549</v>
      </c>
      <c r="Q191" s="16" t="n">
        <v>-0.03928998515999915</v>
      </c>
      <c r="R191" s="2" t="inlineStr">
        <is>
          <t>跌穿 MA20</t>
        </is>
      </c>
      <c r="S191" s="2" t="inlineStr"/>
      <c r="T191" s="9" t="n">
        <v>1.137866369375627</v>
      </c>
      <c r="U191" s="9" t="n">
        <v>1.01918016285493</v>
      </c>
      <c r="V191" s="3" t="inlineStr">
        <is>
          <t>C2 曾有10MA上升、C3 回落20MA、C4 波幅減低</t>
        </is>
      </c>
    </row>
    <row r="192">
      <c r="A192" s="2" t="inlineStr">
        <is>
          <t>金融</t>
        </is>
      </c>
      <c r="B192" s="27" t="inlineStr">
        <is>
          <t>FWDI</t>
        </is>
      </c>
      <c r="C192" s="2" t="inlineStr">
        <is>
          <t>Forward Industries Inc.</t>
        </is>
      </c>
      <c r="D192" s="2" t="inlineStr">
        <is>
          <t>Finance: Consumer Services</t>
        </is>
      </c>
      <c r="E192" s="2" t="inlineStr">
        <is>
          <t>小型</t>
        </is>
      </c>
      <c r="F192" s="10" t="n">
        <v>7.8</v>
      </c>
      <c r="G192" s="2" t="inlineStr">
        <is>
          <t>2026-06-26</t>
        </is>
      </c>
      <c r="H192" s="15" t="n">
        <v>0.1186440677966101</v>
      </c>
      <c r="I192" s="15" t="n">
        <v>-0.01129943502824859</v>
      </c>
      <c r="J192" s="17" t="n">
        <v>10.0332184194468</v>
      </c>
      <c r="K192" s="2" t="inlineStr">
        <is>
          <t>2026-06-25</t>
        </is>
      </c>
      <c r="L192" s="14" t="n">
        <v>1.429378531073446</v>
      </c>
      <c r="M192" s="9" t="n">
        <v>2.252437182180895</v>
      </c>
      <c r="N192" s="2" t="inlineStr">
        <is>
          <t>2026-09-22</t>
        </is>
      </c>
      <c r="O192" s="12" t="n">
        <v>6</v>
      </c>
      <c r="P192" s="15" t="n">
        <v>-0.09302325581395343</v>
      </c>
      <c r="Q192" s="16" t="n">
        <v>0.08280696883459648</v>
      </c>
      <c r="R192" s="2" t="inlineStr">
        <is>
          <t>仍高於 MA20</t>
        </is>
      </c>
      <c r="S192" s="2" t="inlineStr">
        <is>
          <t>有</t>
        </is>
      </c>
      <c r="T192" s="9" t="n">
        <v>0.7400228180576403</v>
      </c>
      <c r="U192" s="9" t="n">
        <v>0.7460119366032109</v>
      </c>
      <c r="V192" s="3" t="inlineStr">
        <is>
          <t>C3 回落20MA、C4 波幅減低</t>
        </is>
      </c>
    </row>
    <row r="193">
      <c r="A193" s="2" t="inlineStr">
        <is>
          <t>金融</t>
        </is>
      </c>
      <c r="B193" s="27" t="inlineStr">
        <is>
          <t>TCBK</t>
        </is>
      </c>
      <c r="C193" s="2" t="inlineStr">
        <is>
          <t>TriCo Bancshares</t>
        </is>
      </c>
      <c r="D193" s="2" t="inlineStr">
        <is>
          <t>Major Banks</t>
        </is>
      </c>
      <c r="E193" s="2" t="inlineStr">
        <is>
          <t>小型</t>
        </is>
      </c>
      <c r="F193" s="10" t="n">
        <v>51.19</v>
      </c>
      <c r="G193" s="2" t="inlineStr">
        <is>
          <t>2026-07-13</t>
        </is>
      </c>
      <c r="H193" s="15" t="n">
        <v>0.1198732289336315</v>
      </c>
      <c r="I193" s="15" t="n">
        <v>0.04623415361670391</v>
      </c>
      <c r="J193" s="17" t="n">
        <v>21.97266695909639</v>
      </c>
      <c r="K193" s="2" t="inlineStr">
        <is>
          <t>2026-05-15</t>
        </is>
      </c>
      <c r="L193" s="14" t="n">
        <v>0.2627049180327869</v>
      </c>
      <c r="M193" s="9" t="n">
        <v>2.432354078103832</v>
      </c>
      <c r="N193" s="2" t="inlineStr">
        <is>
          <t>2026-07-16</t>
        </is>
      </c>
      <c r="O193" s="12" t="n">
        <v>53</v>
      </c>
      <c r="P193" s="15" t="n">
        <v>-0.1692632262252516</v>
      </c>
      <c r="Q193" s="16" t="n">
        <v>-0.03537038083931821</v>
      </c>
      <c r="R193" s="2" t="inlineStr">
        <is>
          <t>跌穿 MA20</t>
        </is>
      </c>
      <c r="S193" s="2" t="inlineStr"/>
      <c r="T193" s="9" t="n">
        <v>1.054204253913492</v>
      </c>
      <c r="U193" s="9" t="n">
        <v>0.7735144843673288</v>
      </c>
      <c r="V193" s="3" t="inlineStr">
        <is>
          <t>C2 曾有10MA上升、C3 回落20MA、C4 波幅減低</t>
        </is>
      </c>
    </row>
    <row r="194">
      <c r="A194" s="2" t="inlineStr">
        <is>
          <t>金融</t>
        </is>
      </c>
      <c r="B194" s="27" t="inlineStr">
        <is>
          <t>SAFT</t>
        </is>
      </c>
      <c r="C194" s="2" t="inlineStr">
        <is>
          <t>Safety Insurance Group Inc.</t>
        </is>
      </c>
      <c r="D194" s="2" t="inlineStr">
        <is>
          <t>Property-Casualty Insurers</t>
        </is>
      </c>
      <c r="E194" s="2" t="inlineStr">
        <is>
          <t>小型</t>
        </is>
      </c>
      <c r="F194" s="10" t="n">
        <v>103.58</v>
      </c>
      <c r="G194" s="2" t="inlineStr">
        <is>
          <t>2026-07-24</t>
        </is>
      </c>
      <c r="H194" s="15" t="n">
        <v>0.4148615300246778</v>
      </c>
      <c r="I194" s="15" t="n">
        <v>0.4122566493007953</v>
      </c>
      <c r="J194" s="17" t="n">
        <v>13.96116010854817</v>
      </c>
      <c r="K194" s="2" t="inlineStr">
        <is>
          <t>2026-06-03</t>
        </is>
      </c>
      <c r="L194" s="14" t="n">
        <v>0.5218475073313784</v>
      </c>
      <c r="M194" s="9" t="n">
        <v>3.091518722435208</v>
      </c>
      <c r="N194" s="2" t="inlineStr">
        <is>
          <t>2026-08-27</t>
        </is>
      </c>
      <c r="O194" s="12" t="n">
        <v>23</v>
      </c>
      <c r="P194" s="15" t="n">
        <v>-0.002023316311783541</v>
      </c>
      <c r="Q194" s="16" t="n">
        <v>0.001324400877784848</v>
      </c>
      <c r="R194" s="2" t="inlineStr">
        <is>
          <t>貼近 MA20</t>
        </is>
      </c>
      <c r="S194" s="2" t="inlineStr">
        <is>
          <t>有</t>
        </is>
      </c>
      <c r="T194" s="9" t="n">
        <v>0.8416146035739416</v>
      </c>
      <c r="U194" s="9" t="n">
        <v>0.07964881336118794</v>
      </c>
      <c r="V194" s="3" t="inlineStr">
        <is>
          <t>C3 回落20MA</t>
        </is>
      </c>
    </row>
    <row r="195">
      <c r="A195" s="2" t="inlineStr">
        <is>
          <t>金融</t>
        </is>
      </c>
      <c r="B195" s="27" t="inlineStr">
        <is>
          <t>BOW</t>
        </is>
      </c>
      <c r="C195" s="2" t="inlineStr">
        <is>
          <t>Bowhead Specialty Holdings Inc.</t>
        </is>
      </c>
      <c r="D195" s="2" t="inlineStr">
        <is>
          <t>Property-Casualty Insurers</t>
        </is>
      </c>
      <c r="E195" s="2" t="inlineStr">
        <is>
          <t>小型</t>
        </is>
      </c>
      <c r="F195" s="10" t="n">
        <v>33.77</v>
      </c>
      <c r="G195" s="2" t="inlineStr">
        <is>
          <t>2026-08-03</t>
        </is>
      </c>
      <c r="H195" s="15" t="n">
        <v>0.1013403072899639</v>
      </c>
      <c r="I195" s="15" t="n">
        <v>0.1064073226544622</v>
      </c>
      <c r="J195" s="17" t="n">
        <v>7.724164985429276</v>
      </c>
      <c r="K195" s="2" t="inlineStr">
        <is>
          <t>2026-06-25</t>
        </is>
      </c>
      <c r="L195" s="14" t="n">
        <v>0.1985138004246283</v>
      </c>
      <c r="M195" s="9" t="n">
        <v>2.151102442081987</v>
      </c>
      <c r="N195" s="2" t="inlineStr">
        <is>
          <t>2026-09-24</t>
        </is>
      </c>
      <c r="O195" s="12" t="n">
        <v>4</v>
      </c>
      <c r="P195" s="15" t="n">
        <v>-0.002952465308532437</v>
      </c>
      <c r="Q195" s="16" t="n">
        <v>0.001230413448566336</v>
      </c>
      <c r="R195" s="2" t="inlineStr">
        <is>
          <t>貼近 MA20</t>
        </is>
      </c>
      <c r="S195" s="2" t="inlineStr"/>
      <c r="T195" s="9" t="n">
        <v>1.095606254045234</v>
      </c>
      <c r="U195" s="9" t="n">
        <v>0.1778416050071768</v>
      </c>
      <c r="V195" s="3" t="inlineStr">
        <is>
          <t>C2 曾有10MA上升、C3 回落20MA、C4 波幅減低</t>
        </is>
      </c>
    </row>
    <row r="196">
      <c r="A196" s="2" t="inlineStr">
        <is>
          <t>金融</t>
        </is>
      </c>
      <c r="B196" s="27" t="inlineStr">
        <is>
          <t>LIFE</t>
        </is>
      </c>
      <c r="C196" s="2" t="inlineStr">
        <is>
          <t>Ethos Technologies Inc. Class A</t>
        </is>
      </c>
      <c r="D196" s="2" t="inlineStr">
        <is>
          <t>Specialty Insurers</t>
        </is>
      </c>
      <c r="E196" s="2" t="inlineStr">
        <is>
          <t>中型</t>
        </is>
      </c>
      <c r="F196" s="10" t="n">
        <v>33.57</v>
      </c>
      <c r="G196" s="2" t="inlineStr">
        <is>
          <t>2026-08-04</t>
        </is>
      </c>
      <c r="H196" s="15" t="n">
        <v>0.2111257117827421</v>
      </c>
      <c r="I196" s="15" t="n">
        <v>0.1971090670170828</v>
      </c>
      <c r="J196" s="17" t="n">
        <v>9.745510240635749</v>
      </c>
      <c r="K196" s="2" t="inlineStr">
        <is>
          <t>2026-06-23</t>
        </is>
      </c>
      <c r="L196" s="14" t="n">
        <v>1.753604193971167</v>
      </c>
      <c r="M196" s="9" t="n">
        <v>3.197909583791764</v>
      </c>
      <c r="N196" s="2" t="inlineStr">
        <is>
          <t>2026-09-08</t>
        </is>
      </c>
      <c r="O196" s="12" t="n">
        <v>16</v>
      </c>
      <c r="P196" s="15" t="n">
        <v>-0.2010947168015231</v>
      </c>
      <c r="Q196" s="16" t="n">
        <v>-0.09715592012371421</v>
      </c>
      <c r="R196" s="2" t="inlineStr">
        <is>
          <t>跌穿 MA20</t>
        </is>
      </c>
      <c r="S196" s="2" t="inlineStr">
        <is>
          <t>有</t>
        </is>
      </c>
      <c r="T196" s="9" t="n">
        <v>0.9833684805386341</v>
      </c>
      <c r="U196" s="9" t="n">
        <v>0.8680291584710083</v>
      </c>
      <c r="V196" s="3" t="inlineStr">
        <is>
          <t>C3 回落20MA、C4 波幅減低</t>
        </is>
      </c>
    </row>
    <row r="197">
      <c r="A197" s="2" t="inlineStr">
        <is>
          <t>金融</t>
        </is>
      </c>
      <c r="B197" s="27" t="inlineStr">
        <is>
          <t>BRBS</t>
        </is>
      </c>
      <c r="C197" s="2" t="inlineStr">
        <is>
          <t>Blue Ridge Bankshares Inc.</t>
        </is>
      </c>
      <c r="D197" s="2" t="inlineStr">
        <is>
          <t>Major Banks</t>
        </is>
      </c>
      <c r="E197" s="2" t="inlineStr">
        <is>
          <t>小型</t>
        </is>
      </c>
      <c r="F197" s="10" t="n">
        <v>3.85</v>
      </c>
      <c r="G197" s="2" t="inlineStr">
        <is>
          <t>2026-08-17</t>
        </is>
      </c>
      <c r="H197" s="15" t="n">
        <v>0.08401084010840121</v>
      </c>
      <c r="I197" s="15" t="n">
        <v>0.04336043360433606</v>
      </c>
      <c r="J197" s="17" t="n">
        <v>20.42553450025214</v>
      </c>
      <c r="K197" s="2" t="inlineStr">
        <is>
          <t>2026-06-16</t>
        </is>
      </c>
      <c r="L197" s="14" t="n">
        <v>0.2568807339449541</v>
      </c>
      <c r="M197" s="9" t="n">
        <v>2.193912875228053</v>
      </c>
      <c r="N197" s="2" t="inlineStr">
        <is>
          <t>2026-09-10</t>
        </is>
      </c>
      <c r="O197" s="12" t="n">
        <v>14</v>
      </c>
      <c r="P197" s="15" t="n">
        <v>-0.06326034063260344</v>
      </c>
      <c r="Q197" s="16" t="n">
        <v>-0.0243284338570755</v>
      </c>
      <c r="R197" s="2" t="inlineStr">
        <is>
          <t>貼近 MA20</t>
        </is>
      </c>
      <c r="S197" s="2" t="inlineStr">
        <is>
          <t>有</t>
        </is>
      </c>
      <c r="T197" s="9" t="n">
        <v>0.8753146100751689</v>
      </c>
      <c r="U197" s="9" t="n">
        <v>0.897453505593416</v>
      </c>
      <c r="V197" s="3" t="inlineStr">
        <is>
          <t>C3 回落20MA、C4 波幅減低</t>
        </is>
      </c>
    </row>
    <row r="198">
      <c r="A198" s="2" t="inlineStr">
        <is>
          <t>金融</t>
        </is>
      </c>
      <c r="B198" s="26" t="inlineStr">
        <is>
          <t>PURR</t>
        </is>
      </c>
      <c r="C198" s="2" t="inlineStr">
        <is>
          <t>Hyperliquid Strategies Inc</t>
        </is>
      </c>
      <c r="D198" s="2" t="inlineStr">
        <is>
          <t>Finance: Consumer Services</t>
        </is>
      </c>
      <c r="E198" s="2" t="inlineStr">
        <is>
          <t>中型</t>
        </is>
      </c>
      <c r="F198" s="10" t="n">
        <v>12.27</v>
      </c>
      <c r="G198" s="2" t="inlineStr">
        <is>
          <t>2026-08-19</t>
        </is>
      </c>
      <c r="H198" s="15" t="n">
        <v>0.3041666666666667</v>
      </c>
      <c r="I198" s="15" t="n">
        <v>0.008333333333333304</v>
      </c>
      <c r="J198" s="17" t="n">
        <v>5.658375746814334</v>
      </c>
      <c r="K198" s="2" t="inlineStr">
        <is>
          <t>2026-07-29</t>
        </is>
      </c>
      <c r="L198" s="14" t="n">
        <v>1.360134003350084</v>
      </c>
      <c r="M198" s="9" t="n">
        <v>2.005126998851489</v>
      </c>
      <c r="N198" s="2" t="inlineStr">
        <is>
          <t>2026-09-24</t>
        </is>
      </c>
      <c r="O198" s="12" t="n">
        <v>4</v>
      </c>
      <c r="P198" s="15" t="n">
        <v>-0.1291696238466998</v>
      </c>
      <c r="Q198" s="16" t="n">
        <v>-0.01410148246353959</v>
      </c>
      <c r="R198" s="2" t="inlineStr">
        <is>
          <t>貼近 MA20</t>
        </is>
      </c>
      <c r="S198" s="2" t="inlineStr">
        <is>
          <t>有</t>
        </is>
      </c>
      <c r="T198" s="9" t="n">
        <v>0.801192941483118</v>
      </c>
      <c r="U198" s="9" t="n">
        <v>0.7565298365420794</v>
      </c>
      <c r="V198" s="3" t="inlineStr">
        <is>
          <t>C4 波幅減低</t>
        </is>
      </c>
    </row>
    <row r="199">
      <c r="A199" s="2" t="inlineStr">
        <is>
          <t>金融</t>
        </is>
      </c>
      <c r="B199" s="31" t="inlineStr">
        <is>
          <t>BSVN</t>
        </is>
      </c>
      <c r="C199" s="2" t="inlineStr">
        <is>
          <t>Bank7 Corp. Common stock</t>
        </is>
      </c>
      <c r="D199" s="2" t="inlineStr">
        <is>
          <t>Major Banks</t>
        </is>
      </c>
      <c r="E199" s="2" t="inlineStr">
        <is>
          <t>小型</t>
        </is>
      </c>
      <c r="F199" s="10" t="n">
        <v>54.53</v>
      </c>
      <c r="G199" s="2" t="inlineStr">
        <is>
          <t>2026-09-04</t>
        </is>
      </c>
      <c r="H199" s="15" t="n">
        <v>0.09494756911344138</v>
      </c>
      <c r="I199" s="15" t="n">
        <v>0.03431839847473772</v>
      </c>
      <c r="J199" s="17" t="n">
        <v>3.087071240105541</v>
      </c>
      <c r="K199" s="2" t="inlineStr">
        <is>
          <t>2026-06-08</t>
        </is>
      </c>
      <c r="L199" s="14" t="n">
        <v>0.2773576512455516</v>
      </c>
      <c r="M199" s="9" t="n">
        <v>3.427842466939597</v>
      </c>
      <c r="N199" s="2" t="inlineStr">
        <is>
          <t>2026-09-04</t>
        </is>
      </c>
      <c r="O199" s="12" t="n">
        <v>17</v>
      </c>
      <c r="P199" s="15" t="n">
        <v>-0.05049625631203203</v>
      </c>
      <c r="Q199" s="16" t="n">
        <v>-0.004009169033510229</v>
      </c>
      <c r="R199" s="2" t="inlineStr">
        <is>
          <t>貼近 MA20</t>
        </is>
      </c>
      <c r="S199" s="2" t="inlineStr">
        <is>
          <t>有</t>
        </is>
      </c>
      <c r="T199" s="9" t="n">
        <v>0.6466808673495018</v>
      </c>
      <c r="U199" s="9" t="n">
        <v>0.6254741735725318</v>
      </c>
      <c r="V199" s="3" t="inlineStr">
        <is>
          <t>全部通過</t>
        </is>
      </c>
    </row>
    <row r="200">
      <c r="A200" s="2" t="inlineStr">
        <is>
          <t>金融</t>
        </is>
      </c>
      <c r="B200" s="26" t="inlineStr">
        <is>
          <t>GEMI</t>
        </is>
      </c>
      <c r="C200" s="2" t="inlineStr">
        <is>
          <t>Gemini Space Station Inc. Class A</t>
        </is>
      </c>
      <c r="D200" s="2" t="inlineStr">
        <is>
          <t>Finance: Consumer Services</t>
        </is>
      </c>
      <c r="E200" s="2" t="inlineStr">
        <is>
          <t>小型</t>
        </is>
      </c>
      <c r="F200" s="10" t="n">
        <v>5.16</v>
      </c>
      <c r="G200" s="2" t="inlineStr">
        <is>
          <t>2026-09-18</t>
        </is>
      </c>
      <c r="H200" s="15" t="n">
        <v>0.3115124153498872</v>
      </c>
      <c r="I200" s="15" t="n">
        <v>0.03160270880361193</v>
      </c>
      <c r="J200" s="17" t="n">
        <v>7.809492096329839</v>
      </c>
      <c r="K200" s="2" t="inlineStr">
        <is>
          <t>2026-08-18</t>
        </is>
      </c>
      <c r="L200" s="14" t="n">
        <v>0.692090395480226</v>
      </c>
      <c r="M200" s="9" t="n">
        <v>2.264532387031052</v>
      </c>
      <c r="N200" s="2" t="inlineStr">
        <is>
          <t>2026-09-21</t>
        </is>
      </c>
      <c r="O200" s="12" t="n">
        <v>7</v>
      </c>
      <c r="P200" s="15" t="n">
        <v>-0.1385642737896494</v>
      </c>
      <c r="Q200" s="16" t="n">
        <v>0.03422358069851494</v>
      </c>
      <c r="R200" s="2" t="inlineStr">
        <is>
          <t>仍高於 MA20</t>
        </is>
      </c>
      <c r="S200" s="2" t="inlineStr">
        <is>
          <t>有</t>
        </is>
      </c>
      <c r="T200" s="9" t="n">
        <v>0.715996564989181</v>
      </c>
      <c r="U200" s="9" t="n">
        <v>0.6122006418484875</v>
      </c>
      <c r="V200" s="3" t="inlineStr">
        <is>
          <t>C3 回落20MA</t>
        </is>
      </c>
    </row>
    <row r="201">
      <c r="A201" s="2" t="inlineStr">
        <is>
          <t>其他</t>
        </is>
      </c>
      <c r="B201" s="27" t="inlineStr">
        <is>
          <t>FLNC</t>
        </is>
      </c>
      <c r="C201" s="2" t="inlineStr">
        <is>
          <t>Fluence Energy Inc. Class A</t>
        </is>
      </c>
      <c r="D201" s="2" t="inlineStr">
        <is>
          <t>Industrial Machinery/Components</t>
        </is>
      </c>
      <c r="E201" s="2" t="inlineStr">
        <is>
          <t>小型</t>
        </is>
      </c>
      <c r="F201" s="10" t="n">
        <v>7.68</v>
      </c>
      <c r="G201" s="2" t="inlineStr">
        <is>
          <t>2026-05-07</t>
        </is>
      </c>
      <c r="H201" s="15" t="n">
        <v>0.3989675516224187</v>
      </c>
      <c r="I201" s="15" t="n">
        <v>0.4162979351032448</v>
      </c>
      <c r="J201" s="17" t="n">
        <v>10.39170884154798</v>
      </c>
      <c r="K201" s="2" t="inlineStr">
        <is>
          <t>2026-04-29</t>
        </is>
      </c>
      <c r="L201" s="14" t="n">
        <v>0.5063398140321218</v>
      </c>
      <c r="M201" s="9" t="n">
        <v>3.398946670624206</v>
      </c>
      <c r="N201" s="2" t="inlineStr">
        <is>
          <t>2026-07-06</t>
        </is>
      </c>
      <c r="O201" s="12" t="n">
        <v>61</v>
      </c>
      <c r="P201" s="15" t="n">
        <v>-0.569023569023569</v>
      </c>
      <c r="Q201" s="16" t="n">
        <v>-0.1231875784907014</v>
      </c>
      <c r="R201" s="2" t="inlineStr">
        <is>
          <t>跌穿 MA20</t>
        </is>
      </c>
      <c r="S201" s="2" t="inlineStr"/>
      <c r="T201" s="9" t="n">
        <v>0.862591406219933</v>
      </c>
      <c r="U201" s="9" t="n">
        <v>0.4069975215906695</v>
      </c>
      <c r="V201" s="3" t="inlineStr">
        <is>
          <t>C2 曾有10MA上升、C3 回落20MA</t>
        </is>
      </c>
    </row>
    <row r="202">
      <c r="A202" s="2" t="inlineStr">
        <is>
          <t>其他</t>
        </is>
      </c>
      <c r="B202" s="27" t="inlineStr">
        <is>
          <t>APPS</t>
        </is>
      </c>
      <c r="C202" s="2" t="inlineStr">
        <is>
          <t>Digital Turbine Inc.</t>
        </is>
      </c>
      <c r="D202" s="2" t="inlineStr">
        <is>
          <t>Multi-Sector Companies</t>
        </is>
      </c>
      <c r="E202" s="2" t="inlineStr">
        <is>
          <t>小型</t>
        </is>
      </c>
      <c r="F202" s="10" t="n">
        <v>11.1</v>
      </c>
      <c r="G202" s="2" t="inlineStr">
        <is>
          <t>2026-05-27</t>
        </is>
      </c>
      <c r="H202" s="15" t="n">
        <v>0.3887733887733889</v>
      </c>
      <c r="I202" s="15" t="n">
        <v>0.3492723492723495</v>
      </c>
      <c r="J202" s="17" t="n">
        <v>21.79646952347474</v>
      </c>
      <c r="K202" s="2" t="inlineStr">
        <is>
          <t>2026-05-12</t>
        </is>
      </c>
      <c r="L202" s="14" t="n">
        <v>2.718346253229974</v>
      </c>
      <c r="M202" s="9" t="n">
        <v>7.542149054677244</v>
      </c>
      <c r="N202" s="2" t="inlineStr">
        <is>
          <t>2026-08-10</t>
        </is>
      </c>
      <c r="O202" s="12" t="n">
        <v>36</v>
      </c>
      <c r="P202" s="15" t="n">
        <v>-0.2286309937456568</v>
      </c>
      <c r="Q202" s="16" t="n">
        <v>-0.01179612730914803</v>
      </c>
      <c r="R202" s="2" t="inlineStr">
        <is>
          <t>貼近 MA20</t>
        </is>
      </c>
      <c r="S202" s="2" t="inlineStr">
        <is>
          <t>有</t>
        </is>
      </c>
      <c r="T202" s="9" t="n">
        <v>1.095469633131929</v>
      </c>
      <c r="U202" s="9" t="n">
        <v>0.7005933650018719</v>
      </c>
      <c r="V202" s="3" t="inlineStr">
        <is>
          <t>C3 回落20MA、C4 波幅減低</t>
        </is>
      </c>
    </row>
    <row r="203">
      <c r="A203" s="2" t="inlineStr">
        <is>
          <t>其他</t>
        </is>
      </c>
      <c r="B203" s="27" t="inlineStr">
        <is>
          <t>NEOV</t>
        </is>
      </c>
      <c r="C203" s="2" t="inlineStr">
        <is>
          <t>NeoVolta Inc.</t>
        </is>
      </c>
      <c r="D203" s="2" t="inlineStr">
        <is>
          <t>Industrial Machinery/Components</t>
        </is>
      </c>
      <c r="E203" s="2" t="inlineStr">
        <is>
          <t>小型</t>
        </is>
      </c>
      <c r="F203" s="10" t="n">
        <v>2.6</v>
      </c>
      <c r="G203" s="2" t="inlineStr">
        <is>
          <t>2026-06-17</t>
        </is>
      </c>
      <c r="H203" s="15" t="n">
        <v>0.2397660818713452</v>
      </c>
      <c r="I203" s="15" t="n">
        <v>0.1461988304093567</v>
      </c>
      <c r="J203" s="17" t="n">
        <v>44.88317388857625</v>
      </c>
      <c r="K203" s="2" t="inlineStr">
        <is>
          <t>2026-06-16</t>
        </is>
      </c>
      <c r="L203" s="14" t="n">
        <v>1.47953216374269</v>
      </c>
      <c r="M203" s="9" t="n">
        <v>3.847016491148699</v>
      </c>
      <c r="N203" s="2" t="inlineStr">
        <is>
          <t>2026-08-31</t>
        </is>
      </c>
      <c r="O203" s="12" t="n">
        <v>21</v>
      </c>
      <c r="P203" s="15" t="n">
        <v>-0.3867924528301887</v>
      </c>
      <c r="Q203" s="16" t="n">
        <v>-0.2079811133957779</v>
      </c>
      <c r="R203" s="2" t="inlineStr">
        <is>
          <t>跌穿 MA20</t>
        </is>
      </c>
      <c r="S203" s="2" t="inlineStr">
        <is>
          <t>有</t>
        </is>
      </c>
      <c r="T203" s="9" t="n">
        <v>1.572037372475086</v>
      </c>
      <c r="U203" s="9" t="n">
        <v>1.155670735740054</v>
      </c>
      <c r="V203" s="3" t="inlineStr">
        <is>
          <t>C3 回落20MA、C4 波幅減低</t>
        </is>
      </c>
    </row>
    <row r="204">
      <c r="A204" s="2" t="inlineStr">
        <is>
          <t>其他</t>
        </is>
      </c>
      <c r="B204" s="27" t="inlineStr">
        <is>
          <t>ATKR</t>
        </is>
      </c>
      <c r="C204" s="2" t="inlineStr">
        <is>
          <t>Atkore Inc.</t>
        </is>
      </c>
      <c r="D204" s="2" t="inlineStr">
        <is>
          <t>Industrial Machinery/Components</t>
        </is>
      </c>
      <c r="E204" s="2" t="inlineStr">
        <is>
          <t>中型</t>
        </is>
      </c>
      <c r="F204" s="10" t="n">
        <v>94.75</v>
      </c>
      <c r="G204" s="2" t="inlineStr">
        <is>
          <t>2026-08-03</t>
        </is>
      </c>
      <c r="H204" s="15" t="n">
        <v>0.2822094298245614</v>
      </c>
      <c r="I204" s="15" t="n">
        <v>0.28015350877193</v>
      </c>
      <c r="J204" s="17" t="n">
        <v>21.3150688886857</v>
      </c>
      <c r="K204" s="2" t="inlineStr">
        <is>
          <t>2026-07-08</t>
        </is>
      </c>
      <c r="L204" s="14" t="n">
        <v>0.3747823563551944</v>
      </c>
      <c r="M204" s="9" t="n">
        <v>2.17440944791261</v>
      </c>
      <c r="N204" s="2" t="inlineStr">
        <is>
          <t>2026-09-30</t>
        </is>
      </c>
      <c r="O204" s="12" t="n">
        <v>0</v>
      </c>
      <c r="P204" s="15" t="n">
        <v>0</v>
      </c>
      <c r="Q204" s="16" t="n">
        <v>0.004798642593919711</v>
      </c>
      <c r="R204" s="2" t="inlineStr">
        <is>
          <t>貼近 MA20</t>
        </is>
      </c>
      <c r="S204" s="2" t="inlineStr"/>
      <c r="T204" s="9" t="n">
        <v>0.5663920375159024</v>
      </c>
      <c r="U204" s="9" t="n">
        <v>0.0750286768247939</v>
      </c>
      <c r="V204" s="3" t="inlineStr">
        <is>
          <t>C2 曾有10MA上升、C3 回落20MA</t>
        </is>
      </c>
    </row>
    <row r="205">
      <c r="A205" s="2" t="inlineStr">
        <is>
          <t>其他</t>
        </is>
      </c>
      <c r="B205" s="27" t="inlineStr">
        <is>
          <t>CHPT</t>
        </is>
      </c>
      <c r="C205" s="2" t="inlineStr">
        <is>
          <t>ChargePoint Holdings Inc.</t>
        </is>
      </c>
      <c r="D205" s="2" t="inlineStr">
        <is>
          <t>Industrial Machinery/Components</t>
        </is>
      </c>
      <c r="E205" s="2" t="inlineStr">
        <is>
          <t>小型</t>
        </is>
      </c>
      <c r="F205" s="10" t="n">
        <v>10.08</v>
      </c>
      <c r="G205" s="2" t="inlineStr">
        <is>
          <t>2026-09-03</t>
        </is>
      </c>
      <c r="H205" s="15" t="n">
        <v>0.7495183044315992</v>
      </c>
      <c r="I205" s="15" t="n">
        <v>0.3294797687861271</v>
      </c>
      <c r="J205" s="17" t="n">
        <v>75.63711740379802</v>
      </c>
      <c r="K205" s="2" t="inlineStr">
        <is>
          <t>2026-07-24</t>
        </is>
      </c>
      <c r="L205" s="14" t="n">
        <v>1.015625</v>
      </c>
      <c r="M205" s="9" t="n">
        <v>4.412665223040191</v>
      </c>
      <c r="N205" s="2" t="inlineStr">
        <is>
          <t>2026-09-18</t>
        </is>
      </c>
      <c r="O205" s="12" t="n">
        <v>8</v>
      </c>
      <c r="P205" s="15" t="n">
        <v>-0.02325581395348841</v>
      </c>
      <c r="Q205" s="16" t="n">
        <v>0.1075705966377323</v>
      </c>
      <c r="R205" s="2" t="inlineStr">
        <is>
          <t>仍高於 MA20</t>
        </is>
      </c>
      <c r="S205" s="2" t="inlineStr">
        <is>
          <t>有</t>
        </is>
      </c>
      <c r="T205" s="9" t="n">
        <v>0.603907320202531</v>
      </c>
      <c r="U205" s="9" t="n">
        <v>0.8953696493331094</v>
      </c>
      <c r="V205" s="3" t="inlineStr">
        <is>
          <t>C3 回落20MA、C4 波幅減低</t>
        </is>
      </c>
    </row>
    <row r="206">
      <c r="A206" s="2" t="inlineStr">
        <is>
          <t>通訊服務</t>
        </is>
      </c>
      <c r="B206" s="27" t="inlineStr">
        <is>
          <t>EXTR</t>
        </is>
      </c>
      <c r="C206" s="2" t="inlineStr">
        <is>
          <t>Extreme Networks Inc.</t>
        </is>
      </c>
      <c r="D206" s="2" t="inlineStr">
        <is>
          <t>Computer Communications Equipment</t>
        </is>
      </c>
      <c r="E206" s="2" t="inlineStr">
        <is>
          <t>中型</t>
        </is>
      </c>
      <c r="F206" s="10" t="n">
        <v>21.45</v>
      </c>
      <c r="G206" s="2" t="inlineStr">
        <is>
          <t>2026-04-29</t>
        </is>
      </c>
      <c r="H206" s="15" t="n">
        <v>0.281524926686217</v>
      </c>
      <c r="I206" s="15" t="n">
        <v>0.05865102639296182</v>
      </c>
      <c r="J206" s="17" t="n">
        <v>4.327705499242507</v>
      </c>
      <c r="K206" s="2" t="inlineStr">
        <is>
          <t>2026-04-23</t>
        </is>
      </c>
      <c r="L206" s="14" t="n">
        <v>0.9946745562130179</v>
      </c>
      <c r="M206" s="9" t="n">
        <v>2.260762044375889</v>
      </c>
      <c r="N206" s="2" t="inlineStr">
        <is>
          <t>2026-07-10</t>
        </is>
      </c>
      <c r="O206" s="12" t="n">
        <v>57</v>
      </c>
      <c r="P206" s="15" t="n">
        <v>-0.3636902996143578</v>
      </c>
      <c r="Q206" s="16" t="n">
        <v>-0.01567124796365749</v>
      </c>
      <c r="R206" s="2" t="inlineStr">
        <is>
          <t>貼近 MA20</t>
        </is>
      </c>
      <c r="S206" s="2" t="inlineStr"/>
      <c r="T206" s="9" t="n">
        <v>0.8464394868117967</v>
      </c>
      <c r="U206" s="9" t="n">
        <v>0.4930094455919695</v>
      </c>
      <c r="V206" s="3" t="inlineStr">
        <is>
          <t>C2 曾有10MA上升、C3 回落20MA</t>
        </is>
      </c>
    </row>
    <row r="207">
      <c r="A207" s="2" t="inlineStr">
        <is>
          <t>通訊服務</t>
        </is>
      </c>
      <c r="B207" s="27" t="inlineStr">
        <is>
          <t>CXDO</t>
        </is>
      </c>
      <c r="C207" s="2" t="inlineStr">
        <is>
          <t>Crexendo Inc.</t>
        </is>
      </c>
      <c r="D207" s="2" t="inlineStr">
        <is>
          <t>Telecommunications Equipment</t>
        </is>
      </c>
      <c r="E207" s="2" t="inlineStr">
        <is>
          <t>小型</t>
        </is>
      </c>
      <c r="F207" s="10" t="n">
        <v>5.88</v>
      </c>
      <c r="G207" s="2" t="inlineStr">
        <is>
          <t>2026-05-01</t>
        </is>
      </c>
      <c r="H207" s="15" t="n">
        <v>0.1529051987767585</v>
      </c>
      <c r="I207" s="15" t="n">
        <v>0.01681957186544358</v>
      </c>
      <c r="J207" s="17" t="n">
        <v>6.363881008712423</v>
      </c>
      <c r="K207" s="2" t="inlineStr">
        <is>
          <t>2026-04-10</t>
        </is>
      </c>
      <c r="L207" s="14" t="n">
        <v>0.398989898989899</v>
      </c>
      <c r="M207" s="9" t="n">
        <v>3.980310785886279</v>
      </c>
      <c r="N207" s="2" t="inlineStr">
        <is>
          <t>2026-07-10</t>
        </is>
      </c>
      <c r="O207" s="12" t="n">
        <v>57</v>
      </c>
      <c r="P207" s="15" t="n">
        <v>-0.2924187725631769</v>
      </c>
      <c r="Q207" s="16" t="n">
        <v>0.01109104978075681</v>
      </c>
      <c r="R207" s="2" t="inlineStr">
        <is>
          <t>貼近 MA20</t>
        </is>
      </c>
      <c r="S207" s="2" t="inlineStr"/>
      <c r="T207" s="9" t="n">
        <v>1.07043109695383</v>
      </c>
      <c r="U207" s="9" t="n">
        <v>0.5278750703028195</v>
      </c>
      <c r="V207" s="3" t="inlineStr">
        <is>
          <t>C2 曾有10MA上升、C3 回落20MA、C4 波幅減低</t>
        </is>
      </c>
    </row>
    <row r="208">
      <c r="A208" s="2" t="inlineStr">
        <is>
          <t>通訊服務</t>
        </is>
      </c>
      <c r="B208" s="27" t="inlineStr">
        <is>
          <t>AMPG</t>
        </is>
      </c>
      <c r="C208" s="2" t="inlineStr">
        <is>
          <t>Amplitech Group Inc.</t>
        </is>
      </c>
      <c r="D208" s="2" t="inlineStr">
        <is>
          <t>Telecommunications Equipment</t>
        </is>
      </c>
      <c r="E208" s="2" t="inlineStr">
        <is>
          <t>小型</t>
        </is>
      </c>
      <c r="F208" s="10" t="n">
        <v>3.14</v>
      </c>
      <c r="G208" s="2" t="inlineStr">
        <is>
          <t>2026-05-20</t>
        </is>
      </c>
      <c r="H208" s="15" t="n">
        <v>0.1102756892230574</v>
      </c>
      <c r="I208" s="15" t="n">
        <v>0.1328320802005012</v>
      </c>
      <c r="J208" s="17" t="n">
        <v>16.50755245177313</v>
      </c>
      <c r="K208" s="2" t="inlineStr">
        <is>
          <t>2026-04-29</t>
        </is>
      </c>
      <c r="L208" s="14" t="n">
        <v>2.779569892473118</v>
      </c>
      <c r="M208" s="9" t="n">
        <v>22.91386007323029</v>
      </c>
      <c r="N208" s="2" t="inlineStr">
        <is>
          <t>2026-07-14</t>
        </is>
      </c>
      <c r="O208" s="12" t="n">
        <v>55</v>
      </c>
      <c r="P208" s="15" t="n">
        <v>-0.5533428165007113</v>
      </c>
      <c r="Q208" s="16" t="n">
        <v>-0.06748830648155368</v>
      </c>
      <c r="R208" s="2" t="inlineStr">
        <is>
          <t>跌穿 MA20</t>
        </is>
      </c>
      <c r="S208" s="2" t="inlineStr"/>
      <c r="T208" s="9" t="n">
        <v>0.9939820000058666</v>
      </c>
      <c r="U208" s="9" t="n">
        <v>0.294544105937507</v>
      </c>
      <c r="V208" s="3" t="inlineStr">
        <is>
          <t>C2 曾有10MA上升、C3 回落20MA、C4 波幅減低</t>
        </is>
      </c>
    </row>
    <row r="209">
      <c r="A209" s="2" t="inlineStr">
        <is>
          <t>通訊服務</t>
        </is>
      </c>
      <c r="B209" s="27" t="inlineStr">
        <is>
          <t>ATEX</t>
        </is>
      </c>
      <c r="C209" s="2" t="inlineStr">
        <is>
          <t>Anterix Inc.</t>
        </is>
      </c>
      <c r="D209" s="2" t="inlineStr">
        <is>
          <t>Telecommunications Equipment</t>
        </is>
      </c>
      <c r="E209" s="2" t="inlineStr">
        <is>
          <t>小型</t>
        </is>
      </c>
      <c r="F209" s="10" t="n">
        <v>78.5</v>
      </c>
      <c r="G209" s="2" t="inlineStr">
        <is>
          <t>2026-06-11</t>
        </is>
      </c>
      <c r="H209" s="15" t="n">
        <v>0.2571781414016672</v>
      </c>
      <c r="I209" s="15" t="n">
        <v>0.05742513121333737</v>
      </c>
      <c r="J209" s="17" t="n">
        <v>3.754161156459483</v>
      </c>
      <c r="K209" s="2" t="inlineStr">
        <is>
          <t>2026-04-10</t>
        </is>
      </c>
      <c r="L209" s="14" t="n">
        <v>1.977431039286709</v>
      </c>
      <c r="M209" s="9" t="n">
        <v>2.454306940880988</v>
      </c>
      <c r="N209" s="2" t="inlineStr">
        <is>
          <t>2026-07-09</t>
        </is>
      </c>
      <c r="O209" s="12" t="n">
        <v>58</v>
      </c>
      <c r="P209" s="15" t="n">
        <v>-0.2653939734231705</v>
      </c>
      <c r="Q209" s="16" t="n">
        <v>-0.03880297297628399</v>
      </c>
      <c r="R209" s="2" t="inlineStr">
        <is>
          <t>跌穿 MA20</t>
        </is>
      </c>
      <c r="S209" s="2" t="inlineStr"/>
      <c r="T209" s="9" t="n">
        <v>0.8686853713164661</v>
      </c>
      <c r="U209" s="9" t="n">
        <v>0.6229485795431056</v>
      </c>
      <c r="V209" s="3" t="inlineStr">
        <is>
          <t>C2 曾有10MA上升、C3 回落20MA</t>
        </is>
      </c>
    </row>
    <row r="210">
      <c r="A210" s="2" t="inlineStr">
        <is>
          <t>通訊服務</t>
        </is>
      </c>
      <c r="B210" s="27" t="inlineStr">
        <is>
          <t>ROKU</t>
        </is>
      </c>
      <c r="C210" s="2" t="inlineStr">
        <is>
          <t>Roku Inc. Class A</t>
        </is>
      </c>
      <c r="D210" s="2" t="inlineStr">
        <is>
          <t>Cable &amp; Other Pay Television Services</t>
        </is>
      </c>
      <c r="E210" s="2" t="inlineStr">
        <is>
          <t>大型</t>
        </is>
      </c>
      <c r="F210" s="10" t="n">
        <v>152.28</v>
      </c>
      <c r="G210" s="2" t="inlineStr">
        <is>
          <t>2026-06-12</t>
        </is>
      </c>
      <c r="H210" s="15" t="n">
        <v>0.200768973587429</v>
      </c>
      <c r="I210" s="15" t="n">
        <v>0.04321297225008358</v>
      </c>
      <c r="J210" s="17" t="n">
        <v>6.044686841670661</v>
      </c>
      <c r="K210" s="2" t="inlineStr">
        <is>
          <t>2026-06-10</t>
        </is>
      </c>
      <c r="L210" s="14" t="n">
        <v>0.3661706858217888</v>
      </c>
      <c r="M210" s="9" t="n">
        <v>2.360097367843652</v>
      </c>
      <c r="N210" s="2" t="inlineStr">
        <is>
          <t>2026-08-25</t>
        </is>
      </c>
      <c r="O210" s="12" t="n">
        <v>25</v>
      </c>
      <c r="P210" s="15" t="n">
        <v>-0.04682023034551819</v>
      </c>
      <c r="Q210" s="16" t="n">
        <v>-0.01467824016409247</v>
      </c>
      <c r="R210" s="2" t="inlineStr">
        <is>
          <t>貼近 MA20</t>
        </is>
      </c>
      <c r="S210" s="2" t="inlineStr">
        <is>
          <t>有</t>
        </is>
      </c>
      <c r="T210" s="9" t="n">
        <v>0.7323362975494032</v>
      </c>
      <c r="U210" s="9" t="n">
        <v>0.4683575583602872</v>
      </c>
      <c r="V210" s="3" t="inlineStr">
        <is>
          <t>C3 回落20MA</t>
        </is>
      </c>
    </row>
    <row r="211">
      <c r="A211" s="2" t="inlineStr">
        <is>
          <t>房地產</t>
        </is>
      </c>
      <c r="B211" s="27" t="inlineStr">
        <is>
          <t>INTG</t>
        </is>
      </c>
      <c r="C211" s="2" t="inlineStr">
        <is>
          <t>Intergroup Corporation (The)</t>
        </is>
      </c>
      <c r="D211" s="2" t="inlineStr">
        <is>
          <t>Building operators</t>
        </is>
      </c>
      <c r="E211" s="2" t="inlineStr">
        <is>
          <t>小型</t>
        </is>
      </c>
      <c r="F211" s="10" t="n">
        <v>29.78</v>
      </c>
      <c r="G211" s="2" t="inlineStr">
        <is>
          <t>2026-06-16</t>
        </is>
      </c>
      <c r="H211" s="15" t="n">
        <v>0.09353383458646625</v>
      </c>
      <c r="I211" s="15" t="n">
        <v>-0.00812030075187975</v>
      </c>
      <c r="J211" s="17" t="n">
        <v>4.402591170825336</v>
      </c>
      <c r="K211" s="2" t="inlineStr">
        <is>
          <t>2026-06-05</t>
        </is>
      </c>
      <c r="L211" s="14" t="n">
        <v>0.466789667896679</v>
      </c>
      <c r="M211" s="9" t="n">
        <v>3.09142663286737</v>
      </c>
      <c r="N211" s="2" t="inlineStr">
        <is>
          <t>2026-07-02</t>
        </is>
      </c>
      <c r="O211" s="12" t="n">
        <v>62</v>
      </c>
      <c r="P211" s="15" t="n">
        <v>-0.3756813417190776</v>
      </c>
      <c r="Q211" s="16" t="n">
        <v>-0.1732370905052765</v>
      </c>
      <c r="R211" s="2" t="inlineStr">
        <is>
          <t>跌穿 MA20</t>
        </is>
      </c>
      <c r="S211" s="2" t="inlineStr">
        <is>
          <t>有</t>
        </is>
      </c>
      <c r="T211" s="9" t="n">
        <v>1.475006801834677</v>
      </c>
      <c r="U211" s="9" t="n">
        <v>0.8966595782525111</v>
      </c>
      <c r="V211" s="3" t="inlineStr">
        <is>
          <t>C3 回落20MA、C4 波幅減低</t>
        </is>
      </c>
    </row>
    <row r="212">
      <c r="A212" s="2" t="inlineStr">
        <is>
          <t>房地產</t>
        </is>
      </c>
      <c r="B212" s="27" t="inlineStr">
        <is>
          <t>ACRE</t>
        </is>
      </c>
      <c r="C212" s="2" t="inlineStr">
        <is>
          <t>Ares Commercial Real Estate Corporation</t>
        </is>
      </c>
      <c r="D212" s="2" t="inlineStr">
        <is>
          <t>Real Estate Investment Trusts</t>
        </is>
      </c>
      <c r="E212" s="2" t="inlineStr">
        <is>
          <t>小型</t>
        </is>
      </c>
      <c r="F212" s="10" t="n">
        <v>3.84</v>
      </c>
      <c r="G212" s="2" t="inlineStr">
        <is>
          <t>2026-08-04</t>
        </is>
      </c>
      <c r="H212" s="15" t="n">
        <v>0.0894117647058823</v>
      </c>
      <c r="I212" s="15" t="n">
        <v>0.09882352941176475</v>
      </c>
      <c r="J212" s="17" t="n">
        <v>3.352280386430016</v>
      </c>
      <c r="K212" s="2" t="inlineStr">
        <is>
          <t>2026-08-03</t>
        </is>
      </c>
      <c r="L212" s="14" t="n">
        <v>0.1458823529411766</v>
      </c>
      <c r="M212" s="9" t="n">
        <v>2.088365492928832</v>
      </c>
      <c r="N212" s="2" t="inlineStr">
        <is>
          <t>2026-08-07</t>
        </is>
      </c>
      <c r="O212" s="12" t="n">
        <v>37</v>
      </c>
      <c r="P212" s="15" t="n">
        <v>-0.2114989733059549</v>
      </c>
      <c r="Q212" s="16" t="n">
        <v>-0.1120360735345081</v>
      </c>
      <c r="R212" s="2" t="inlineStr">
        <is>
          <t>跌穿 MA20</t>
        </is>
      </c>
      <c r="S212" s="2" t="inlineStr"/>
      <c r="T212" s="9" t="n">
        <v>1.295616980645055</v>
      </c>
      <c r="U212" s="9" t="n">
        <v>0.5083425589665288</v>
      </c>
      <c r="V212" s="3" t="inlineStr">
        <is>
          <t>C2 曾有10MA上升、C3 回落20MA、C4 波幅減低</t>
        </is>
      </c>
    </row>
    <row r="213">
      <c r="A213" s="2" t="inlineStr">
        <is>
          <t>房地產</t>
        </is>
      </c>
      <c r="B213" s="31" t="inlineStr">
        <is>
          <t>CSR</t>
        </is>
      </c>
      <c r="C213" s="2" t="inlineStr">
        <is>
          <t>D/B/A Centerspace</t>
        </is>
      </c>
      <c r="D213" s="2" t="inlineStr">
        <is>
          <t>Real Estate Investment Trusts</t>
        </is>
      </c>
      <c r="E213" s="2" t="inlineStr">
        <is>
          <t>小型</t>
        </is>
      </c>
      <c r="F213" s="10" t="n">
        <v>54.4</v>
      </c>
      <c r="G213" s="2" t="inlineStr">
        <is>
          <t>2026-09-09</t>
        </is>
      </c>
      <c r="H213" s="15" t="n">
        <v>0.0882185543540126</v>
      </c>
      <c r="I213" s="15" t="n">
        <v>0.09732498577120086</v>
      </c>
      <c r="J213" s="17" t="n">
        <v>15.21883927117716</v>
      </c>
      <c r="K213" s="2" t="inlineStr">
        <is>
          <t>2026-09-01</t>
        </is>
      </c>
      <c r="L213" s="14" t="n">
        <v>0.1189158236304637</v>
      </c>
      <c r="M213" s="9" t="n">
        <v>3.013962450112081</v>
      </c>
      <c r="N213" s="2" t="inlineStr">
        <is>
          <t>2026-09-14</t>
        </is>
      </c>
      <c r="O213" s="12" t="n">
        <v>12</v>
      </c>
      <c r="P213" s="15" t="n">
        <v>-0.07198908222449674</v>
      </c>
      <c r="Q213" s="16" t="n">
        <v>-0.0218730053131746</v>
      </c>
      <c r="R213" s="2" t="inlineStr">
        <is>
          <t>貼近 MA20</t>
        </is>
      </c>
      <c r="S213" s="2" t="inlineStr">
        <is>
          <t>有</t>
        </is>
      </c>
      <c r="T213" s="9" t="n">
        <v>0.7099549924248564</v>
      </c>
      <c r="U213" s="9" t="n">
        <v>0.504932374934278</v>
      </c>
      <c r="V213" s="3" t="inlineStr">
        <is>
          <t>全部通過</t>
        </is>
      </c>
    </row>
    <row r="214">
      <c r="A214" s="2" t="inlineStr">
        <is>
          <t>房地產</t>
        </is>
      </c>
      <c r="B214" s="27" t="inlineStr">
        <is>
          <t>HHH</t>
        </is>
      </c>
      <c r="C214" s="2" t="inlineStr">
        <is>
          <t>Howard Hughes Holdings Inc.</t>
        </is>
      </c>
      <c r="D214" s="2" t="inlineStr">
        <is>
          <t>Real Estate Investment Trusts</t>
        </is>
      </c>
      <c r="E214" s="2" t="inlineStr">
        <is>
          <t>中型</t>
        </is>
      </c>
      <c r="F214" s="10" t="n">
        <v>73.62</v>
      </c>
      <c r="G214" s="2" t="inlineStr">
        <is>
          <t>2026-09-28</t>
        </is>
      </c>
      <c r="H214" s="15" t="n">
        <v>0.08066637439719404</v>
      </c>
      <c r="I214" s="15" t="n">
        <v>-0.005114715767938205</v>
      </c>
      <c r="J214" s="17" t="n">
        <v>3.507754747064792</v>
      </c>
      <c r="K214" s="2" t="inlineStr">
        <is>
          <t>2026-09-18</t>
        </is>
      </c>
      <c r="L214" s="14" t="n">
        <v>0.2434407173696447</v>
      </c>
      <c r="M214" s="9" t="n">
        <v>2.580017171711252</v>
      </c>
      <c r="N214" s="2" t="inlineStr">
        <is>
          <t>2026-09-29</t>
        </is>
      </c>
      <c r="O214" s="12" t="n">
        <v>1</v>
      </c>
      <c r="P214" s="15" t="n">
        <v>-0.01682692307692291</v>
      </c>
      <c r="Q214" s="16" t="n">
        <v>0.1334611209902785</v>
      </c>
      <c r="R214" s="2" t="inlineStr">
        <is>
          <t>仍高於 MA20</t>
        </is>
      </c>
      <c r="S214" s="2" t="inlineStr">
        <is>
          <t>有</t>
        </is>
      </c>
      <c r="T214" s="9" t="n">
        <v>1.498638365774558</v>
      </c>
      <c r="U214" s="9" t="n">
        <v>0.9878506365630361</v>
      </c>
      <c r="V214" s="3" t="inlineStr">
        <is>
          <t>C3 回落20MA、C4 波幅減低</t>
        </is>
      </c>
    </row>
    <row r="215">
      <c r="A215" s="2" t="inlineStr">
        <is>
          <t>必需消費</t>
        </is>
      </c>
      <c r="B215" s="27" t="inlineStr">
        <is>
          <t>FIZZ</t>
        </is>
      </c>
      <c r="C215" s="2" t="inlineStr">
        <is>
          <t>National Beverage Corp.</t>
        </is>
      </c>
      <c r="D215" s="2" t="inlineStr">
        <is>
          <t>Beverages (Production/Distribution)</t>
        </is>
      </c>
      <c r="E215" s="2" t="inlineStr">
        <is>
          <t>中型</t>
        </is>
      </c>
      <c r="F215" s="10" t="n">
        <v>29.2</v>
      </c>
      <c r="G215" s="2" t="inlineStr">
        <is>
          <t>2026-07-02</t>
        </is>
      </c>
      <c r="H215" s="15" t="n">
        <v>0.07516129032258068</v>
      </c>
      <c r="I215" s="15" t="n">
        <v>0.06161290322580637</v>
      </c>
      <c r="J215" s="17" t="n">
        <v>3.805685522318558</v>
      </c>
      <c r="K215" s="2" t="inlineStr">
        <is>
          <t>2026-07-01</t>
        </is>
      </c>
      <c r="L215" s="14" t="n">
        <v>0.09096774193548396</v>
      </c>
      <c r="M215" s="9" t="n">
        <v>2.51728047701681</v>
      </c>
      <c r="N215" s="2" t="inlineStr">
        <is>
          <t>2026-07-10</t>
        </is>
      </c>
      <c r="O215" s="12" t="n">
        <v>57</v>
      </c>
      <c r="P215" s="15" t="n">
        <v>-0.1366055588409225</v>
      </c>
      <c r="Q215" s="16" t="n">
        <v>-0.05868699730823701</v>
      </c>
      <c r="R215" s="2" t="inlineStr">
        <is>
          <t>跌穿 MA20</t>
        </is>
      </c>
      <c r="S215" s="2" t="inlineStr"/>
      <c r="T215" s="9" t="n">
        <v>0.90761329435647</v>
      </c>
      <c r="U215" s="9" t="n">
        <v>0.4699753187445549</v>
      </c>
      <c r="V215" s="3" t="inlineStr">
        <is>
          <t>C2 曾有10MA上升、C3 回落20MA、C4 波幅減低</t>
        </is>
      </c>
    </row>
    <row r="216">
      <c r="A216" s="2" t="inlineStr">
        <is>
          <t>必需消費</t>
        </is>
      </c>
      <c r="B216" s="27" t="inlineStr">
        <is>
          <t>UTZ</t>
        </is>
      </c>
      <c r="C216" s="2" t="inlineStr">
        <is>
          <t>Utz Brands Inc Class A</t>
        </is>
      </c>
      <c r="D216" s="2" t="inlineStr">
        <is>
          <t>Packaged Foods</t>
        </is>
      </c>
      <c r="E216" s="2" t="inlineStr">
        <is>
          <t>中型</t>
        </is>
      </c>
      <c r="F216" s="10" t="n">
        <v>14.25</v>
      </c>
      <c r="G216" s="2" t="inlineStr">
        <is>
          <t>2026-07-21</t>
        </is>
      </c>
      <c r="H216" s="15" t="n">
        <v>0.887248322147651</v>
      </c>
      <c r="I216" s="15" t="n">
        <v>0.8899328859060402</v>
      </c>
      <c r="J216" s="17" t="n">
        <v>31.24008391659273</v>
      </c>
      <c r="K216" s="2" t="inlineStr">
        <is>
          <t>2026-06-22</t>
        </is>
      </c>
      <c r="L216" s="14" t="n">
        <v>1.084671532846715</v>
      </c>
      <c r="M216" s="9" t="n">
        <v>3.421573089052844</v>
      </c>
      <c r="N216" s="2" t="inlineStr">
        <is>
          <t>2026-09-11</t>
        </is>
      </c>
      <c r="O216" s="12" t="n">
        <v>13</v>
      </c>
      <c r="P216" s="15" t="n">
        <v>-0.002100840336134446</v>
      </c>
      <c r="Q216" s="16" t="n">
        <v>0.0008779631255519948</v>
      </c>
      <c r="R216" s="2" t="inlineStr">
        <is>
          <t>貼近 MA20</t>
        </is>
      </c>
      <c r="S216" s="2" t="inlineStr"/>
      <c r="T216" s="9" t="n">
        <v>0.5984927960951572</v>
      </c>
      <c r="U216" s="9" t="n">
        <v>0.04662869727683432</v>
      </c>
      <c r="V216" s="3" t="inlineStr">
        <is>
          <t>C2 曾有10MA上升、C3 回落20MA</t>
        </is>
      </c>
    </row>
    <row r="217">
      <c r="A217" s="2" t="inlineStr">
        <is>
          <t>必需消費</t>
        </is>
      </c>
      <c r="B217" s="27" t="inlineStr">
        <is>
          <t>BNC</t>
        </is>
      </c>
      <c r="C217" s="2" t="inlineStr">
        <is>
          <t>BNB Standard Corporation</t>
        </is>
      </c>
      <c r="D217" s="2" t="inlineStr">
        <is>
          <t>Farming/Seeds/Milling</t>
        </is>
      </c>
      <c r="E217" s="2" t="inlineStr">
        <is>
          <t>小型</t>
        </is>
      </c>
      <c r="F217" s="10" t="n">
        <v>5.89</v>
      </c>
      <c r="G217" s="2" t="inlineStr">
        <is>
          <t>2026-09-08</t>
        </is>
      </c>
      <c r="H217" s="15" t="n">
        <v>0.5042979942693409</v>
      </c>
      <c r="I217" s="15" t="n">
        <v>0.5386819484240688</v>
      </c>
      <c r="J217" s="17" t="n">
        <v>263.1061978160721</v>
      </c>
      <c r="K217" s="2" t="inlineStr">
        <is>
          <t>2026-06-22</t>
        </is>
      </c>
      <c r="L217" s="14" t="n">
        <v>2.136038186157518</v>
      </c>
      <c r="M217" s="9" t="n">
        <v>11.17007702667931</v>
      </c>
      <c r="N217" s="2" t="inlineStr">
        <is>
          <t>2026-09-21</t>
        </is>
      </c>
      <c r="O217" s="12" t="n">
        <v>7</v>
      </c>
      <c r="P217" s="15" t="n">
        <v>-0.1035007610350077</v>
      </c>
      <c r="Q217" s="16" t="n">
        <v>0.130518234165069</v>
      </c>
      <c r="R217" s="2" t="inlineStr">
        <is>
          <t>仍高於 MA20</t>
        </is>
      </c>
      <c r="S217" s="2" t="inlineStr">
        <is>
          <t>有</t>
        </is>
      </c>
      <c r="T217" s="9" t="n">
        <v>0.4795547425504628</v>
      </c>
      <c r="U217" s="9" t="n">
        <v>0.6422852004060379</v>
      </c>
      <c r="V217" s="3" t="inlineStr">
        <is>
          <t>C3 回落20MA</t>
        </is>
      </c>
    </row>
    <row r="218">
      <c r="A218" s="2" t="inlineStr">
        <is>
          <t>公用事業</t>
        </is>
      </c>
      <c r="B218" s="27" t="inlineStr">
        <is>
          <t>CLFD</t>
        </is>
      </c>
      <c r="C218" s="2" t="inlineStr">
        <is>
          <t>Clearfield Inc.</t>
        </is>
      </c>
      <c r="D218" s="2" t="inlineStr">
        <is>
          <t>Telecommunications Equipment</t>
        </is>
      </c>
      <c r="E218" s="2" t="inlineStr">
        <is>
          <t>小型</t>
        </is>
      </c>
      <c r="F218" s="10" t="n">
        <v>31.14</v>
      </c>
      <c r="G218" s="2" t="inlineStr">
        <is>
          <t>2026-05-07</t>
        </is>
      </c>
      <c r="H218" s="15" t="n">
        <v>0.2381109643328929</v>
      </c>
      <c r="I218" s="15" t="n">
        <v>0.04194187582562736</v>
      </c>
      <c r="J218" s="17" t="n">
        <v>5.88331475287997</v>
      </c>
      <c r="K218" s="2" t="inlineStr">
        <is>
          <t>2026-04-07</t>
        </is>
      </c>
      <c r="L218" s="14" t="n">
        <v>0.3446153846153845</v>
      </c>
      <c r="M218" s="9" t="n">
        <v>3.510492170542797</v>
      </c>
      <c r="N218" s="2" t="inlineStr">
        <is>
          <t>2026-07-06</t>
        </is>
      </c>
      <c r="O218" s="12" t="n">
        <v>61</v>
      </c>
      <c r="P218" s="15" t="n">
        <v>-0.1092677345537757</v>
      </c>
      <c r="Q218" s="16" t="n">
        <v>0.04227332061452449</v>
      </c>
      <c r="R218" s="2" t="inlineStr">
        <is>
          <t>仍高於 MA20</t>
        </is>
      </c>
      <c r="S218" s="2" t="inlineStr">
        <is>
          <t>有</t>
        </is>
      </c>
      <c r="T218" s="9" t="n">
        <v>0.8085249457675391</v>
      </c>
      <c r="U218" s="9" t="n">
        <v>0.3870475778070586</v>
      </c>
      <c r="V218" s="3" t="inlineStr">
        <is>
          <t>C3 回落20MA</t>
        </is>
      </c>
    </row>
    <row r="219">
      <c r="A219" s="2" t="inlineStr">
        <is>
          <t>公用事業</t>
        </is>
      </c>
      <c r="B219" s="27" t="inlineStr">
        <is>
          <t>MNTK</t>
        </is>
      </c>
      <c r="C219" s="2" t="inlineStr">
        <is>
          <t>Montauk Renewables Inc.</t>
        </is>
      </c>
      <c r="D219" s="2" t="inlineStr">
        <is>
          <t>Natural Gas Distribution</t>
        </is>
      </c>
      <c r="E219" s="2" t="inlineStr">
        <is>
          <t>小型</t>
        </is>
      </c>
      <c r="F219" s="10" t="n">
        <v>2.73</v>
      </c>
      <c r="G219" s="2" t="inlineStr">
        <is>
          <t>2026-09-24</t>
        </is>
      </c>
      <c r="H219" s="15" t="n">
        <v>0.2659340659340659</v>
      </c>
      <c r="I219" s="15" t="n">
        <v>0.00659340659340657</v>
      </c>
      <c r="J219" s="17" t="n">
        <v>12.74422604783817</v>
      </c>
      <c r="K219" s="2" t="inlineStr">
        <is>
          <t>2026-06-30</t>
        </is>
      </c>
      <c r="L219" s="14" t="n">
        <v>0.8846153846153846</v>
      </c>
      <c r="M219" s="9" t="n">
        <v>2.230508250290538</v>
      </c>
      <c r="N219" s="2" t="inlineStr">
        <is>
          <t>2026-09-29</t>
        </is>
      </c>
      <c r="O219" s="12" t="n">
        <v>1</v>
      </c>
      <c r="P219" s="15" t="n">
        <v>-0.0714285714285714</v>
      </c>
      <c r="Q219" s="16" t="n">
        <v>0.1041456016177962</v>
      </c>
      <c r="R219" s="2" t="inlineStr">
        <is>
          <t>仍高於 MA20</t>
        </is>
      </c>
      <c r="S219" s="2" t="inlineStr">
        <is>
          <t>有</t>
        </is>
      </c>
      <c r="T219" s="9" t="n">
        <v>1.270856115846407</v>
      </c>
      <c r="U219" s="9" t="n">
        <v>1.910264896318501</v>
      </c>
      <c r="V219" s="3" t="inlineStr">
        <is>
          <t>C3 回落20MA、C4 波幅減低</t>
        </is>
      </c>
    </row>
    <row r="220">
      <c r="A220" s="2" t="inlineStr">
        <is>
          <t>能源</t>
        </is>
      </c>
      <c r="B220" s="27" t="inlineStr">
        <is>
          <t>FCEL</t>
        </is>
      </c>
      <c r="C220" s="2" t="inlineStr">
        <is>
          <t>FuelCell Energy Inc.</t>
        </is>
      </c>
      <c r="D220" s="2" t="inlineStr">
        <is>
          <t>Industrial Machinery/Components</t>
        </is>
      </c>
      <c r="E220" s="2" t="inlineStr">
        <is>
          <t>小型</t>
        </is>
      </c>
      <c r="F220" s="10" t="n">
        <v>16.42</v>
      </c>
      <c r="G220" s="2" t="inlineStr">
        <is>
          <t>2026-04-21</t>
        </is>
      </c>
      <c r="H220" s="15" t="n">
        <v>0.09710982658959533</v>
      </c>
      <c r="I220" s="15" t="n">
        <v>-0.0138728323699423</v>
      </c>
      <c r="J220" s="17" t="n">
        <v>12.31871064510936</v>
      </c>
      <c r="K220" s="2" t="inlineStr">
        <is>
          <t>2026-04-07</t>
        </is>
      </c>
      <c r="L220" s="14" t="n">
        <v>3.741626794258374</v>
      </c>
      <c r="M220" s="9" t="n">
        <v>15.234271153692</v>
      </c>
      <c r="N220" s="2" t="inlineStr">
        <is>
          <t>2026-07-06</t>
        </is>
      </c>
      <c r="O220" s="12" t="n">
        <v>61</v>
      </c>
      <c r="P220" s="15" t="n">
        <v>-0.4476959300369996</v>
      </c>
      <c r="Q220" s="16" t="n">
        <v>0.004219925386825363</v>
      </c>
      <c r="R220" s="2" t="inlineStr">
        <is>
          <t>貼近 MA20</t>
        </is>
      </c>
      <c r="S220" s="2" t="inlineStr">
        <is>
          <t>有</t>
        </is>
      </c>
      <c r="T220" s="9" t="n">
        <v>0.7243235382240919</v>
      </c>
      <c r="U220" s="9" t="n">
        <v>0.3615631905503449</v>
      </c>
      <c r="V220" s="3" t="inlineStr">
        <is>
          <t>C3 回落20MA</t>
        </is>
      </c>
    </row>
    <row r="221">
      <c r="A221" s="2" t="inlineStr">
        <is>
          <t>能源</t>
        </is>
      </c>
      <c r="B221" s="27" t="inlineStr">
        <is>
          <t>GLND</t>
        </is>
      </c>
      <c r="C221" s="2" t="inlineStr">
        <is>
          <t>Greenland Energy Company</t>
        </is>
      </c>
      <c r="D221" s="2" t="inlineStr">
        <is>
          <t>Oil &amp; Gas Production</t>
        </is>
      </c>
      <c r="E221" s="2" t="inlineStr">
        <is>
          <t>小型</t>
        </is>
      </c>
      <c r="F221" s="10" t="n">
        <v>5.13</v>
      </c>
      <c r="G221" s="2" t="inlineStr">
        <is>
          <t>2026-09-21</t>
        </is>
      </c>
      <c r="H221" s="15" t="n">
        <v>1.4</v>
      </c>
      <c r="I221" s="15" t="n">
        <v>1.516666666666667</v>
      </c>
      <c r="J221" s="17" t="n">
        <v>106.6236849594242</v>
      </c>
      <c r="K221" s="2" t="inlineStr">
        <is>
          <t>2026-08-12</t>
        </is>
      </c>
      <c r="L221" s="14" t="n">
        <v>3.946428571428571</v>
      </c>
      <c r="M221" s="9" t="n">
        <v>30.42730670271607</v>
      </c>
      <c r="N221" s="2" t="inlineStr">
        <is>
          <t>2026-09-25</t>
        </is>
      </c>
      <c r="O221" s="12" t="n">
        <v>3</v>
      </c>
      <c r="P221" s="15" t="n">
        <v>-0.07400722021660655</v>
      </c>
      <c r="Q221" s="16" t="n">
        <v>1.115027829313542</v>
      </c>
      <c r="R221" s="2" t="inlineStr">
        <is>
          <t>仍高於 MA20</t>
        </is>
      </c>
      <c r="S221" s="2" t="inlineStr">
        <is>
          <t>有</t>
        </is>
      </c>
      <c r="T221" s="9" t="n">
        <v>1.559077439821818</v>
      </c>
      <c r="U221" s="9" t="n">
        <v>2.257334247129454</v>
      </c>
      <c r="V221" s="3" t="inlineStr">
        <is>
          <t>C3 回落20MA、C4 波幅減低</t>
        </is>
      </c>
    </row>
    <row r="222">
      <c r="A222" s="2" t="inlineStr">
        <is>
          <t>原材料</t>
        </is>
      </c>
      <c r="B222" s="27" t="inlineStr">
        <is>
          <t>NUCL</t>
        </is>
      </c>
      <c r="C222" s="2" t="inlineStr">
        <is>
          <t>Eagle Nuclear Energy Corp. Common stock</t>
        </is>
      </c>
      <c r="D222" s="2" t="inlineStr">
        <is>
          <t>Other Metals and Minerals</t>
        </is>
      </c>
      <c r="E222" s="2" t="inlineStr">
        <is>
          <t>小型</t>
        </is>
      </c>
      <c r="F222" s="10" t="n">
        <v>6.36</v>
      </c>
      <c r="G222" s="2" t="inlineStr">
        <is>
          <t>2026-06-18</t>
        </is>
      </c>
      <c r="H222" s="15" t="n">
        <v>0.1633919338159255</v>
      </c>
      <c r="I222" s="15" t="n">
        <v>0.05894519131334031</v>
      </c>
      <c r="J222" s="17" t="n">
        <v>9.471053049044533</v>
      </c>
      <c r="K222" s="2" t="inlineStr">
        <is>
          <t>2026-04-07</t>
        </is>
      </c>
      <c r="L222" s="14" t="n">
        <v>0.2408963585434174</v>
      </c>
      <c r="M222" s="9" t="n">
        <v>2.69705997904968</v>
      </c>
      <c r="N222" s="2" t="inlineStr">
        <is>
          <t>2026-07-02</t>
        </is>
      </c>
      <c r="O222" s="12" t="n">
        <v>62</v>
      </c>
      <c r="P222" s="15" t="n">
        <v>-0.2821670428893904</v>
      </c>
      <c r="Q222" s="16" t="n">
        <v>-0.002274688210841869</v>
      </c>
      <c r="R222" s="2" t="inlineStr">
        <is>
          <t>貼近 MA20</t>
        </is>
      </c>
      <c r="S222" s="2" t="inlineStr">
        <is>
          <t>有</t>
        </is>
      </c>
      <c r="T222" s="9" t="n">
        <v>0.823011202625945</v>
      </c>
      <c r="U222" s="9" t="n">
        <v>0.4285394802976565</v>
      </c>
      <c r="V222" s="3" t="inlineStr">
        <is>
          <t>C3 回落20MA</t>
        </is>
      </c>
    </row>
  </sheetData>
  <autoFilter ref="A19:V222"/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  <hyperlink xmlns:r="http://schemas.openxmlformats.org/officeDocument/2006/relationships" ref="B33" r:id="rId14"/>
    <hyperlink xmlns:r="http://schemas.openxmlformats.org/officeDocument/2006/relationships" ref="B34" r:id="rId15"/>
    <hyperlink xmlns:r="http://schemas.openxmlformats.org/officeDocument/2006/relationships" ref="B35" r:id="rId16"/>
    <hyperlink xmlns:r="http://schemas.openxmlformats.org/officeDocument/2006/relationships" ref="B36" r:id="rId17"/>
    <hyperlink xmlns:r="http://schemas.openxmlformats.org/officeDocument/2006/relationships" ref="B37" r:id="rId18"/>
    <hyperlink xmlns:r="http://schemas.openxmlformats.org/officeDocument/2006/relationships" ref="B38" r:id="rId19"/>
    <hyperlink xmlns:r="http://schemas.openxmlformats.org/officeDocument/2006/relationships" ref="B39" r:id="rId20"/>
    <hyperlink xmlns:r="http://schemas.openxmlformats.org/officeDocument/2006/relationships" ref="B40" r:id="rId21"/>
    <hyperlink xmlns:r="http://schemas.openxmlformats.org/officeDocument/2006/relationships" ref="B41" r:id="rId22"/>
    <hyperlink xmlns:r="http://schemas.openxmlformats.org/officeDocument/2006/relationships" ref="B42" r:id="rId23"/>
    <hyperlink xmlns:r="http://schemas.openxmlformats.org/officeDocument/2006/relationships" ref="B43" r:id="rId24"/>
    <hyperlink xmlns:r="http://schemas.openxmlformats.org/officeDocument/2006/relationships" ref="B44" r:id="rId25"/>
    <hyperlink xmlns:r="http://schemas.openxmlformats.org/officeDocument/2006/relationships" ref="B45" r:id="rId26"/>
    <hyperlink xmlns:r="http://schemas.openxmlformats.org/officeDocument/2006/relationships" ref="B46" r:id="rId27"/>
    <hyperlink xmlns:r="http://schemas.openxmlformats.org/officeDocument/2006/relationships" ref="B47" r:id="rId28"/>
    <hyperlink xmlns:r="http://schemas.openxmlformats.org/officeDocument/2006/relationships" ref="B48" r:id="rId29"/>
    <hyperlink xmlns:r="http://schemas.openxmlformats.org/officeDocument/2006/relationships" ref="B49" r:id="rId30"/>
    <hyperlink xmlns:r="http://schemas.openxmlformats.org/officeDocument/2006/relationships" ref="B50" r:id="rId31"/>
    <hyperlink xmlns:r="http://schemas.openxmlformats.org/officeDocument/2006/relationships" ref="B51" r:id="rId32"/>
    <hyperlink xmlns:r="http://schemas.openxmlformats.org/officeDocument/2006/relationships" ref="B52" r:id="rId33"/>
    <hyperlink xmlns:r="http://schemas.openxmlformats.org/officeDocument/2006/relationships" ref="B53" r:id="rId34"/>
    <hyperlink xmlns:r="http://schemas.openxmlformats.org/officeDocument/2006/relationships" ref="B54" r:id="rId35"/>
    <hyperlink xmlns:r="http://schemas.openxmlformats.org/officeDocument/2006/relationships" ref="B55" r:id="rId36"/>
    <hyperlink xmlns:r="http://schemas.openxmlformats.org/officeDocument/2006/relationships" ref="B56" r:id="rId37"/>
    <hyperlink xmlns:r="http://schemas.openxmlformats.org/officeDocument/2006/relationships" ref="B57" r:id="rId38"/>
    <hyperlink xmlns:r="http://schemas.openxmlformats.org/officeDocument/2006/relationships" ref="B58" r:id="rId39"/>
    <hyperlink xmlns:r="http://schemas.openxmlformats.org/officeDocument/2006/relationships" ref="B59" r:id="rId40"/>
    <hyperlink xmlns:r="http://schemas.openxmlformats.org/officeDocument/2006/relationships" ref="B60" r:id="rId41"/>
    <hyperlink xmlns:r="http://schemas.openxmlformats.org/officeDocument/2006/relationships" ref="B61" r:id="rId42"/>
    <hyperlink xmlns:r="http://schemas.openxmlformats.org/officeDocument/2006/relationships" ref="B62" r:id="rId43"/>
    <hyperlink xmlns:r="http://schemas.openxmlformats.org/officeDocument/2006/relationships" ref="B63" r:id="rId44"/>
    <hyperlink xmlns:r="http://schemas.openxmlformats.org/officeDocument/2006/relationships" ref="B64" r:id="rId45"/>
    <hyperlink xmlns:r="http://schemas.openxmlformats.org/officeDocument/2006/relationships" ref="B65" r:id="rId46"/>
    <hyperlink xmlns:r="http://schemas.openxmlformats.org/officeDocument/2006/relationships" ref="B66" r:id="rId47"/>
    <hyperlink xmlns:r="http://schemas.openxmlformats.org/officeDocument/2006/relationships" ref="B67" r:id="rId48"/>
    <hyperlink xmlns:r="http://schemas.openxmlformats.org/officeDocument/2006/relationships" ref="B68" r:id="rId49"/>
    <hyperlink xmlns:r="http://schemas.openxmlformats.org/officeDocument/2006/relationships" ref="B69" r:id="rId50"/>
    <hyperlink xmlns:r="http://schemas.openxmlformats.org/officeDocument/2006/relationships" ref="B70" r:id="rId51"/>
    <hyperlink xmlns:r="http://schemas.openxmlformats.org/officeDocument/2006/relationships" ref="B71" r:id="rId52"/>
    <hyperlink xmlns:r="http://schemas.openxmlformats.org/officeDocument/2006/relationships" ref="B72" r:id="rId53"/>
    <hyperlink xmlns:r="http://schemas.openxmlformats.org/officeDocument/2006/relationships" ref="B73" r:id="rId54"/>
    <hyperlink xmlns:r="http://schemas.openxmlformats.org/officeDocument/2006/relationships" ref="B74" r:id="rId55"/>
    <hyperlink xmlns:r="http://schemas.openxmlformats.org/officeDocument/2006/relationships" ref="B75" r:id="rId56"/>
    <hyperlink xmlns:r="http://schemas.openxmlformats.org/officeDocument/2006/relationships" ref="B76" r:id="rId57"/>
    <hyperlink xmlns:r="http://schemas.openxmlformats.org/officeDocument/2006/relationships" ref="B77" r:id="rId58"/>
    <hyperlink xmlns:r="http://schemas.openxmlformats.org/officeDocument/2006/relationships" ref="B78" r:id="rId59"/>
    <hyperlink xmlns:r="http://schemas.openxmlformats.org/officeDocument/2006/relationships" ref="B79" r:id="rId60"/>
    <hyperlink xmlns:r="http://schemas.openxmlformats.org/officeDocument/2006/relationships" ref="B80" r:id="rId61"/>
    <hyperlink xmlns:r="http://schemas.openxmlformats.org/officeDocument/2006/relationships" ref="B81" r:id="rId62"/>
    <hyperlink xmlns:r="http://schemas.openxmlformats.org/officeDocument/2006/relationships" ref="B82" r:id="rId63"/>
    <hyperlink xmlns:r="http://schemas.openxmlformats.org/officeDocument/2006/relationships" ref="B83" r:id="rId64"/>
    <hyperlink xmlns:r="http://schemas.openxmlformats.org/officeDocument/2006/relationships" ref="B84" r:id="rId65"/>
    <hyperlink xmlns:r="http://schemas.openxmlformats.org/officeDocument/2006/relationships" ref="B85" r:id="rId66"/>
    <hyperlink xmlns:r="http://schemas.openxmlformats.org/officeDocument/2006/relationships" ref="B86" r:id="rId67"/>
    <hyperlink xmlns:r="http://schemas.openxmlformats.org/officeDocument/2006/relationships" ref="B87" r:id="rId68"/>
    <hyperlink xmlns:r="http://schemas.openxmlformats.org/officeDocument/2006/relationships" ref="B88" r:id="rId69"/>
    <hyperlink xmlns:r="http://schemas.openxmlformats.org/officeDocument/2006/relationships" ref="B89" r:id="rId70"/>
    <hyperlink xmlns:r="http://schemas.openxmlformats.org/officeDocument/2006/relationships" ref="B90" r:id="rId71"/>
    <hyperlink xmlns:r="http://schemas.openxmlformats.org/officeDocument/2006/relationships" ref="B91" r:id="rId72"/>
    <hyperlink xmlns:r="http://schemas.openxmlformats.org/officeDocument/2006/relationships" ref="B92" r:id="rId73"/>
    <hyperlink xmlns:r="http://schemas.openxmlformats.org/officeDocument/2006/relationships" ref="B93" r:id="rId74"/>
    <hyperlink xmlns:r="http://schemas.openxmlformats.org/officeDocument/2006/relationships" ref="B94" r:id="rId75"/>
    <hyperlink xmlns:r="http://schemas.openxmlformats.org/officeDocument/2006/relationships" ref="B95" r:id="rId76"/>
    <hyperlink xmlns:r="http://schemas.openxmlformats.org/officeDocument/2006/relationships" ref="B96" r:id="rId77"/>
    <hyperlink xmlns:r="http://schemas.openxmlformats.org/officeDocument/2006/relationships" ref="B97" r:id="rId78"/>
    <hyperlink xmlns:r="http://schemas.openxmlformats.org/officeDocument/2006/relationships" ref="B98" r:id="rId79"/>
    <hyperlink xmlns:r="http://schemas.openxmlformats.org/officeDocument/2006/relationships" ref="B99" r:id="rId80"/>
    <hyperlink xmlns:r="http://schemas.openxmlformats.org/officeDocument/2006/relationships" ref="B100" r:id="rId81"/>
    <hyperlink xmlns:r="http://schemas.openxmlformats.org/officeDocument/2006/relationships" ref="B101" r:id="rId82"/>
    <hyperlink xmlns:r="http://schemas.openxmlformats.org/officeDocument/2006/relationships" ref="B102" r:id="rId83"/>
    <hyperlink xmlns:r="http://schemas.openxmlformats.org/officeDocument/2006/relationships" ref="B103" r:id="rId84"/>
    <hyperlink xmlns:r="http://schemas.openxmlformats.org/officeDocument/2006/relationships" ref="B104" r:id="rId85"/>
    <hyperlink xmlns:r="http://schemas.openxmlformats.org/officeDocument/2006/relationships" ref="B105" r:id="rId86"/>
    <hyperlink xmlns:r="http://schemas.openxmlformats.org/officeDocument/2006/relationships" ref="B106" r:id="rId87"/>
    <hyperlink xmlns:r="http://schemas.openxmlformats.org/officeDocument/2006/relationships" ref="B107" r:id="rId88"/>
    <hyperlink xmlns:r="http://schemas.openxmlformats.org/officeDocument/2006/relationships" ref="B108" r:id="rId89"/>
    <hyperlink xmlns:r="http://schemas.openxmlformats.org/officeDocument/2006/relationships" ref="B109" r:id="rId90"/>
    <hyperlink xmlns:r="http://schemas.openxmlformats.org/officeDocument/2006/relationships" ref="B110" r:id="rId91"/>
    <hyperlink xmlns:r="http://schemas.openxmlformats.org/officeDocument/2006/relationships" ref="B111" r:id="rId92"/>
    <hyperlink xmlns:r="http://schemas.openxmlformats.org/officeDocument/2006/relationships" ref="B112" r:id="rId93"/>
    <hyperlink xmlns:r="http://schemas.openxmlformats.org/officeDocument/2006/relationships" ref="B113" r:id="rId94"/>
    <hyperlink xmlns:r="http://schemas.openxmlformats.org/officeDocument/2006/relationships" ref="B114" r:id="rId95"/>
    <hyperlink xmlns:r="http://schemas.openxmlformats.org/officeDocument/2006/relationships" ref="B115" r:id="rId96"/>
    <hyperlink xmlns:r="http://schemas.openxmlformats.org/officeDocument/2006/relationships" ref="B116" r:id="rId97"/>
    <hyperlink xmlns:r="http://schemas.openxmlformats.org/officeDocument/2006/relationships" ref="B117" r:id="rId98"/>
    <hyperlink xmlns:r="http://schemas.openxmlformats.org/officeDocument/2006/relationships" ref="B118" r:id="rId99"/>
    <hyperlink xmlns:r="http://schemas.openxmlformats.org/officeDocument/2006/relationships" ref="B119" r:id="rId100"/>
    <hyperlink xmlns:r="http://schemas.openxmlformats.org/officeDocument/2006/relationships" ref="B120" r:id="rId101"/>
    <hyperlink xmlns:r="http://schemas.openxmlformats.org/officeDocument/2006/relationships" ref="B121" r:id="rId102"/>
    <hyperlink xmlns:r="http://schemas.openxmlformats.org/officeDocument/2006/relationships" ref="B122" r:id="rId103"/>
    <hyperlink xmlns:r="http://schemas.openxmlformats.org/officeDocument/2006/relationships" ref="B123" r:id="rId104"/>
    <hyperlink xmlns:r="http://schemas.openxmlformats.org/officeDocument/2006/relationships" ref="B124" r:id="rId105"/>
    <hyperlink xmlns:r="http://schemas.openxmlformats.org/officeDocument/2006/relationships" ref="B125" r:id="rId106"/>
    <hyperlink xmlns:r="http://schemas.openxmlformats.org/officeDocument/2006/relationships" ref="B126" r:id="rId107"/>
    <hyperlink xmlns:r="http://schemas.openxmlformats.org/officeDocument/2006/relationships" ref="B127" r:id="rId108"/>
    <hyperlink xmlns:r="http://schemas.openxmlformats.org/officeDocument/2006/relationships" ref="B128" r:id="rId109"/>
    <hyperlink xmlns:r="http://schemas.openxmlformats.org/officeDocument/2006/relationships" ref="B129" r:id="rId110"/>
    <hyperlink xmlns:r="http://schemas.openxmlformats.org/officeDocument/2006/relationships" ref="B130" r:id="rId111"/>
    <hyperlink xmlns:r="http://schemas.openxmlformats.org/officeDocument/2006/relationships" ref="B131" r:id="rId112"/>
    <hyperlink xmlns:r="http://schemas.openxmlformats.org/officeDocument/2006/relationships" ref="B132" r:id="rId113"/>
    <hyperlink xmlns:r="http://schemas.openxmlformats.org/officeDocument/2006/relationships" ref="B133" r:id="rId114"/>
    <hyperlink xmlns:r="http://schemas.openxmlformats.org/officeDocument/2006/relationships" ref="B134" r:id="rId115"/>
    <hyperlink xmlns:r="http://schemas.openxmlformats.org/officeDocument/2006/relationships" ref="B135" r:id="rId116"/>
    <hyperlink xmlns:r="http://schemas.openxmlformats.org/officeDocument/2006/relationships" ref="B136" r:id="rId117"/>
    <hyperlink xmlns:r="http://schemas.openxmlformats.org/officeDocument/2006/relationships" ref="B137" r:id="rId118"/>
    <hyperlink xmlns:r="http://schemas.openxmlformats.org/officeDocument/2006/relationships" ref="B138" r:id="rId119"/>
    <hyperlink xmlns:r="http://schemas.openxmlformats.org/officeDocument/2006/relationships" ref="B139" r:id="rId120"/>
    <hyperlink xmlns:r="http://schemas.openxmlformats.org/officeDocument/2006/relationships" ref="B140" r:id="rId121"/>
    <hyperlink xmlns:r="http://schemas.openxmlformats.org/officeDocument/2006/relationships" ref="B141" r:id="rId122"/>
    <hyperlink xmlns:r="http://schemas.openxmlformats.org/officeDocument/2006/relationships" ref="B142" r:id="rId123"/>
    <hyperlink xmlns:r="http://schemas.openxmlformats.org/officeDocument/2006/relationships" ref="B143" r:id="rId124"/>
    <hyperlink xmlns:r="http://schemas.openxmlformats.org/officeDocument/2006/relationships" ref="B144" r:id="rId125"/>
    <hyperlink xmlns:r="http://schemas.openxmlformats.org/officeDocument/2006/relationships" ref="B145" r:id="rId126"/>
    <hyperlink xmlns:r="http://schemas.openxmlformats.org/officeDocument/2006/relationships" ref="B146" r:id="rId127"/>
    <hyperlink xmlns:r="http://schemas.openxmlformats.org/officeDocument/2006/relationships" ref="B147" r:id="rId128"/>
    <hyperlink xmlns:r="http://schemas.openxmlformats.org/officeDocument/2006/relationships" ref="B148" r:id="rId129"/>
    <hyperlink xmlns:r="http://schemas.openxmlformats.org/officeDocument/2006/relationships" ref="B149" r:id="rId130"/>
    <hyperlink xmlns:r="http://schemas.openxmlformats.org/officeDocument/2006/relationships" ref="B150" r:id="rId131"/>
    <hyperlink xmlns:r="http://schemas.openxmlformats.org/officeDocument/2006/relationships" ref="B151" r:id="rId132"/>
    <hyperlink xmlns:r="http://schemas.openxmlformats.org/officeDocument/2006/relationships" ref="B152" r:id="rId133"/>
    <hyperlink xmlns:r="http://schemas.openxmlformats.org/officeDocument/2006/relationships" ref="B153" r:id="rId134"/>
    <hyperlink xmlns:r="http://schemas.openxmlformats.org/officeDocument/2006/relationships" ref="B154" r:id="rId135"/>
    <hyperlink xmlns:r="http://schemas.openxmlformats.org/officeDocument/2006/relationships" ref="B155" r:id="rId136"/>
    <hyperlink xmlns:r="http://schemas.openxmlformats.org/officeDocument/2006/relationships" ref="B156" r:id="rId137"/>
    <hyperlink xmlns:r="http://schemas.openxmlformats.org/officeDocument/2006/relationships" ref="B157" r:id="rId138"/>
    <hyperlink xmlns:r="http://schemas.openxmlformats.org/officeDocument/2006/relationships" ref="B158" r:id="rId139"/>
    <hyperlink xmlns:r="http://schemas.openxmlformats.org/officeDocument/2006/relationships" ref="B159" r:id="rId140"/>
    <hyperlink xmlns:r="http://schemas.openxmlformats.org/officeDocument/2006/relationships" ref="B160" r:id="rId141"/>
    <hyperlink xmlns:r="http://schemas.openxmlformats.org/officeDocument/2006/relationships" ref="B161" r:id="rId142"/>
    <hyperlink xmlns:r="http://schemas.openxmlformats.org/officeDocument/2006/relationships" ref="B162" r:id="rId143"/>
    <hyperlink xmlns:r="http://schemas.openxmlformats.org/officeDocument/2006/relationships" ref="B163" r:id="rId144"/>
    <hyperlink xmlns:r="http://schemas.openxmlformats.org/officeDocument/2006/relationships" ref="B164" r:id="rId145"/>
    <hyperlink xmlns:r="http://schemas.openxmlformats.org/officeDocument/2006/relationships" ref="B165" r:id="rId146"/>
    <hyperlink xmlns:r="http://schemas.openxmlformats.org/officeDocument/2006/relationships" ref="B166" r:id="rId147"/>
    <hyperlink xmlns:r="http://schemas.openxmlformats.org/officeDocument/2006/relationships" ref="B167" r:id="rId148"/>
    <hyperlink xmlns:r="http://schemas.openxmlformats.org/officeDocument/2006/relationships" ref="B168" r:id="rId149"/>
    <hyperlink xmlns:r="http://schemas.openxmlformats.org/officeDocument/2006/relationships" ref="B169" r:id="rId150"/>
    <hyperlink xmlns:r="http://schemas.openxmlformats.org/officeDocument/2006/relationships" ref="B170" r:id="rId151"/>
    <hyperlink xmlns:r="http://schemas.openxmlformats.org/officeDocument/2006/relationships" ref="B171" r:id="rId152"/>
    <hyperlink xmlns:r="http://schemas.openxmlformats.org/officeDocument/2006/relationships" ref="B172" r:id="rId153"/>
    <hyperlink xmlns:r="http://schemas.openxmlformats.org/officeDocument/2006/relationships" ref="B173" r:id="rId154"/>
    <hyperlink xmlns:r="http://schemas.openxmlformats.org/officeDocument/2006/relationships" ref="B174" r:id="rId155"/>
    <hyperlink xmlns:r="http://schemas.openxmlformats.org/officeDocument/2006/relationships" ref="B175" r:id="rId156"/>
    <hyperlink xmlns:r="http://schemas.openxmlformats.org/officeDocument/2006/relationships" ref="B176" r:id="rId157"/>
    <hyperlink xmlns:r="http://schemas.openxmlformats.org/officeDocument/2006/relationships" ref="B177" r:id="rId158"/>
    <hyperlink xmlns:r="http://schemas.openxmlformats.org/officeDocument/2006/relationships" ref="B178" r:id="rId159"/>
    <hyperlink xmlns:r="http://schemas.openxmlformats.org/officeDocument/2006/relationships" ref="B179" r:id="rId160"/>
    <hyperlink xmlns:r="http://schemas.openxmlformats.org/officeDocument/2006/relationships" ref="B180" r:id="rId161"/>
    <hyperlink xmlns:r="http://schemas.openxmlformats.org/officeDocument/2006/relationships" ref="B181" r:id="rId162"/>
    <hyperlink xmlns:r="http://schemas.openxmlformats.org/officeDocument/2006/relationships" ref="B182" r:id="rId163"/>
    <hyperlink xmlns:r="http://schemas.openxmlformats.org/officeDocument/2006/relationships" ref="B183" r:id="rId164"/>
    <hyperlink xmlns:r="http://schemas.openxmlformats.org/officeDocument/2006/relationships" ref="B184" r:id="rId165"/>
    <hyperlink xmlns:r="http://schemas.openxmlformats.org/officeDocument/2006/relationships" ref="B185" r:id="rId166"/>
    <hyperlink xmlns:r="http://schemas.openxmlformats.org/officeDocument/2006/relationships" ref="B186" r:id="rId167"/>
    <hyperlink xmlns:r="http://schemas.openxmlformats.org/officeDocument/2006/relationships" ref="B187" r:id="rId168"/>
    <hyperlink xmlns:r="http://schemas.openxmlformats.org/officeDocument/2006/relationships" ref="B188" r:id="rId169"/>
    <hyperlink xmlns:r="http://schemas.openxmlformats.org/officeDocument/2006/relationships" ref="B189" r:id="rId170"/>
    <hyperlink xmlns:r="http://schemas.openxmlformats.org/officeDocument/2006/relationships" ref="B190" r:id="rId171"/>
    <hyperlink xmlns:r="http://schemas.openxmlformats.org/officeDocument/2006/relationships" ref="B191" r:id="rId172"/>
    <hyperlink xmlns:r="http://schemas.openxmlformats.org/officeDocument/2006/relationships" ref="B192" r:id="rId173"/>
    <hyperlink xmlns:r="http://schemas.openxmlformats.org/officeDocument/2006/relationships" ref="B193" r:id="rId174"/>
    <hyperlink xmlns:r="http://schemas.openxmlformats.org/officeDocument/2006/relationships" ref="B194" r:id="rId175"/>
    <hyperlink xmlns:r="http://schemas.openxmlformats.org/officeDocument/2006/relationships" ref="B195" r:id="rId176"/>
    <hyperlink xmlns:r="http://schemas.openxmlformats.org/officeDocument/2006/relationships" ref="B196" r:id="rId177"/>
    <hyperlink xmlns:r="http://schemas.openxmlformats.org/officeDocument/2006/relationships" ref="B197" r:id="rId178"/>
    <hyperlink xmlns:r="http://schemas.openxmlformats.org/officeDocument/2006/relationships" ref="B198" r:id="rId179"/>
    <hyperlink xmlns:r="http://schemas.openxmlformats.org/officeDocument/2006/relationships" ref="B199" r:id="rId180"/>
    <hyperlink xmlns:r="http://schemas.openxmlformats.org/officeDocument/2006/relationships" ref="B200" r:id="rId181"/>
    <hyperlink xmlns:r="http://schemas.openxmlformats.org/officeDocument/2006/relationships" ref="B201" r:id="rId182"/>
    <hyperlink xmlns:r="http://schemas.openxmlformats.org/officeDocument/2006/relationships" ref="B202" r:id="rId183"/>
    <hyperlink xmlns:r="http://schemas.openxmlformats.org/officeDocument/2006/relationships" ref="B203" r:id="rId184"/>
    <hyperlink xmlns:r="http://schemas.openxmlformats.org/officeDocument/2006/relationships" ref="B204" r:id="rId185"/>
    <hyperlink xmlns:r="http://schemas.openxmlformats.org/officeDocument/2006/relationships" ref="B205" r:id="rId186"/>
    <hyperlink xmlns:r="http://schemas.openxmlformats.org/officeDocument/2006/relationships" ref="B206" r:id="rId187"/>
    <hyperlink xmlns:r="http://schemas.openxmlformats.org/officeDocument/2006/relationships" ref="B207" r:id="rId188"/>
    <hyperlink xmlns:r="http://schemas.openxmlformats.org/officeDocument/2006/relationships" ref="B208" r:id="rId189"/>
    <hyperlink xmlns:r="http://schemas.openxmlformats.org/officeDocument/2006/relationships" ref="B209" r:id="rId190"/>
    <hyperlink xmlns:r="http://schemas.openxmlformats.org/officeDocument/2006/relationships" ref="B210" r:id="rId191"/>
    <hyperlink xmlns:r="http://schemas.openxmlformats.org/officeDocument/2006/relationships" ref="B211" r:id="rId192"/>
    <hyperlink xmlns:r="http://schemas.openxmlformats.org/officeDocument/2006/relationships" ref="B212" r:id="rId193"/>
    <hyperlink xmlns:r="http://schemas.openxmlformats.org/officeDocument/2006/relationships" ref="B213" r:id="rId194"/>
    <hyperlink xmlns:r="http://schemas.openxmlformats.org/officeDocument/2006/relationships" ref="B214" r:id="rId195"/>
    <hyperlink xmlns:r="http://schemas.openxmlformats.org/officeDocument/2006/relationships" ref="B215" r:id="rId196"/>
    <hyperlink xmlns:r="http://schemas.openxmlformats.org/officeDocument/2006/relationships" ref="B216" r:id="rId197"/>
    <hyperlink xmlns:r="http://schemas.openxmlformats.org/officeDocument/2006/relationships" ref="B217" r:id="rId198"/>
    <hyperlink xmlns:r="http://schemas.openxmlformats.org/officeDocument/2006/relationships" ref="B218" r:id="rId199"/>
    <hyperlink xmlns:r="http://schemas.openxmlformats.org/officeDocument/2006/relationships" ref="B219" r:id="rId200"/>
    <hyperlink xmlns:r="http://schemas.openxmlformats.org/officeDocument/2006/relationships" ref="B220" r:id="rId201"/>
    <hyperlink xmlns:r="http://schemas.openxmlformats.org/officeDocument/2006/relationships" ref="B221" r:id="rId202"/>
    <hyperlink xmlns:r="http://schemas.openxmlformats.org/officeDocument/2006/relationships" ref="B222" r:id="rId20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9" customWidth="1" min="3" max="3"/>
    <col width="9" customWidth="1" min="4" max="4"/>
    <col width="100" customWidth="1" min="5" max="5"/>
  </cols>
  <sheetData>
    <row r="1">
      <c r="A1" s="1" t="inlineStr">
        <is>
          <t>R22（2026-09-28 收市，高動能回到 20MA）名單 vs R23.00（2026-09-30 收市，新條件）</t>
        </is>
      </c>
    </row>
    <row r="3" ht="42" customHeight="1">
      <c r="A3" s="4" t="inlineStr">
        <is>
          <t>類別</t>
        </is>
      </c>
      <c r="B3" s="4" t="inlineStr">
        <is>
          <t>代號</t>
        </is>
      </c>
      <c r="C3" s="4" t="inlineStr">
        <is>
          <t>R22 排名</t>
        </is>
      </c>
      <c r="D3" s="4" t="inlineStr">
        <is>
          <t>R23.00 排名</t>
        </is>
      </c>
      <c r="E3" s="4" t="inlineStr">
        <is>
          <t>說明</t>
        </is>
      </c>
    </row>
    <row r="4">
      <c r="A4" s="2" t="inlineStr">
        <is>
          <t>兩版都上榜</t>
        </is>
      </c>
      <c r="B4" s="27" t="inlineStr">
        <is>
          <t>PURR</t>
        </is>
      </c>
      <c r="C4" s="6" t="n">
        <v>10</v>
      </c>
      <c r="D4" s="6" t="n">
        <v>11</v>
      </c>
      <c r="E4" s="3" t="inlineStr">
        <is>
          <t>第 2 梯隊</t>
        </is>
      </c>
    </row>
    <row r="5">
      <c r="A5" s="2" t="inlineStr">
        <is>
          <t>兩版都上榜</t>
        </is>
      </c>
      <c r="B5" s="27" t="inlineStr">
        <is>
          <t>PLSE</t>
        </is>
      </c>
      <c r="C5" s="6" t="n">
        <v>4</v>
      </c>
      <c r="D5" s="6" t="n">
        <v>16</v>
      </c>
      <c r="E5" s="3" t="inlineStr">
        <is>
          <t>第 2 梯隊</t>
        </is>
      </c>
    </row>
    <row r="6">
      <c r="A6" s="2" t="inlineStr">
        <is>
          <t>新上榜</t>
        </is>
      </c>
      <c r="B6" s="31" t="inlineStr">
        <is>
          <t>RLGT</t>
        </is>
      </c>
      <c r="C6" s="6" t="n"/>
      <c r="D6" s="6" t="n">
        <v>1</v>
      </c>
      <c r="E6" s="3" t="inlineStr">
        <is>
          <t>第 1 梯隊；R22 舊規則：S1 唔過</t>
        </is>
      </c>
    </row>
    <row r="7">
      <c r="A7" s="2" t="inlineStr">
        <is>
          <t>新上榜</t>
        </is>
      </c>
      <c r="B7" s="31" t="inlineStr">
        <is>
          <t>CSR</t>
        </is>
      </c>
      <c r="C7" s="6" t="n"/>
      <c r="D7" s="6" t="n">
        <v>2</v>
      </c>
      <c r="E7" s="3" t="inlineStr">
        <is>
          <t>第 1 梯隊；R22 舊規則：S2 唔過</t>
        </is>
      </c>
    </row>
    <row r="8">
      <c r="A8" s="2" t="inlineStr">
        <is>
          <t>新上榜</t>
        </is>
      </c>
      <c r="B8" s="31" t="inlineStr">
        <is>
          <t>BSVN</t>
        </is>
      </c>
      <c r="C8" s="6" t="n"/>
      <c r="D8" s="6" t="n">
        <v>3</v>
      </c>
      <c r="E8" s="3" t="inlineStr">
        <is>
          <t>第 1 梯隊；R22 舊規則：S3、S5 唔過</t>
        </is>
      </c>
    </row>
    <row r="9">
      <c r="A9" s="2" t="inlineStr">
        <is>
          <t>新上榜</t>
        </is>
      </c>
      <c r="B9" s="31" t="inlineStr">
        <is>
          <t>CRSR</t>
        </is>
      </c>
      <c r="C9" s="6" t="n"/>
      <c r="D9" s="6" t="n">
        <v>4</v>
      </c>
      <c r="E9" s="3" t="inlineStr">
        <is>
          <t>第 2 梯隊；R22 舊規則：S2、S5 唔過</t>
        </is>
      </c>
    </row>
    <row r="10">
      <c r="A10" s="2" t="inlineStr">
        <is>
          <t>新上榜</t>
        </is>
      </c>
      <c r="B10" s="31" t="inlineStr">
        <is>
          <t>CMRC</t>
        </is>
      </c>
      <c r="C10" s="6" t="n"/>
      <c r="D10" s="6" t="n">
        <v>5</v>
      </c>
      <c r="E10" s="3" t="inlineStr">
        <is>
          <t>第 2 梯隊；R22 舊規則：S2、S5 唔過</t>
        </is>
      </c>
    </row>
    <row r="11">
      <c r="A11" s="2" t="inlineStr">
        <is>
          <t>新上榜</t>
        </is>
      </c>
      <c r="B11" s="31" t="inlineStr">
        <is>
          <t>OMER</t>
        </is>
      </c>
      <c r="C11" s="6" t="n"/>
      <c r="D11" s="6" t="n">
        <v>6</v>
      </c>
      <c r="E11" s="3" t="inlineStr">
        <is>
          <t>第 2 梯隊；R22 舊規則：S5 唔過</t>
        </is>
      </c>
    </row>
    <row r="12">
      <c r="A12" s="2" t="inlineStr">
        <is>
          <t>新上榜</t>
        </is>
      </c>
      <c r="B12" s="31" t="inlineStr">
        <is>
          <t>HAE</t>
        </is>
      </c>
      <c r="C12" s="6" t="n"/>
      <c r="D12" s="6" t="n">
        <v>7</v>
      </c>
      <c r="E12" s="3" t="inlineStr">
        <is>
          <t>第 2 梯隊；R22 舊規則：S3 唔過</t>
        </is>
      </c>
    </row>
    <row r="13">
      <c r="A13" s="2" t="inlineStr">
        <is>
          <t>新上榜</t>
        </is>
      </c>
      <c r="B13" s="31" t="inlineStr">
        <is>
          <t>ASST</t>
        </is>
      </c>
      <c r="C13" s="6" t="n"/>
      <c r="D13" s="6" t="n">
        <v>8</v>
      </c>
      <c r="E13" s="3" t="inlineStr">
        <is>
          <t>第 2 梯隊；R22 舊規則：S2、S5 唔過</t>
        </is>
      </c>
    </row>
    <row r="14">
      <c r="A14" s="2" t="inlineStr">
        <is>
          <t>新上榜</t>
        </is>
      </c>
      <c r="B14" s="31" t="inlineStr">
        <is>
          <t>GEMI</t>
        </is>
      </c>
      <c r="C14" s="6" t="n"/>
      <c r="D14" s="6" t="n">
        <v>9</v>
      </c>
      <c r="E14" s="3" t="inlineStr">
        <is>
          <t>第 2 梯隊；R22 舊規則：S2、S5 唔過</t>
        </is>
      </c>
    </row>
    <row r="15">
      <c r="A15" s="2" t="inlineStr">
        <is>
          <t>新上榜</t>
        </is>
      </c>
      <c r="B15" s="31" t="inlineStr">
        <is>
          <t>UMAC</t>
        </is>
      </c>
      <c r="C15" s="6" t="n"/>
      <c r="D15" s="6" t="n">
        <v>10</v>
      </c>
      <c r="E15" s="3" t="inlineStr">
        <is>
          <t>第 2 梯隊；R22 舊規則：S1、S2、S4 唔過</t>
        </is>
      </c>
    </row>
    <row r="16">
      <c r="A16" s="2" t="inlineStr">
        <is>
          <t>新上榜</t>
        </is>
      </c>
      <c r="B16" s="31" t="inlineStr">
        <is>
          <t>UTMD</t>
        </is>
      </c>
      <c r="C16" s="6" t="n"/>
      <c r="D16" s="6" t="n">
        <v>12</v>
      </c>
      <c r="E16" s="3" t="inlineStr">
        <is>
          <t>第 2 梯隊；R22 舊規則：S3、S4、S5 唔過</t>
        </is>
      </c>
    </row>
    <row r="17">
      <c r="A17" s="2" t="inlineStr">
        <is>
          <t>新上榜</t>
        </is>
      </c>
      <c r="B17" s="31" t="inlineStr">
        <is>
          <t>RNG</t>
        </is>
      </c>
      <c r="C17" s="6" t="n"/>
      <c r="D17" s="6" t="n">
        <v>13</v>
      </c>
      <c r="E17" s="3" t="inlineStr">
        <is>
          <t>第 2 梯隊；R22 舊規則：S5 唔過</t>
        </is>
      </c>
    </row>
    <row r="18">
      <c r="A18" s="2" t="inlineStr">
        <is>
          <t>新上榜</t>
        </is>
      </c>
      <c r="B18" s="31" t="inlineStr">
        <is>
          <t>ASO</t>
        </is>
      </c>
      <c r="C18" s="6" t="n"/>
      <c r="D18" s="6" t="n">
        <v>14</v>
      </c>
      <c r="E18" s="3" t="inlineStr">
        <is>
          <t>第 2 梯隊；R22 舊規則：S2 唔過</t>
        </is>
      </c>
    </row>
    <row r="19">
      <c r="A19" s="2" t="inlineStr">
        <is>
          <t>新上榜</t>
        </is>
      </c>
      <c r="B19" s="31" t="inlineStr">
        <is>
          <t>BVS</t>
        </is>
      </c>
      <c r="C19" s="6" t="n"/>
      <c r="D19" s="6" t="n">
        <v>15</v>
      </c>
      <c r="E19" s="3" t="inlineStr">
        <is>
          <t>第 2 梯隊；R22 舊規則：S1、S2、S4、S5 唔過</t>
        </is>
      </c>
    </row>
    <row r="20">
      <c r="A20" s="2" t="inlineStr">
        <is>
          <t>新上榜</t>
        </is>
      </c>
      <c r="B20" s="31" t="inlineStr">
        <is>
          <t>BBNX</t>
        </is>
      </c>
      <c r="C20" s="6" t="n"/>
      <c r="D20" s="6" t="n">
        <v>17</v>
      </c>
      <c r="E20" s="3" t="inlineStr">
        <is>
          <t>第 2 梯隊；R22 舊規則：S2 唔過</t>
        </is>
      </c>
    </row>
    <row r="21">
      <c r="A21" s="2" t="inlineStr">
        <is>
          <t>新上榜</t>
        </is>
      </c>
      <c r="B21" s="31" t="inlineStr">
        <is>
          <t>PKOH</t>
        </is>
      </c>
      <c r="C21" s="6" t="n"/>
      <c r="D21" s="6" t="n">
        <v>18</v>
      </c>
      <c r="E21" s="3" t="inlineStr">
        <is>
          <t>第 2 梯隊；R22 舊規則：S2、S4 唔過</t>
        </is>
      </c>
    </row>
    <row r="22">
      <c r="A22" s="2" t="inlineStr">
        <is>
          <t>新上榜</t>
        </is>
      </c>
      <c r="B22" s="31" t="inlineStr">
        <is>
          <t>KN</t>
        </is>
      </c>
      <c r="C22" s="6" t="n"/>
      <c r="D22" s="6" t="n">
        <v>19</v>
      </c>
      <c r="E22" s="3" t="inlineStr">
        <is>
          <t>第 2 梯隊；R22 舊規則：S1、S2、S4、S5 唔過</t>
        </is>
      </c>
    </row>
    <row r="23">
      <c r="A23" s="2" t="inlineStr">
        <is>
          <t>新上榜</t>
        </is>
      </c>
      <c r="B23" s="31" t="inlineStr">
        <is>
          <t>FLXS</t>
        </is>
      </c>
      <c r="C23" s="6" t="n"/>
      <c r="D23" s="6" t="n">
        <v>20</v>
      </c>
      <c r="E23" s="3" t="inlineStr">
        <is>
          <t>第 2 梯隊；R22 舊規則：S2、S3、S5 唔過</t>
        </is>
      </c>
    </row>
    <row r="24">
      <c r="A24" s="2" t="inlineStr">
        <is>
          <t>新上榜</t>
        </is>
      </c>
      <c r="B24" s="31" t="inlineStr">
        <is>
          <t>AVTR</t>
        </is>
      </c>
      <c r="C24" s="6" t="n"/>
      <c r="D24" s="6" t="n">
        <v>21</v>
      </c>
      <c r="E24" s="3" t="inlineStr">
        <is>
          <t>第 2 梯隊；R22 舊規則：S4 唔過</t>
        </is>
      </c>
    </row>
    <row r="25">
      <c r="A25" s="2" t="inlineStr">
        <is>
          <t>新上榜</t>
        </is>
      </c>
      <c r="B25" s="31" t="inlineStr">
        <is>
          <t>AMBA</t>
        </is>
      </c>
      <c r="C25" s="6" t="n"/>
      <c r="D25" s="6" t="n">
        <v>22</v>
      </c>
      <c r="E25" s="3" t="inlineStr">
        <is>
          <t>第 2 梯隊；R22 舊規則：S1、S2 唔過</t>
        </is>
      </c>
    </row>
    <row r="26">
      <c r="A26" s="2" t="inlineStr">
        <is>
          <t>跌出</t>
        </is>
      </c>
      <c r="B26" s="7" t="inlineStr">
        <is>
          <t>IRD</t>
        </is>
      </c>
      <c r="C26" s="6" t="n">
        <v>1</v>
      </c>
      <c r="D26" s="6" t="n"/>
      <c r="E26" s="3" t="inlineStr">
        <is>
          <t>C3 回落20MA：收市距 MA20 -6.2%；C4 波幅減低：ATR5/ATR20 0.69（要 ≤0.9）；ATR5 係升浪期 ATR 嘅 0.83×（要 ≤0.7）</t>
        </is>
      </c>
    </row>
    <row r="27">
      <c r="A27" s="2" t="inlineStr">
        <is>
          <t>跌出</t>
        </is>
      </c>
      <c r="B27" s="7" t="inlineStr">
        <is>
          <t>TTRX</t>
        </is>
      </c>
      <c r="C27" s="6" t="n">
        <v>2</v>
      </c>
      <c r="D27" s="6" t="n"/>
      <c r="E27" s="3" t="inlineStr">
        <is>
          <t>C3 回落20MA：收市距 MA20 +9.8%；C4 波幅減低：ATR5/ATR20 0.89（要 ≤0.9）；ATR5 係升浪期 ATR 嘅 0.98×（要 ≤0.7）</t>
        </is>
      </c>
    </row>
    <row r="28">
      <c r="A28" s="2" t="inlineStr">
        <is>
          <t>跌出</t>
        </is>
      </c>
      <c r="B28" s="7" t="inlineStr">
        <is>
          <t>DELL</t>
        </is>
      </c>
      <c r="C28" s="6" t="n">
        <v>3</v>
      </c>
      <c r="D28" s="6" t="n"/>
      <c r="E28" s="3" t="inlineStr">
        <is>
          <t>C1b 熱錢：升浪成交額係之前 60 日嘅 1.18×（要 ≥2.0×）</t>
        </is>
      </c>
    </row>
    <row r="29">
      <c r="A29" s="2" t="inlineStr">
        <is>
          <t>跌出</t>
        </is>
      </c>
      <c r="B29" s="7" t="inlineStr">
        <is>
          <t>TITN</t>
        </is>
      </c>
      <c r="C29" s="6" t="n">
        <v>5</v>
      </c>
      <c r="D29" s="6" t="n"/>
      <c r="E29" s="3" t="inlineStr">
        <is>
          <t>C1b 熱錢：升浪成交額係之前 60 日嘅 1.45×（要 ≥2.0×）；C3 回落20MA：收市距 MA20 -3.3%</t>
        </is>
      </c>
    </row>
    <row r="30">
      <c r="A30" s="2" t="inlineStr">
        <is>
          <t>跌出</t>
        </is>
      </c>
      <c r="B30" s="7" t="inlineStr">
        <is>
          <t>ESTC</t>
        </is>
      </c>
      <c r="C30" s="6" t="n">
        <v>6</v>
      </c>
      <c r="D30" s="6" t="n"/>
      <c r="E30" s="3" t="inlineStr">
        <is>
          <t>C1b 熱錢：升浪成交額係之前 60 日嘅 1.51×（要 ≥2.0×）；C3 回落20MA：MA20 唔係向上；收市距 MA20 +3.7%；C4 波幅減低：ATR5/ATR20 0.92（要 ≤0.9）；ATR5 係升浪期 ATR 嘅 0.73×（要 ≤0.7）</t>
        </is>
      </c>
    </row>
    <row r="31">
      <c r="A31" s="2" t="inlineStr">
        <is>
          <t>跌出</t>
        </is>
      </c>
      <c r="B31" s="7" t="inlineStr">
        <is>
          <t>FIVN</t>
        </is>
      </c>
      <c r="C31" s="6" t="n">
        <v>7</v>
      </c>
      <c r="D31" s="6" t="n"/>
      <c r="E31" s="3" t="inlineStr">
        <is>
          <t>C1a 事件日：高位前 60 日最大量日只有 5.8× 50日均量（當日 -0.5%）；要 ≥3× 兼當日 ≥+8% 或開市跳空 ≥+5%；C1b 熱錢：升浪成交額係之前 60 日嘅 1.17×（要 ≥2.0×）；C4 波幅減低：ATR5/ATR20 0.77（要 ≤0.9）；ATR5 係升浪期 ATR 嘅 0.71×（要 ≤0.7）</t>
        </is>
      </c>
    </row>
    <row r="32">
      <c r="A32" s="2" t="inlineStr">
        <is>
          <t>跌出</t>
        </is>
      </c>
      <c r="B32" s="7" t="inlineStr">
        <is>
          <t>DHX</t>
        </is>
      </c>
      <c r="C32" s="6" t="n">
        <v>8</v>
      </c>
      <c r="D32" s="6" t="n"/>
      <c r="E32" s="3" t="inlineStr">
        <is>
          <t>C1a 事件日：高位前 60 日最大量日只有 3.0× 50日均量（當日 +3.8%）；要 ≥3× 兼當日 ≥+8% 或開市跳空 ≥+5%；C1b 熱錢：升浪成交額係之前 60 日嘅 1.10×（要 ≥2.0×）</t>
        </is>
      </c>
    </row>
    <row r="33">
      <c r="A33" s="2" t="inlineStr">
        <is>
          <t>跌出</t>
        </is>
      </c>
      <c r="B33" s="7" t="inlineStr">
        <is>
          <t>VLO</t>
        </is>
      </c>
      <c r="C33" s="6" t="n">
        <v>9</v>
      </c>
      <c r="D33" s="6" t="n"/>
      <c r="E33" s="3" t="inlineStr">
        <is>
          <t>C1a 事件日：高位前 60 日最大量日只有 3.4× 50日均量（當日 +0.2%）；要 ≥3× 兼當日 ≥+8% 或開市跳空 ≥+5%；C1b 熱錢：升浪成交額係之前 60 日嘅 1.25×（要 ≥2.0×）；C4 波幅減低：ATR5/ATR20 0.92（要 ≤0.9）；ATR5 係升浪期 ATR 嘅 1.04×（要 ≤0.7）</t>
        </is>
      </c>
    </row>
    <row r="34">
      <c r="A34" s="2" t="inlineStr">
        <is>
          <t>跌出</t>
        </is>
      </c>
      <c r="B34" s="7" t="inlineStr">
        <is>
          <t>SNOW</t>
        </is>
      </c>
      <c r="C34" s="6" t="n">
        <v>11</v>
      </c>
      <c r="D34" s="6" t="n"/>
      <c r="E34" s="3" t="inlineStr">
        <is>
          <t>C1b 熱錢：升浪成交額係之前 60 日嘅 1.00×（要 ≥2.0×）；C4 波幅減低：ATR5/ATR20 0.80（要 ≤0.9）；ATR5 係升浪期 ATR 嘅 0.83×（要 ≤0.7）</t>
        </is>
      </c>
    </row>
    <row r="35">
      <c r="A35" s="2" t="inlineStr">
        <is>
          <t>跌出</t>
        </is>
      </c>
      <c r="B35" s="7" t="inlineStr">
        <is>
          <t>MPC</t>
        </is>
      </c>
      <c r="C35" s="6" t="n">
        <v>12</v>
      </c>
      <c r="D35" s="6" t="n"/>
      <c r="E35" s="3" t="inlineStr">
        <is>
          <t>C1a 事件日：高位前 60 日最大量日只有 4.2× 50日均量（當日 +0.7%）；要 ≥3× 兼當日 ≥+8% 或開市跳空 ≥+5%；C1b 熱錢：升浪成交額係之前 60 日嘅 1.46×（要 ≥2.0×）；C4 波幅減低：ATR5/ATR20 0.87（要 ≤0.9）；ATR5 係升浪期 ATR 嘅 1.01×（要 ≤0.7）</t>
        </is>
      </c>
    </row>
    <row r="36">
      <c r="A36" s="2" t="inlineStr">
        <is>
          <t>跌出</t>
        </is>
      </c>
      <c r="B36" s="7" t="inlineStr">
        <is>
          <t>KGEI</t>
        </is>
      </c>
      <c r="C36" s="6" t="n">
        <v>13</v>
      </c>
      <c r="D36" s="6" t="n"/>
      <c r="E36" s="3" t="inlineStr">
        <is>
          <t>C1a 事件日：高位前 60 日最大量日只有 2.4× 50日均量（當日 +0.4%）；要 ≥3× 兼當日 ≥+8% 或開市跳空 ≥+5%；C1b 熱錢：升浪成交額係之前 60 日嘅 0.69×（要 ≥2.0×）；C3 回落20MA：收市距 MA20 -5.1%；C4 波幅減低：ATR5/ATR20 0.93（要 ≤0.9）；ATR5 係升浪期 ATR 嘅 0.81×（要 ≤0.7）</t>
        </is>
      </c>
    </row>
    <row r="37">
      <c r="A37" s="2" t="inlineStr">
        <is>
          <t>跌出</t>
        </is>
      </c>
      <c r="B37" s="7" t="inlineStr">
        <is>
          <t>IBTA</t>
        </is>
      </c>
      <c r="C37" s="6" t="n">
        <v>14</v>
      </c>
      <c r="D37" s="6" t="n"/>
      <c r="E37" s="3" t="inlineStr">
        <is>
          <t>C1b 熱錢：升浪成交額係之前 60 日嘅 1.70×（要 ≥2.0×）；C4 波幅減低：ATR5/ATR20 1.04（要 ≤0.9）；ATR5 係升浪期 ATR 嘅 0.63×（要 ≤0.7）</t>
        </is>
      </c>
    </row>
    <row r="38">
      <c r="A38" s="2" t="inlineStr">
        <is>
          <t>跌出</t>
        </is>
      </c>
      <c r="B38" s="7" t="inlineStr">
        <is>
          <t>ELMT</t>
        </is>
      </c>
      <c r="C38" s="6" t="n">
        <v>15</v>
      </c>
      <c r="D38" s="6" t="n"/>
      <c r="E38" s="3" t="inlineStr">
        <is>
          <t>C1b 熱錢：升浪成交額係之前 60 日嘅 1.49×（要 ≥2.0×）；C3 回落20MA：收市距 MA20 +4.9%；C4 波幅減低：ATR5/ATR20 0.69（要 ≤0.9）；ATR5 係升浪期 ATR 嘅 0.81×（要 ≤0.7）</t>
        </is>
      </c>
    </row>
    <row r="39">
      <c r="A39" s="2" t="inlineStr">
        <is>
          <t>跌出</t>
        </is>
      </c>
      <c r="B39" s="7" t="inlineStr">
        <is>
          <t>LPG</t>
        </is>
      </c>
      <c r="C39" s="6" t="n">
        <v>16</v>
      </c>
      <c r="D39" s="6" t="n"/>
      <c r="E39" s="3" t="inlineStr">
        <is>
          <t>C1a 事件日：高位前 60 日最大量日只有 2.3× 50日均量（當日 -2.4%）；要 ≥3× 兼當日 ≥+8% 或開市跳空 ≥+5%；C1b 熱錢：升浪成交額係之前 60 日嘅 1.10×（要 ≥2.0×）；C4 波幅減低：ATR5/ATR20 1.05（要 ≤0.9）；ATR5 係升浪期 ATR 嘅 0.94×（要 ≤0.7）</t>
        </is>
      </c>
    </row>
    <row r="40">
      <c r="A40" s="2" t="inlineStr">
        <is>
          <t>跌出</t>
        </is>
      </c>
      <c r="B40" s="7" t="inlineStr">
        <is>
          <t>DC</t>
        </is>
      </c>
      <c r="C40" s="6" t="n">
        <v>17</v>
      </c>
      <c r="D40" s="6" t="n"/>
      <c r="E40" s="3" t="inlineStr">
        <is>
          <t>C1a 事件日：高位前 60 日最大量日只有 4.9× 50日均量（當日 +3.9%）；要 ≥3× 兼當日 ≥+8% 或開市跳空 ≥+5%；C1b 熱錢：升浪成交額係之前 60 日嘅 1.09×（要 ≥2.0×）；C4 波幅減低：ATR5/ATR20 0.84（要 ≤0.9）；ATR5 係升浪期 ATR 嘅 0.84×（要 ≤0.7）</t>
        </is>
      </c>
    </row>
    <row r="41">
      <c r="A41" s="2" t="inlineStr">
        <is>
          <t>跌出</t>
        </is>
      </c>
      <c r="B41" s="7" t="inlineStr">
        <is>
          <t>BBY</t>
        </is>
      </c>
      <c r="C41" s="6" t="n">
        <v>18</v>
      </c>
      <c r="D41" s="6" t="n"/>
      <c r="E41" s="3" t="inlineStr">
        <is>
          <t>C1a 事件日：高位前 60 日最大量日只有 2.5× 50日均量（當日 -4.4%）；要 ≥3× 兼當日 ≥+8% 或開市跳空 ≥+5%；C1b 熱錢：升浪成交額係之前 60 日嘅 1.16×（要 ≥2.0×）；C4 波幅減低：ATR5/ATR20 0.88（要 ≤0.9）；ATR5 係升浪期 ATR 嘅 0.84×（要 ≤0.7）</t>
        </is>
      </c>
    </row>
    <row r="42">
      <c r="A42" s="2" t="inlineStr">
        <is>
          <t>跌出</t>
        </is>
      </c>
      <c r="B42" s="7" t="inlineStr">
        <is>
          <t>TH</t>
        </is>
      </c>
      <c r="C42" s="6" t="n">
        <v>19</v>
      </c>
      <c r="D42" s="6" t="n"/>
      <c r="E42" s="3" t="inlineStr">
        <is>
          <t>C1a 事件日：高位前 60 日最大量日只有 9.2× 50日均量（當日 -5.2%）；要 ≥3× 兼當日 ≥+8% 或開市跳空 ≥+5%；C1b 熱錢：升浪成交額係之前 60 日嘅 1.35×（要 ≥2.0×）；C4 波幅減低：ATR5/ATR20 1.03（要 ≤0.9）；ATR5 係升浪期 ATR 嘅 0.87×（要 ≤0.7）</t>
        </is>
      </c>
    </row>
    <row r="43">
      <c r="A43" s="2" t="inlineStr">
        <is>
          <t>跌出</t>
        </is>
      </c>
      <c r="B43" s="7" t="inlineStr">
        <is>
          <t>DINO</t>
        </is>
      </c>
      <c r="C43" s="6" t="n">
        <v>20</v>
      </c>
      <c r="D43" s="6" t="n"/>
      <c r="E43" s="3" t="inlineStr">
        <is>
          <t>C1a 事件日：高位前 60 日最大量日只有 1.9× 50日均量（當日 +2.8%）；要 ≥3× 兼當日 ≥+8% 或開市跳空 ≥+5%；C1b 熱錢：升浪成交額係之前 60 日嘅 1.59×（要 ≥2.0×）；C4 波幅減低：ATR5/ATR20 0.86（要 ≤0.9）；ATR5 係升浪期 ATR 嘅 0.93×（要 ≤0.7）</t>
        </is>
      </c>
    </row>
    <row r="44">
      <c r="A44" s="2" t="inlineStr">
        <is>
          <t>跌出</t>
        </is>
      </c>
      <c r="B44" s="7" t="inlineStr">
        <is>
          <t>PSX</t>
        </is>
      </c>
      <c r="C44" s="6" t="n">
        <v>21</v>
      </c>
      <c r="D44" s="6" t="n"/>
      <c r="E44" s="3" t="inlineStr">
        <is>
          <t>C1a 事件日：高位前 60 日最大量日只有 1.6× 50日均量（當日 +1.1%）；要 ≥3× 兼當日 ≥+8% 或開市跳空 ≥+5%；C1b 熱錢：升浪成交額係之前 60 日嘅 1.30×（要 ≥2.0×）；C4 波幅減低：ATR5/ATR20 0.84（要 ≤0.9）；ATR5 係升浪期 ATR 嘅 0.88×（要 ≤0.7）</t>
        </is>
      </c>
    </row>
  </sheetData>
  <autoFilter ref="A3:E3"/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  <hyperlink xmlns:r="http://schemas.openxmlformats.org/officeDocument/2006/relationships" ref="B34" r:id="rId31"/>
    <hyperlink xmlns:r="http://schemas.openxmlformats.org/officeDocument/2006/relationships" ref="B35" r:id="rId32"/>
    <hyperlink xmlns:r="http://schemas.openxmlformats.org/officeDocument/2006/relationships" ref="B36" r:id="rId33"/>
    <hyperlink xmlns:r="http://schemas.openxmlformats.org/officeDocument/2006/relationships" ref="B37" r:id="rId34"/>
    <hyperlink xmlns:r="http://schemas.openxmlformats.org/officeDocument/2006/relationships" ref="B38" r:id="rId35"/>
    <hyperlink xmlns:r="http://schemas.openxmlformats.org/officeDocument/2006/relationships" ref="B39" r:id="rId36"/>
    <hyperlink xmlns:r="http://schemas.openxmlformats.org/officeDocument/2006/relationships" ref="B40" r:id="rId37"/>
    <hyperlink xmlns:r="http://schemas.openxmlformats.org/officeDocument/2006/relationships" ref="B41" r:id="rId38"/>
    <hyperlink xmlns:r="http://schemas.openxmlformats.org/officeDocument/2006/relationships" ref="B42" r:id="rId39"/>
    <hyperlink xmlns:r="http://schemas.openxmlformats.org/officeDocument/2006/relationships" ref="B43" r:id="rId40"/>
    <hyperlink xmlns:r="http://schemas.openxmlformats.org/officeDocument/2006/relationships" ref="B44" r:id="rId4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11" customWidth="1" min="4" max="4"/>
    <col width="9" customWidth="1" min="5" max="5"/>
    <col width="10" customWidth="1" min="6" max="6"/>
    <col width="10" customWidth="1" min="7" max="7"/>
    <col width="18" customWidth="1" min="8" max="8"/>
    <col width="30" customWidth="1" min="9" max="9"/>
    <col width="8" customWidth="1" min="10" max="10"/>
    <col width="40" customWidth="1" min="11" max="11"/>
  </cols>
  <sheetData>
    <row r="1">
      <c r="A1" s="1" t="inlineStr">
        <is>
          <t>R22 名單（2026-09-28 收市）之後 2 個交易日點行（至 2026-09-30 收市）</t>
        </is>
      </c>
    </row>
    <row r="3" ht="32" customHeight="1">
      <c r="A3" s="29" t="inlineStr">
        <is>
          <t>整體</t>
        </is>
      </c>
      <c r="B3" s="3" t="inlineStr">
        <is>
          <t>R22 21 隻由 2026-09-28 收市到 2026-09-30 收市（2 個交易日）中位數 +0.69%，11 隻升；同期全體合資格股票中位數 -1.02%。最好 TTRX +10.4%，最差 PLSE -4.6%。</t>
        </is>
      </c>
    </row>
    <row r="4" ht="32" customHeight="1">
      <c r="A4" s="29" t="inlineStr">
        <is>
          <t>排名有冇用</t>
        </is>
      </c>
      <c r="B4" s="3" t="inlineStr">
        <is>
          <t>前 10 名中位數 -0.75%（4/10 升），其餘 +1.05%（7/11 升）；爆發潛力分數同期間回報嘅排名相關 -0.12。2 日樣本，唔可以當證明。</t>
        </is>
      </c>
    </row>
    <row r="5" ht="32" customHeight="1">
      <c r="A5" s="29" t="inlineStr">
        <is>
          <t>收市喺 MA20 上定下</t>
        </is>
      </c>
      <c r="B5" s="3" t="inlineStr">
        <is>
          <t>2026-09-28 收市企喺 MA20 上面嘅 6 隻中位數 -1.23%；收喺 MA20 下面嘅 15 隻 +1.25%。</t>
        </is>
      </c>
    </row>
    <row r="6" ht="32" customHeight="1">
      <c r="A6" s="29" t="inlineStr">
        <is>
          <t>審視標記</t>
        </is>
      </c>
      <c r="B6" s="3" t="inlineStr">
        <is>
          <t>有標記嘅 12 隻中位數 +0.10%，冇標記嘅 9 隻 +1.25%。</t>
        </is>
      </c>
    </row>
    <row r="7" ht="32" customHeight="1">
      <c r="A7" s="29" t="inlineStr">
        <is>
          <t>而家狀態</t>
        </is>
      </c>
      <c r="B7" s="3" t="inlineStr">
        <is>
          <t>仍喺 MA20 附近 13 隻；跌穿 MA20 超過 3% 3 隻；已反彈離開 MA20 3 隻；符合新條件（第 2 梯隊） 2 隻</t>
        </is>
      </c>
    </row>
    <row r="9" ht="42" customHeight="1">
      <c r="A9" s="4" t="inlineStr">
        <is>
          <t>R22 排名</t>
        </is>
      </c>
      <c r="B9" s="4" t="inlineStr">
        <is>
          <t>代號</t>
        </is>
      </c>
      <c r="C9" s="4" t="inlineStr">
        <is>
          <t>2026-09-28 收市</t>
        </is>
      </c>
      <c r="D9" s="4" t="inlineStr">
        <is>
          <t>2026-09-30 收市</t>
        </is>
      </c>
      <c r="E9" s="4" t="inlineStr">
        <is>
          <t>期間回報</t>
        </is>
      </c>
      <c r="F9" s="4" t="inlineStr">
        <is>
          <t>減大市中位數</t>
        </is>
      </c>
      <c r="G9" s="4" t="inlineStr">
        <is>
          <t>2026-09-30 距 MA20%</t>
        </is>
      </c>
      <c r="H9" s="4" t="inlineStr">
        <is>
          <t>狀態</t>
        </is>
      </c>
      <c r="I9" s="4" t="inlineStr">
        <is>
          <t>新條件唔過嘅</t>
        </is>
      </c>
      <c r="J9" s="4" t="inlineStr">
        <is>
          <t>R23.00 排名</t>
        </is>
      </c>
      <c r="K9" s="4" t="inlineStr">
        <is>
          <t>R22 標記</t>
        </is>
      </c>
    </row>
    <row r="10">
      <c r="A10" s="6" t="n">
        <v>1</v>
      </c>
      <c r="B10" s="7" t="inlineStr">
        <is>
          <t>IRD</t>
        </is>
      </c>
      <c r="C10" s="10" t="n">
        <v>5.07</v>
      </c>
      <c r="D10" s="10" t="n">
        <v>4.84</v>
      </c>
      <c r="E10" s="11">
        <f>D10/C10-1</f>
        <v/>
      </c>
      <c r="F10" s="11">
        <f>E10-(-0.010241163364280326)</f>
        <v/>
      </c>
      <c r="G10" s="16" t="n">
        <v>-0.0625</v>
      </c>
      <c r="H10" s="2" t="inlineStr">
        <is>
          <t>跌穿 MA20 超過 3%</t>
        </is>
      </c>
      <c r="I10" s="3" t="inlineStr">
        <is>
          <t>C3 回落20MA、C4 波幅減低</t>
        </is>
      </c>
      <c r="J10" s="6" t="n"/>
      <c r="K10" s="3" t="inlineStr">
        <is>
          <t>二元事件就喺今個星期：10 月 1–4 日 EURETINA 大會公佈 OPGx-BEST1 詳細數據；R21 已標記佢嘅升浪同回調都係臨床消息帶動</t>
        </is>
      </c>
    </row>
    <row r="11">
      <c r="A11" s="6" t="n">
        <v>2</v>
      </c>
      <c r="B11" s="7" t="inlineStr">
        <is>
          <t>TTRX</t>
        </is>
      </c>
      <c r="C11" s="10" t="n">
        <v>13.04</v>
      </c>
      <c r="D11" s="10" t="n">
        <v>14.39</v>
      </c>
      <c r="E11" s="11">
        <f>D11/C11-1</f>
        <v/>
      </c>
      <c r="F11" s="11">
        <f>E11-(-0.010241163364280326)</f>
        <v/>
      </c>
      <c r="G11" s="16" t="n">
        <v>0.0979</v>
      </c>
      <c r="H11" s="2" t="inlineStr">
        <is>
          <t>已反彈離開 MA20</t>
        </is>
      </c>
      <c r="I11" s="3" t="inlineStr">
        <is>
          <t>C3 回落20MA、C4 波幅減低</t>
        </is>
      </c>
      <c r="J11" s="6" t="n"/>
      <c r="K11" s="3" t="inlineStr">
        <is>
          <t>回調唔係有序回落：期內有一日跌 -11.6%；臨床期生物科技，升浪由試驗消息帶動（3 月 $3.22 → 9 月約 $14.8），唔係業績動能；20 日成交額中位數只有 $1.7M（股票池下限 $1M），入市出市都會有滑價</t>
        </is>
      </c>
    </row>
    <row r="12">
      <c r="A12" s="6" t="n">
        <v>3</v>
      </c>
      <c r="B12" s="27" t="inlineStr">
        <is>
          <t>DELL</t>
        </is>
      </c>
      <c r="C12" s="10" t="n">
        <v>543.42</v>
      </c>
      <c r="D12" s="10" t="n">
        <v>537.95</v>
      </c>
      <c r="E12" s="11">
        <f>D12/C12-1</f>
        <v/>
      </c>
      <c r="F12" s="11">
        <f>E12-(-0.010241163364280326)</f>
        <v/>
      </c>
      <c r="G12" s="16" t="n">
        <v>-0.01</v>
      </c>
      <c r="H12" s="2" t="inlineStr">
        <is>
          <t>仍喺 MA20 附近</t>
        </is>
      </c>
      <c r="I12" s="3" t="inlineStr">
        <is>
          <t>C1b 熱錢</t>
        </is>
      </c>
      <c r="J12" s="6" t="n"/>
      <c r="K12" s="3" t="inlineStr"/>
    </row>
    <row r="13">
      <c r="A13" s="6" t="n">
        <v>4</v>
      </c>
      <c r="B13" s="7" t="inlineStr">
        <is>
          <t>PLSE</t>
        </is>
      </c>
      <c r="C13" s="10" t="n">
        <v>52.32</v>
      </c>
      <c r="D13" s="10" t="n">
        <v>49.92</v>
      </c>
      <c r="E13" s="11">
        <f>D13/C13-1</f>
        <v/>
      </c>
      <c r="F13" s="11">
        <f>E13-(-0.010241163364280326)</f>
        <v/>
      </c>
      <c r="G13" s="16" t="n">
        <v>-0.0473</v>
      </c>
      <c r="H13" s="2" t="inlineStr">
        <is>
          <t>符合新條件（第 2 梯隊）</t>
        </is>
      </c>
      <c r="I13" s="3" t="inlineStr">
        <is>
          <t>C3 回落20MA、C4 波幅減低</t>
        </is>
      </c>
      <c r="J13" s="6" t="n">
        <v>16</v>
      </c>
      <c r="K13" s="3" t="inlineStr">
        <is>
          <t>回調唔係有序回落：期內有一日跌 -10.1%</t>
        </is>
      </c>
    </row>
    <row r="14">
      <c r="A14" s="6" t="n">
        <v>5</v>
      </c>
      <c r="B14" s="7" t="inlineStr">
        <is>
          <t>TITN</t>
        </is>
      </c>
      <c r="C14" s="10" t="n">
        <v>23.47</v>
      </c>
      <c r="D14" s="10" t="n">
        <v>23.08</v>
      </c>
      <c r="E14" s="11">
        <f>D14/C14-1</f>
        <v/>
      </c>
      <c r="F14" s="11">
        <f>E14-(-0.010241163364280326)</f>
        <v/>
      </c>
      <c r="G14" s="16" t="n">
        <v>-0.0328</v>
      </c>
      <c r="H14" s="2" t="inlineStr">
        <is>
          <t>跌穿 MA20 超過 3%</t>
        </is>
      </c>
      <c r="I14" s="3" t="inlineStr">
        <is>
          <t>C1b 熱錢、C3 回落20MA</t>
        </is>
      </c>
      <c r="J14" s="6" t="n"/>
      <c r="K14" s="3" t="inlineStr">
        <is>
          <t>升浪來自券商升級（08-31 Baird），同期收入 −9.2%、虧損擴大 —— 動能冇基本面支持</t>
        </is>
      </c>
    </row>
    <row r="15">
      <c r="A15" s="6" t="n">
        <v>6</v>
      </c>
      <c r="B15" s="27" t="inlineStr">
        <is>
          <t>ESTC</t>
        </is>
      </c>
      <c r="C15" s="10" t="n">
        <v>87.95</v>
      </c>
      <c r="D15" s="10" t="n">
        <v>91.7</v>
      </c>
      <c r="E15" s="11">
        <f>D15/C15-1</f>
        <v/>
      </c>
      <c r="F15" s="11">
        <f>E15-(-0.010241163364280326)</f>
        <v/>
      </c>
      <c r="G15" s="16" t="n">
        <v>0.0369</v>
      </c>
      <c r="H15" s="2" t="inlineStr">
        <is>
          <t>已反彈離開 MA20</t>
        </is>
      </c>
      <c r="I15" s="3" t="inlineStr">
        <is>
          <t>C1b 熱錢、C3 回落20MA、C4 波幅減低</t>
        </is>
      </c>
      <c r="J15" s="6" t="n"/>
      <c r="K15" s="3" t="inlineStr"/>
    </row>
    <row r="16">
      <c r="A16" s="6" t="n">
        <v>7</v>
      </c>
      <c r="B16" s="27" t="inlineStr">
        <is>
          <t>FIVN</t>
        </is>
      </c>
      <c r="C16" s="10" t="n">
        <v>34.66</v>
      </c>
      <c r="D16" s="10" t="n">
        <v>34.01</v>
      </c>
      <c r="E16" s="11">
        <f>D16/C16-1</f>
        <v/>
      </c>
      <c r="F16" s="11">
        <f>E16-(-0.010241163364280326)</f>
        <v/>
      </c>
      <c r="G16" s="16" t="n">
        <v>0.0036</v>
      </c>
      <c r="H16" s="2" t="inlineStr">
        <is>
          <t>仍喺 MA20 附近</t>
        </is>
      </c>
      <c r="I16" s="3" t="inlineStr">
        <is>
          <t>C1a 事件日、C1b 熱錢、C4 波幅減低</t>
        </is>
      </c>
      <c r="J16" s="6" t="n"/>
      <c r="K16" s="3" t="inlineStr"/>
    </row>
    <row r="17">
      <c r="A17" s="6" t="n">
        <v>8</v>
      </c>
      <c r="B17" s="7" t="inlineStr">
        <is>
          <t>DHX</t>
        </is>
      </c>
      <c r="C17" s="10" t="n">
        <v>4.62</v>
      </c>
      <c r="D17" s="10" t="n">
        <v>4.7</v>
      </c>
      <c r="E17" s="11">
        <f>D17/C17-1</f>
        <v/>
      </c>
      <c r="F17" s="11">
        <f>E17-(-0.010241163364280326)</f>
        <v/>
      </c>
      <c r="G17" s="16" t="n">
        <v>0.0021</v>
      </c>
      <c r="H17" s="2" t="inlineStr">
        <is>
          <t>仍喺 MA20 附近</t>
        </is>
      </c>
      <c r="I17" s="3" t="inlineStr">
        <is>
          <t>C1a 事件日、C1b 熱錢</t>
        </is>
      </c>
      <c r="J17" s="6" t="n"/>
      <c r="K17" s="3" t="inlineStr">
        <is>
          <t>20 日成交額中位數只有 $1.3M（股票池下限 $1M），入市出市都會有滑價</t>
        </is>
      </c>
    </row>
    <row r="18">
      <c r="A18" s="6" t="n">
        <v>9</v>
      </c>
      <c r="B18" s="7" t="inlineStr">
        <is>
          <t>VLO</t>
        </is>
      </c>
      <c r="C18" s="10" t="n">
        <v>389.57</v>
      </c>
      <c r="D18" s="10" t="n">
        <v>387.61</v>
      </c>
      <c r="E18" s="11">
        <f>D18/C18-1</f>
        <v/>
      </c>
      <c r="F18" s="11">
        <f>E18-(-0.010241163364280326)</f>
        <v/>
      </c>
      <c r="G18" s="16" t="n">
        <v>0.0009</v>
      </c>
      <c r="H18" s="2" t="inlineStr">
        <is>
          <t>仍喺 MA20 附近</t>
        </is>
      </c>
      <c r="I18" s="3" t="inlineStr">
        <is>
          <t>C1a 事件日、C1b 熱錢、C4 波幅減低</t>
        </is>
      </c>
      <c r="J18" s="6" t="n"/>
      <c r="K18" s="3" t="inlineStr">
        <is>
          <t>同名單入面 MPC、DINO、PSX 同向（21 日相關系數中位數 +0.91，名單其餘 +0.07）：當一個交易睇</t>
        </is>
      </c>
    </row>
    <row r="19">
      <c r="A19" s="6" t="n">
        <v>10</v>
      </c>
      <c r="B19" s="7" t="inlineStr">
        <is>
          <t>PURR</t>
        </is>
      </c>
      <c r="C19" s="10" t="n">
        <v>12.08</v>
      </c>
      <c r="D19" s="10" t="n">
        <v>12.27</v>
      </c>
      <c r="E19" s="11">
        <f>D19/C19-1</f>
        <v/>
      </c>
      <c r="F19" s="11">
        <f>E19-(-0.010241163364280326)</f>
        <v/>
      </c>
      <c r="G19" s="16" t="n">
        <v>-0.0141</v>
      </c>
      <c r="H19" s="2" t="inlineStr">
        <is>
          <t>符合新條件（第 2 梯隊）</t>
        </is>
      </c>
      <c r="I19" s="3" t="inlineStr">
        <is>
          <t>C4 波幅減低</t>
        </is>
      </c>
      <c r="J19" s="6" t="n">
        <v>11</v>
      </c>
      <c r="K19" s="3" t="inlineStr">
        <is>
          <t>回調唔係有序回落：期內有一日跌 -8.8%；加密貨幣庫存公司，股價跟 HYPE 代幣走；09-25 監管負面消息</t>
        </is>
      </c>
    </row>
    <row r="20">
      <c r="A20" s="6" t="n">
        <v>11</v>
      </c>
      <c r="B20" s="27" t="inlineStr">
        <is>
          <t>SNOW</t>
        </is>
      </c>
      <c r="C20" s="10" t="n">
        <v>328.12</v>
      </c>
      <c r="D20" s="10" t="n">
        <v>339.56</v>
      </c>
      <c r="E20" s="11">
        <f>D20/C20-1</f>
        <v/>
      </c>
      <c r="F20" s="11">
        <f>E20-(-0.010241163364280326)</f>
        <v/>
      </c>
      <c r="G20" s="16" t="n">
        <v>0.0195</v>
      </c>
      <c r="H20" s="2" t="inlineStr">
        <is>
          <t>仍喺 MA20 附近</t>
        </is>
      </c>
      <c r="I20" s="3" t="inlineStr">
        <is>
          <t>C1b 熱錢、C4 波幅減低</t>
        </is>
      </c>
      <c r="J20" s="6" t="n"/>
      <c r="K20" s="3" t="inlineStr"/>
    </row>
    <row r="21">
      <c r="A21" s="6" t="n">
        <v>12</v>
      </c>
      <c r="B21" s="7" t="inlineStr">
        <is>
          <t>MPC</t>
        </is>
      </c>
      <c r="C21" s="10" t="n">
        <v>389.55</v>
      </c>
      <c r="D21" s="10" t="n">
        <v>395.42</v>
      </c>
      <c r="E21" s="11">
        <f>D21/C21-1</f>
        <v/>
      </c>
      <c r="F21" s="11">
        <f>E21-(-0.010241163364280326)</f>
        <v/>
      </c>
      <c r="G21" s="16" t="n">
        <v>-0.0064</v>
      </c>
      <c r="H21" s="2" t="inlineStr">
        <is>
          <t>仍喺 MA20 附近</t>
        </is>
      </c>
      <c r="I21" s="3" t="inlineStr">
        <is>
          <t>C1a 事件日、C1b 熱錢、C4 波幅減低</t>
        </is>
      </c>
      <c r="J21" s="6" t="n"/>
      <c r="K21" s="3" t="inlineStr">
        <is>
          <t>同名單入面 VLO、DINO、PSX 同向（21 日相關系數中位數 +0.91，名單其餘 +0.07）：當一個交易睇</t>
        </is>
      </c>
    </row>
    <row r="22">
      <c r="A22" s="6" t="n">
        <v>13</v>
      </c>
      <c r="B22" s="7" t="inlineStr">
        <is>
          <t>KGEI</t>
        </is>
      </c>
      <c r="C22" s="10" t="n">
        <v>6.44</v>
      </c>
      <c r="D22" s="10" t="n">
        <v>6.18</v>
      </c>
      <c r="E22" s="11">
        <f>D22/C22-1</f>
        <v/>
      </c>
      <c r="F22" s="11">
        <f>E22-(-0.010241163364280326)</f>
        <v/>
      </c>
      <c r="G22" s="16" t="n">
        <v>-0.0511</v>
      </c>
      <c r="H22" s="2" t="inlineStr">
        <is>
          <t>跌穿 MA20 超過 3%</t>
        </is>
      </c>
      <c r="I22" s="3" t="inlineStr">
        <is>
          <t>C1a 事件日、C1b 熱錢、C3 回落20MA、C4 波幅減低</t>
        </is>
      </c>
      <c r="J22" s="6" t="n"/>
      <c r="K22" s="3" t="inlineStr">
        <is>
          <t>今日放量（1.8× 50日均量）收喺 20MA 下面；20 日成交額中位數只有 $1.0M（股票池下限 $1M），入市出市都會有滑價</t>
        </is>
      </c>
    </row>
    <row r="23">
      <c r="A23" s="6" t="n">
        <v>14</v>
      </c>
      <c r="B23" s="7" t="inlineStr">
        <is>
          <t>IBTA</t>
        </is>
      </c>
      <c r="C23" s="10" t="n">
        <v>40.05</v>
      </c>
      <c r="D23" s="10" t="n">
        <v>39.4</v>
      </c>
      <c r="E23" s="11">
        <f>D23/C23-1</f>
        <v/>
      </c>
      <c r="F23" s="11">
        <f>E23-(-0.010241163364280326)</f>
        <v/>
      </c>
      <c r="G23" s="16" t="n">
        <v>-0.0225</v>
      </c>
      <c r="H23" s="2" t="inlineStr">
        <is>
          <t>仍喺 MA20 附近</t>
        </is>
      </c>
      <c r="I23" s="3" t="inlineStr">
        <is>
          <t>C1b 熱錢、C4 波幅減低</t>
        </is>
      </c>
      <c r="J23" s="6" t="n"/>
      <c r="K23" s="3" t="inlineStr">
        <is>
          <t>升幅過半來自單日：2026-07-31 起計升 77%，最大單日 +51.9%</t>
        </is>
      </c>
    </row>
    <row r="24">
      <c r="A24" s="6" t="n">
        <v>15</v>
      </c>
      <c r="B24" s="27" t="inlineStr">
        <is>
          <t>ELMT</t>
        </is>
      </c>
      <c r="C24" s="10" t="n">
        <v>18.605</v>
      </c>
      <c r="D24" s="10" t="n">
        <v>19.96</v>
      </c>
      <c r="E24" s="11">
        <f>D24/C24-1</f>
        <v/>
      </c>
      <c r="F24" s="11">
        <f>E24-(-0.010241163364280326)</f>
        <v/>
      </c>
      <c r="G24" s="16" t="n">
        <v>0.0485</v>
      </c>
      <c r="H24" s="2" t="inlineStr">
        <is>
          <t>已反彈離開 MA20</t>
        </is>
      </c>
      <c r="I24" s="3" t="inlineStr">
        <is>
          <t>C1b 熱錢、C3 回落20MA、C4 波幅減低</t>
        </is>
      </c>
      <c r="J24" s="6" t="n"/>
      <c r="K24" s="3" t="inlineStr"/>
    </row>
    <row r="25">
      <c r="A25" s="6" t="n">
        <v>16</v>
      </c>
      <c r="B25" s="27" t="inlineStr">
        <is>
          <t>LPG</t>
        </is>
      </c>
      <c r="C25" s="10" t="n">
        <v>54.38</v>
      </c>
      <c r="D25" s="10" t="n">
        <v>55.06</v>
      </c>
      <c r="E25" s="11">
        <f>D25/C25-1</f>
        <v/>
      </c>
      <c r="F25" s="11">
        <f>E25-(-0.010241163364280326)</f>
        <v/>
      </c>
      <c r="G25" s="16" t="n">
        <v>0.0024</v>
      </c>
      <c r="H25" s="2" t="inlineStr">
        <is>
          <t>仍喺 MA20 附近</t>
        </is>
      </c>
      <c r="I25" s="3" t="inlineStr">
        <is>
          <t>C1a 事件日、C1b 熱錢、C4 波幅減低</t>
        </is>
      </c>
      <c r="J25" s="6" t="n"/>
      <c r="K25" s="3" t="inlineStr"/>
    </row>
    <row r="26">
      <c r="A26" s="6" t="n">
        <v>17</v>
      </c>
      <c r="B26" s="27" t="inlineStr">
        <is>
          <t>DC</t>
        </is>
      </c>
      <c r="C26" s="10" t="n">
        <v>6.18</v>
      </c>
      <c r="D26" s="10" t="n">
        <v>6.09</v>
      </c>
      <c r="E26" s="11">
        <f>D26/C26-1</f>
        <v/>
      </c>
      <c r="F26" s="11">
        <f>E26-(-0.010241163364280326)</f>
        <v/>
      </c>
      <c r="G26" s="16" t="n">
        <v>-0.0094</v>
      </c>
      <c r="H26" s="2" t="inlineStr">
        <is>
          <t>仍喺 MA20 附近</t>
        </is>
      </c>
      <c r="I26" s="3" t="inlineStr">
        <is>
          <t>C1a 事件日、C1b 熱錢、C4 波幅減低</t>
        </is>
      </c>
      <c r="J26" s="6" t="n"/>
      <c r="K26" s="3" t="inlineStr"/>
    </row>
    <row r="27">
      <c r="A27" s="6" t="n">
        <v>18</v>
      </c>
      <c r="B27" s="27" t="inlineStr">
        <is>
          <t>BBY</t>
        </is>
      </c>
      <c r="C27" s="10" t="n">
        <v>89.95999999999999</v>
      </c>
      <c r="D27" s="10" t="n">
        <v>88.23999999999999</v>
      </c>
      <c r="E27" s="11">
        <f>D27/C27-1</f>
        <v/>
      </c>
      <c r="F27" s="11">
        <f>E27-(-0.010241163364280326)</f>
        <v/>
      </c>
      <c r="G27" s="16" t="n">
        <v>-0.0283</v>
      </c>
      <c r="H27" s="2" t="inlineStr">
        <is>
          <t>仍喺 MA20 附近</t>
        </is>
      </c>
      <c r="I27" s="3" t="inlineStr">
        <is>
          <t>C1a 事件日、C1b 熱錢、C4 波幅減低</t>
        </is>
      </c>
      <c r="J27" s="6" t="n"/>
      <c r="K27" s="3" t="inlineStr"/>
    </row>
    <row r="28">
      <c r="A28" s="6" t="n">
        <v>19</v>
      </c>
      <c r="B28" s="27" t="inlineStr">
        <is>
          <t>TH</t>
        </is>
      </c>
      <c r="C28" s="10" t="n">
        <v>19.3</v>
      </c>
      <c r="D28" s="10" t="n">
        <v>19.72</v>
      </c>
      <c r="E28" s="11">
        <f>D28/C28-1</f>
        <v/>
      </c>
      <c r="F28" s="11">
        <f>E28-(-0.010241163364280326)</f>
        <v/>
      </c>
      <c r="G28" s="16" t="n">
        <v>-0.0047</v>
      </c>
      <c r="H28" s="2" t="inlineStr">
        <is>
          <t>仍喺 MA20 附近</t>
        </is>
      </c>
      <c r="I28" s="3" t="inlineStr">
        <is>
          <t>C1a 事件日、C1b 熱錢、C4 波幅減低</t>
        </is>
      </c>
      <c r="J28" s="6" t="n"/>
      <c r="K28" s="3" t="inlineStr"/>
    </row>
    <row r="29">
      <c r="A29" s="6" t="n">
        <v>20</v>
      </c>
      <c r="B29" s="7" t="inlineStr">
        <is>
          <t>DINO</t>
        </is>
      </c>
      <c r="C29" s="10" t="n">
        <v>106.2</v>
      </c>
      <c r="D29" s="10" t="n">
        <v>107.32</v>
      </c>
      <c r="E29" s="11">
        <f>D29/C29-1</f>
        <v/>
      </c>
      <c r="F29" s="11">
        <f>E29-(-0.010241163364280326)</f>
        <v/>
      </c>
      <c r="G29" s="16" t="n">
        <v>-0.0105</v>
      </c>
      <c r="H29" s="2" t="inlineStr">
        <is>
          <t>仍喺 MA20 附近</t>
        </is>
      </c>
      <c r="I29" s="3" t="inlineStr">
        <is>
          <t>C1a 事件日、C1b 熱錢、C4 波幅減低</t>
        </is>
      </c>
      <c r="J29" s="6" t="n"/>
      <c r="K29" s="3" t="inlineStr">
        <is>
          <t>同名單入面 VLO、MPC、PSX 同向（21 日相關系數中位數 +0.91，名單其餘 +0.07）：當一個交易睇</t>
        </is>
      </c>
    </row>
    <row r="30">
      <c r="A30" s="6" t="n">
        <v>21</v>
      </c>
      <c r="B30" s="7" t="inlineStr">
        <is>
          <t>PSX</t>
        </is>
      </c>
      <c r="C30" s="10" t="n">
        <v>253.55</v>
      </c>
      <c r="D30" s="10" t="n">
        <v>255.31</v>
      </c>
      <c r="E30" s="11">
        <f>D30/C30-1</f>
        <v/>
      </c>
      <c r="F30" s="11">
        <f>E30-(-0.010241163364280326)</f>
        <v/>
      </c>
      <c r="G30" s="16" t="n">
        <v>-0.0153</v>
      </c>
      <c r="H30" s="2" t="inlineStr">
        <is>
          <t>仍喺 MA20 附近</t>
        </is>
      </c>
      <c r="I30" s="3" t="inlineStr">
        <is>
          <t>C1a 事件日、C1b 熱錢、C4 波幅減低</t>
        </is>
      </c>
      <c r="J30" s="6" t="n"/>
      <c r="K30" s="3" t="inlineStr">
        <is>
          <t>同名單入面 VLO、MPC、DINO 同向（21 日相關系數中位數 +0.91，名單其餘 +0.07）：當一個交易睇</t>
        </is>
      </c>
    </row>
  </sheetData>
  <autoFilter ref="A9:K30"/>
  <mergeCells count="5">
    <mergeCell ref="B7:J7"/>
    <mergeCell ref="B3:J3"/>
    <mergeCell ref="B5:J5"/>
    <mergeCell ref="B4:J4"/>
    <mergeCell ref="B6:J6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  <hyperlink xmlns:r="http://schemas.openxmlformats.org/officeDocument/2006/relationships" ref="B21" r:id="rId12"/>
    <hyperlink xmlns:r="http://schemas.openxmlformats.org/officeDocument/2006/relationships" ref="B22" r:id="rId13"/>
    <hyperlink xmlns:r="http://schemas.openxmlformats.org/officeDocument/2006/relationships" ref="B23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00" customWidth="1" min="5" max="5"/>
  </cols>
  <sheetData>
    <row r="1">
      <c r="A1" s="1" t="inlineStr">
        <is>
          <t>同一套條件回算 2026-09-29 收市（兩個梯隊），對比 2026-09-30</t>
        </is>
      </c>
    </row>
    <row r="3" ht="42" customHeight="1">
      <c r="A3" s="4" t="inlineStr">
        <is>
          <t>類別</t>
        </is>
      </c>
      <c r="B3" s="4" t="inlineStr">
        <is>
          <t>代號</t>
        </is>
      </c>
      <c r="C3" s="4" t="inlineStr">
        <is>
          <t>2026-09-29 排名</t>
        </is>
      </c>
      <c r="D3" s="4" t="inlineStr">
        <is>
          <t>2026-09-30 排名</t>
        </is>
      </c>
      <c r="E3" s="4" t="inlineStr">
        <is>
          <t>說明</t>
        </is>
      </c>
    </row>
    <row r="4">
      <c r="A4" s="2" t="inlineStr">
        <is>
          <t>兩日都上榜</t>
        </is>
      </c>
      <c r="B4" s="27" t="inlineStr">
        <is>
          <t>RLGT</t>
        </is>
      </c>
      <c r="C4" s="6" t="n">
        <v>1</v>
      </c>
      <c r="D4" s="6" t="n">
        <v>1</v>
      </c>
      <c r="E4" s="3" t="inlineStr">
        <is>
          <t>梯隊 1 → 1</t>
        </is>
      </c>
    </row>
    <row r="5">
      <c r="A5" s="2" t="inlineStr">
        <is>
          <t>兩日都上榜</t>
        </is>
      </c>
      <c r="B5" s="27" t="inlineStr">
        <is>
          <t>CSR</t>
        </is>
      </c>
      <c r="C5" s="6" t="n">
        <v>3</v>
      </c>
      <c r="D5" s="6" t="n">
        <v>2</v>
      </c>
      <c r="E5" s="3" t="inlineStr">
        <is>
          <t>梯隊 1 → 1</t>
        </is>
      </c>
    </row>
    <row r="6">
      <c r="A6" s="2" t="inlineStr">
        <is>
          <t>兩日都上榜</t>
        </is>
      </c>
      <c r="B6" s="27" t="inlineStr">
        <is>
          <t>BSVN</t>
        </is>
      </c>
      <c r="C6" s="6" t="n">
        <v>4</v>
      </c>
      <c r="D6" s="6" t="n">
        <v>3</v>
      </c>
      <c r="E6" s="3" t="inlineStr">
        <is>
          <t>梯隊 1 → 1</t>
        </is>
      </c>
    </row>
    <row r="7">
      <c r="A7" s="2" t="inlineStr">
        <is>
          <t>兩日都上榜</t>
        </is>
      </c>
      <c r="B7" s="27" t="inlineStr">
        <is>
          <t>CRSR</t>
        </is>
      </c>
      <c r="C7" s="6" t="n">
        <v>5</v>
      </c>
      <c r="D7" s="6" t="n">
        <v>4</v>
      </c>
      <c r="E7" s="3" t="inlineStr">
        <is>
          <t>梯隊 2 → 2</t>
        </is>
      </c>
    </row>
    <row r="8">
      <c r="A8" s="2" t="inlineStr">
        <is>
          <t>兩日都上榜</t>
        </is>
      </c>
      <c r="B8" s="27" t="inlineStr">
        <is>
          <t>CMRC</t>
        </is>
      </c>
      <c r="C8" s="6" t="n">
        <v>6</v>
      </c>
      <c r="D8" s="6" t="n">
        <v>5</v>
      </c>
      <c r="E8" s="3" t="inlineStr">
        <is>
          <t>梯隊 2 → 2</t>
        </is>
      </c>
    </row>
    <row r="9">
      <c r="A9" s="2" t="inlineStr">
        <is>
          <t>兩日都上榜</t>
        </is>
      </c>
      <c r="B9" s="27" t="inlineStr">
        <is>
          <t>OMER</t>
        </is>
      </c>
      <c r="C9" s="6" t="n">
        <v>8</v>
      </c>
      <c r="D9" s="6" t="n">
        <v>6</v>
      </c>
      <c r="E9" s="3" t="inlineStr">
        <is>
          <t>梯隊 2 → 2</t>
        </is>
      </c>
    </row>
    <row r="10">
      <c r="A10" s="2" t="inlineStr">
        <is>
          <t>兩日都上榜</t>
        </is>
      </c>
      <c r="B10" s="27" t="inlineStr">
        <is>
          <t>ASST</t>
        </is>
      </c>
      <c r="C10" s="6" t="n">
        <v>9</v>
      </c>
      <c r="D10" s="6" t="n">
        <v>8</v>
      </c>
      <c r="E10" s="3" t="inlineStr">
        <is>
          <t>梯隊 2 → 2</t>
        </is>
      </c>
    </row>
    <row r="11">
      <c r="A11" s="2" t="inlineStr">
        <is>
          <t>兩日都上榜</t>
        </is>
      </c>
      <c r="B11" s="27" t="inlineStr">
        <is>
          <t>PURR</t>
        </is>
      </c>
      <c r="C11" s="6" t="n">
        <v>13</v>
      </c>
      <c r="D11" s="6" t="n">
        <v>11</v>
      </c>
      <c r="E11" s="3" t="inlineStr">
        <is>
          <t>梯隊 2 → 2</t>
        </is>
      </c>
    </row>
    <row r="12">
      <c r="A12" s="2" t="inlineStr">
        <is>
          <t>兩日都上榜</t>
        </is>
      </c>
      <c r="B12" s="27" t="inlineStr">
        <is>
          <t>RNG</t>
        </is>
      </c>
      <c r="C12" s="6" t="n">
        <v>10</v>
      </c>
      <c r="D12" s="6" t="n">
        <v>13</v>
      </c>
      <c r="E12" s="3" t="inlineStr">
        <is>
          <t>梯隊 2 → 2</t>
        </is>
      </c>
    </row>
    <row r="13">
      <c r="A13" s="2" t="inlineStr">
        <is>
          <t>兩日都上榜</t>
        </is>
      </c>
      <c r="B13" s="27" t="inlineStr">
        <is>
          <t>ASO</t>
        </is>
      </c>
      <c r="C13" s="6" t="n">
        <v>15</v>
      </c>
      <c r="D13" s="6" t="n">
        <v>14</v>
      </c>
      <c r="E13" s="3" t="inlineStr">
        <is>
          <t>梯隊 2 → 2</t>
        </is>
      </c>
    </row>
    <row r="14">
      <c r="A14" s="2" t="inlineStr">
        <is>
          <t>兩日都上榜</t>
        </is>
      </c>
      <c r="B14" s="27" t="inlineStr">
        <is>
          <t>PLSE</t>
        </is>
      </c>
      <c r="C14" s="6" t="n">
        <v>16</v>
      </c>
      <c r="D14" s="6" t="n">
        <v>16</v>
      </c>
      <c r="E14" s="3" t="inlineStr">
        <is>
          <t>梯隊 2 → 2</t>
        </is>
      </c>
    </row>
    <row r="15">
      <c r="A15" s="2" t="inlineStr">
        <is>
          <t>兩日都上榜</t>
        </is>
      </c>
      <c r="B15" s="27" t="inlineStr">
        <is>
          <t>BBNX</t>
        </is>
      </c>
      <c r="C15" s="6" t="n">
        <v>14</v>
      </c>
      <c r="D15" s="6" t="n">
        <v>17</v>
      </c>
      <c r="E15" s="3" t="inlineStr">
        <is>
          <t>梯隊 2 → 2</t>
        </is>
      </c>
    </row>
    <row r="16">
      <c r="A16" s="2" t="inlineStr">
        <is>
          <t>兩日都上榜</t>
        </is>
      </c>
      <c r="B16" s="27" t="inlineStr">
        <is>
          <t>PKOH</t>
        </is>
      </c>
      <c r="C16" s="6" t="n">
        <v>17</v>
      </c>
      <c r="D16" s="6" t="n">
        <v>18</v>
      </c>
      <c r="E16" s="3" t="inlineStr">
        <is>
          <t>梯隊 2 → 2</t>
        </is>
      </c>
    </row>
    <row r="17">
      <c r="A17" s="2" t="inlineStr">
        <is>
          <t>兩日都上榜</t>
        </is>
      </c>
      <c r="B17" s="27" t="inlineStr">
        <is>
          <t>AVTR</t>
        </is>
      </c>
      <c r="C17" s="6" t="n">
        <v>19</v>
      </c>
      <c r="D17" s="6" t="n">
        <v>21</v>
      </c>
      <c r="E17" s="3" t="inlineStr">
        <is>
          <t>梯隊 2 → 2</t>
        </is>
      </c>
    </row>
    <row r="18">
      <c r="A18" s="2" t="inlineStr">
        <is>
          <t>今日新上榜</t>
        </is>
      </c>
      <c r="B18" s="31" t="inlineStr">
        <is>
          <t>HAE</t>
        </is>
      </c>
      <c r="C18" s="6" t="n"/>
      <c r="D18" s="6" t="n">
        <v>7</v>
      </c>
      <c r="E18" s="3" t="inlineStr">
        <is>
          <t>第 2 梯隊；上日：C1a 事件日：高位前 60 日最大量日只有 2.8× 50日均量（當日 +15.9%）；要 ≥3× 兼當日 ≥+8% 或開市跳空 ≥+5%；C1b 熱錢：升浪成交額係之前 60 日嘅 1.54×（要 ≥2.0×）；C3 回落20MA：高位喺 26 日前；距高位 -2.8%</t>
        </is>
      </c>
    </row>
    <row r="19">
      <c r="A19" s="2" t="inlineStr">
        <is>
          <t>今日新上榜</t>
        </is>
      </c>
      <c r="B19" s="31" t="inlineStr">
        <is>
          <t>GEMI</t>
        </is>
      </c>
      <c r="C19" s="6" t="n"/>
      <c r="D19" s="6" t="n">
        <v>9</v>
      </c>
      <c r="E19" s="3" t="inlineStr">
        <is>
          <t>第 2 梯隊；上日：C3 回落20MA：收市距 MA20 +7.1%；近 3 日最低價距 MA20 +5.3%</t>
        </is>
      </c>
    </row>
    <row r="20">
      <c r="A20" s="2" t="inlineStr">
        <is>
          <t>今日新上榜</t>
        </is>
      </c>
      <c r="B20" s="31" t="inlineStr">
        <is>
          <t>UMAC</t>
        </is>
      </c>
      <c r="C20" s="6" t="n"/>
      <c r="D20" s="6" t="n">
        <v>10</v>
      </c>
      <c r="E20" s="3" t="inlineStr">
        <is>
          <t>第 2 梯隊；上日：C3 回落20MA：MA20 唔係向上；高位喺 31 日前；收市距 MA20 +5.3%；C4 波幅減低：ATR5/ATR20 1.00（要 ≤0.9）；ATR5 係升浪期 ATR 嘅 0.51×（要 ≤0.7）</t>
        </is>
      </c>
    </row>
    <row r="21">
      <c r="A21" s="2" t="inlineStr">
        <is>
          <t>今日新上榜</t>
        </is>
      </c>
      <c r="B21" s="31" t="inlineStr">
        <is>
          <t>UTMD</t>
        </is>
      </c>
      <c r="C21" s="6" t="n"/>
      <c r="D21" s="6" t="n">
        <v>12</v>
      </c>
      <c r="E21" s="3" t="inlineStr">
        <is>
          <t>第 2 梯隊；上日：C3 回落20MA：距高位 -2.2%；高位時只高過 MA20 6.5%；近 3 日最低價距 MA20 +1.6%</t>
        </is>
      </c>
    </row>
    <row r="22">
      <c r="A22" s="2" t="inlineStr">
        <is>
          <t>今日新上榜</t>
        </is>
      </c>
      <c r="B22" s="31" t="inlineStr">
        <is>
          <t>BVS</t>
        </is>
      </c>
      <c r="C22" s="6" t="n"/>
      <c r="D22" s="6" t="n">
        <v>15</v>
      </c>
      <c r="E22" s="3" t="inlineStr">
        <is>
          <t>第 2 梯隊；上日：C1b 熱錢：升浪成交額係之前 60 日嘅 1.68×（要 ≥2.0×）；C3 回落20MA：MA20 唔係向上；高位喺 38 日前；收市距 MA20 +3.4%</t>
        </is>
      </c>
    </row>
    <row r="23">
      <c r="A23" s="2" t="inlineStr">
        <is>
          <t>今日新上榜</t>
        </is>
      </c>
      <c r="B23" s="31" t="inlineStr">
        <is>
          <t>KN</t>
        </is>
      </c>
      <c r="C23" s="6" t="n"/>
      <c r="D23" s="6" t="n">
        <v>19</v>
      </c>
      <c r="E23" s="3" t="inlineStr">
        <is>
          <t>第 2 梯隊；上日：C1a 事件日：高位前 60 日最大量日只有 5.0× 50日均量（當日 -1.8%）；要 ≥3× 兼當日 ≥+8% 或開市跳空 ≥+5%；C3 回落20MA：高位喺 62 日前；高位時只高過 MA20 1.5%；收市距 MA20 +4.1%；近 3 日最低價距 MA20 +2.7%</t>
        </is>
      </c>
    </row>
    <row r="24">
      <c r="A24" s="2" t="inlineStr">
        <is>
          <t>今日新上榜</t>
        </is>
      </c>
      <c r="B24" s="31" t="inlineStr">
        <is>
          <t>FLXS</t>
        </is>
      </c>
      <c r="C24" s="6" t="n"/>
      <c r="D24" s="6" t="n">
        <v>20</v>
      </c>
      <c r="E24" s="3" t="inlineStr">
        <is>
          <t>第 2 梯隊；上日：C1b 熱錢：升浪成交額係之前 60 日嘅 1.78×（要 ≥2.0×）；C3 回落20MA：收市距 MA20 +4.0%；近 3 日最低價距 MA20 +3.5%；C4 波幅減低：ATR5/ATR20 0.88（要 ≤0.9）；ATR5 係升浪期 ATR 嘅 0.80×（要 ≤0.7）</t>
        </is>
      </c>
    </row>
    <row r="25">
      <c r="A25" s="2" t="inlineStr">
        <is>
          <t>今日新上榜</t>
        </is>
      </c>
      <c r="B25" s="31" t="inlineStr">
        <is>
          <t>AMBA</t>
        </is>
      </c>
      <c r="C25" s="6" t="n"/>
      <c r="D25" s="6" t="n">
        <v>22</v>
      </c>
      <c r="E25" s="3" t="inlineStr">
        <is>
          <t>第 2 梯隊；上日：C1b 熱錢：升浪成交額係之前 60 日嘅 1.70×（要 ≥2.0×）；C2 曾有10MA上升：近 30 日 MA10 最大 10 日升幅 +13.4%（2026-08-17；要 ≥5%），嗰時最後三值唔遞升、10 步升 80%（要 ≥70%）；C3 回落20MA：MA20 唔係向上；高位喺 62 日前；C4 波幅減低：ATR5/ATR20 1.06（要 ≤0.9）；ATR5 係升浪期 ATR 嘅 1.00×（要 ≤0.7）</t>
        </is>
      </c>
    </row>
    <row r="26">
      <c r="A26" s="2" t="inlineStr">
        <is>
          <t>今日跌出</t>
        </is>
      </c>
      <c r="B26" s="7" t="inlineStr">
        <is>
          <t>AMWL</t>
        </is>
      </c>
      <c r="C26" s="6" t="n">
        <v>2</v>
      </c>
      <c r="D26" s="6" t="n"/>
      <c r="E26" s="3" t="inlineStr">
        <is>
          <t>今日：C3 回落20MA：距高位 -2.1%</t>
        </is>
      </c>
    </row>
    <row r="27">
      <c r="A27" s="2" t="inlineStr">
        <is>
          <t>今日跌出</t>
        </is>
      </c>
      <c r="B27" s="7" t="inlineStr">
        <is>
          <t>IRD</t>
        </is>
      </c>
      <c r="C27" s="6" t="n">
        <v>7</v>
      </c>
      <c r="D27" s="6" t="n"/>
      <c r="E27" s="3" t="inlineStr">
        <is>
          <t>今日：C3 回落20MA：收市距 MA20 -6.2%；C4 波幅減低：ATR5/ATR20 0.69（要 ≤0.9）；ATR5 係升浪期 ATR 嘅 0.83×（要 ≤0.7）</t>
        </is>
      </c>
    </row>
    <row r="28">
      <c r="A28" s="2" t="inlineStr">
        <is>
          <t>今日跌出</t>
        </is>
      </c>
      <c r="B28" s="7" t="inlineStr">
        <is>
          <t>ESTC</t>
        </is>
      </c>
      <c r="C28" s="6" t="n">
        <v>11</v>
      </c>
      <c r="D28" s="6" t="n"/>
      <c r="E28" s="3" t="inlineStr">
        <is>
          <t>今日：C1b 熱錢：升浪成交額係之前 60 日嘅 1.51×（要 ≥2.0×）；C3 回落20MA：MA20 唔係向上；收市距 MA20 +3.7%；C4 波幅減低：ATR5/ATR20 0.92（要 ≤0.9）；ATR5 係升浪期 ATR 嘅 0.73×（要 ≤0.7）</t>
        </is>
      </c>
    </row>
    <row r="29">
      <c r="A29" s="2" t="inlineStr">
        <is>
          <t>今日跌出</t>
        </is>
      </c>
      <c r="B29" s="7" t="inlineStr">
        <is>
          <t>DOCS</t>
        </is>
      </c>
      <c r="C29" s="6" t="n">
        <v>12</v>
      </c>
      <c r="D29" s="6" t="n"/>
      <c r="E29" s="3" t="inlineStr">
        <is>
          <t>今日：C1b 熱錢：升浪成交額係之前 60 日嘅 1.48×（要 ≥2.0×）；C3 回落20MA：高位喺 0 日前；距高位 +0.0%；收市距 MA20 +8.4%；C4 波幅減低：ATR5/ATR20 1.19（要 ≤0.9）；ATR5 係升浪期 ATR 嘅 0.76×（要 ≤0.7）</t>
        </is>
      </c>
    </row>
    <row r="30">
      <c r="A30" s="2" t="inlineStr">
        <is>
          <t>今日跌出</t>
        </is>
      </c>
      <c r="B30" s="7" t="inlineStr">
        <is>
          <t>FTK</t>
        </is>
      </c>
      <c r="C30" s="6" t="n">
        <v>18</v>
      </c>
      <c r="D30" s="6" t="n"/>
      <c r="E30" s="3" t="inlineStr">
        <is>
          <t>今日：C3 回落20MA：高位喺 35 日前；收市距 MA20 +5.1%；C4 波幅減低：ATR5/ATR20 0.95（要 ≤0.9）；ATR5 係升浪期 ATR 嘅 0.77×（要 ≤0.7）</t>
        </is>
      </c>
    </row>
    <row r="31">
      <c r="A31" s="2" t="inlineStr">
        <is>
          <t>今日跌出</t>
        </is>
      </c>
      <c r="B31" s="7" t="inlineStr">
        <is>
          <t>AGCO</t>
        </is>
      </c>
      <c r="C31" s="6" t="n">
        <v>20</v>
      </c>
      <c r="D31" s="6" t="n"/>
      <c r="E31" s="3" t="inlineStr">
        <is>
          <t>今日：C1a 事件日：高位前 60 日最大量日只有 3.1× 50日均量（當日 -7.8%）；要 ≥3× 兼當日 ≥+8% 或開市跳空 ≥+5%；C1b 熱錢：升浪成交額係之前 60 日嘅 1.89×（要 ≥2.0×）；C3 回落20MA：收市距 MA20 -6.2%；C4 波幅減低：ATR5/ATR20 0.88（要 ≤0.9）；ATR5 係升浪期 ATR 嘅 0.77×（要 ≤0.7）</t>
        </is>
      </c>
    </row>
  </sheetData>
  <autoFilter ref="A3:E3"/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80" customWidth="1" min="4" max="4"/>
    <col width="36" customWidth="1" min="5" max="5"/>
  </cols>
  <sheetData>
    <row r="1">
      <c r="A1" s="1" t="inlineStr">
        <is>
          <t>批判性覆核：規則捉唔到、但會令名單誤導嘅情況</t>
        </is>
      </c>
    </row>
    <row r="3" ht="42" customHeight="1">
      <c r="A3" s="4" t="inlineStr">
        <is>
          <t>代號</t>
        </is>
      </c>
      <c r="B3" s="4" t="inlineStr">
        <is>
          <t>總表排名</t>
        </is>
      </c>
      <c r="C3" s="4" t="inlineStr">
        <is>
          <t>類別</t>
        </is>
      </c>
      <c r="D3" s="4" t="inlineStr">
        <is>
          <t>說明</t>
        </is>
      </c>
      <c r="E3" s="4" t="inlineStr">
        <is>
          <t>處理</t>
        </is>
      </c>
    </row>
    <row r="4">
      <c r="A4" s="27" t="inlineStr">
        <is>
          <t>RLGT</t>
        </is>
      </c>
      <c r="B4" s="6">
        <f>'總表'!B2</f>
        <v/>
      </c>
      <c r="C4" s="2" t="inlineStr">
        <is>
          <t>流動性低</t>
        </is>
      </c>
      <c r="D4" s="3" t="inlineStr">
        <is>
          <t>20 日成交額中位數只有 $1.7M（股票池下限 $1M），入市出市都會有滑價</t>
        </is>
      </c>
      <c r="E4" s="3" t="inlineStr">
        <is>
          <t>保留、標橙底；落單注意滑價</t>
        </is>
      </c>
    </row>
    <row r="5">
      <c r="A5" s="27" t="inlineStr">
        <is>
          <t>CSR</t>
        </is>
      </c>
      <c r="B5" s="6">
        <f>'總表'!B3</f>
        <v/>
      </c>
      <c r="C5" s="2" t="inlineStr">
        <is>
          <t>併購目標</t>
        </is>
      </c>
      <c r="D5" s="3" t="inlineStr">
        <is>
          <t>全換股併購目標：09-09 起每股 CSR = 3.800 股 IRT，股價跟收購方 IRT 走。升浪係併購溢價、回調係 IRT 跌，唔係資金追入後嘅回調；交割前基本上冇自己嘅走勢</t>
        </is>
      </c>
      <c r="E5" s="3" t="inlineStr">
        <is>
          <t>保留喺名單但標橙底；併購目標跟收購方走，唔係呢個條件想捉嘅股票（待你決定要唔要剔走）</t>
        </is>
      </c>
    </row>
    <row r="6">
      <c r="A6" s="27" t="inlineStr">
        <is>
          <t>BSVN</t>
        </is>
      </c>
      <c r="B6" s="6">
        <f>'總表'!B4</f>
        <v/>
      </c>
      <c r="C6" s="2" t="inlineStr">
        <is>
          <t>放量跌穿</t>
        </is>
      </c>
      <c r="D6" s="3" t="inlineStr">
        <is>
          <t>今日放量（2.1× 50日均量）收喺 20MA 下面</t>
        </is>
      </c>
      <c r="E6" s="3" t="inlineStr">
        <is>
          <t>保留、標橙底；睇之後幾日企唔企得返 MA20</t>
        </is>
      </c>
    </row>
    <row r="7">
      <c r="A7" s="27" t="inlineStr">
        <is>
          <t>BSVN</t>
        </is>
      </c>
      <c r="B7" s="6">
        <f>'總表'!B4</f>
        <v/>
      </c>
      <c r="C7" s="2" t="inlineStr">
        <is>
          <t>流動性低</t>
        </is>
      </c>
      <c r="D7" s="3" t="inlineStr">
        <is>
          <t>20 日成交額中位數只有 $2.6M（股票池下限 $1M），入市出市都會有滑價</t>
        </is>
      </c>
      <c r="E7" s="3" t="inlineStr">
        <is>
          <t>保留、標橙底；落單注意滑價</t>
        </is>
      </c>
    </row>
    <row r="8">
      <c r="A8" s="27" t="inlineStr">
        <is>
          <t>CRSR</t>
        </is>
      </c>
      <c r="B8" s="6">
        <f>'總表'!B5</f>
        <v/>
      </c>
      <c r="C8" s="2" t="inlineStr">
        <is>
          <t>窄幅（要查併購）</t>
        </is>
      </c>
      <c r="D8" s="3" t="inlineStr">
        <is>
          <t>疑似釘價：10 日收市區間只有 2.1%，之前有單日 +35%</t>
        </is>
      </c>
      <c r="E8" s="3" t="inlineStr">
        <is>
          <t>保留、標橙底；要查併購</t>
        </is>
      </c>
    </row>
    <row r="9">
      <c r="A9" s="27" t="inlineStr">
        <is>
          <t>CMRC</t>
        </is>
      </c>
      <c r="B9" s="6">
        <f>'總表'!B6</f>
        <v/>
      </c>
      <c r="C9" s="2" t="inlineStr">
        <is>
          <t>流動性低</t>
        </is>
      </c>
      <c r="D9" s="3" t="inlineStr">
        <is>
          <t>20 日成交額中位數只有 $2.2M（股票池下限 $1M），入市出市都會有滑價</t>
        </is>
      </c>
      <c r="E9" s="3" t="inlineStr">
        <is>
          <t>保留、標橙底；落單注意滑價</t>
        </is>
      </c>
    </row>
    <row r="10">
      <c r="A10" s="27" t="inlineStr">
        <is>
          <t>ASST</t>
        </is>
      </c>
      <c r="B10" s="6">
        <f>'總表'!B9</f>
        <v/>
      </c>
      <c r="C10" s="2" t="inlineStr">
        <is>
          <t>事件驅動</t>
        </is>
      </c>
      <c r="D10" s="3" t="inlineStr">
        <is>
          <t>比特幣庫存公司，股價跟比特幣走</t>
        </is>
      </c>
      <c r="E10" s="3" t="inlineStr">
        <is>
          <t>保留、標橙底；要當事件交易睇</t>
        </is>
      </c>
    </row>
    <row r="11">
      <c r="A11" s="27" t="inlineStr">
        <is>
          <t>ASST</t>
        </is>
      </c>
      <c r="B11" s="6">
        <f>'總表'!B9</f>
        <v/>
      </c>
      <c r="C11" s="2" t="inlineStr">
        <is>
          <t>同向群組</t>
        </is>
      </c>
      <c r="D11" s="3" t="inlineStr">
        <is>
          <t>同名單入面 GEMI、PURR 同向（21 日相關系數中位數 +0.66，名單其餘 +0.08）：當一個交易睇</t>
        </is>
      </c>
      <c r="E11" s="3" t="inlineStr">
        <is>
          <t>保留、標橙底；當一個交易睇</t>
        </is>
      </c>
    </row>
    <row r="12">
      <c r="A12" s="27" t="inlineStr">
        <is>
          <t>GEMI</t>
        </is>
      </c>
      <c r="B12" s="6">
        <f>'總表'!B10</f>
        <v/>
      </c>
      <c r="C12" s="2" t="inlineStr">
        <is>
          <t>事件驅動</t>
        </is>
      </c>
      <c r="D12" s="3" t="inlineStr">
        <is>
          <t>09-18 +31% 係加密板塊因 SEC 代幣化豁免同升；一年跌 76%，升浪係低位反彈而非趨勢</t>
        </is>
      </c>
      <c r="E12" s="3" t="inlineStr">
        <is>
          <t>保留、標橙底；要當事件交易睇</t>
        </is>
      </c>
    </row>
    <row r="13">
      <c r="A13" s="27" t="inlineStr">
        <is>
          <t>GEMI</t>
        </is>
      </c>
      <c r="B13" s="6">
        <f>'總表'!B10</f>
        <v/>
      </c>
      <c r="C13" s="2" t="inlineStr">
        <is>
          <t>同向群組</t>
        </is>
      </c>
      <c r="D13" s="3" t="inlineStr">
        <is>
          <t>同名單入面 ASST、PURR 同向（21 日相關系數中位數 +0.66，名單其餘 +0.08）：當一個交易睇</t>
        </is>
      </c>
      <c r="E13" s="3" t="inlineStr">
        <is>
          <t>保留、標橙底；當一個交易睇</t>
        </is>
      </c>
    </row>
    <row r="14">
      <c r="A14" s="27" t="inlineStr">
        <is>
          <t>UMAC</t>
        </is>
      </c>
      <c r="B14" s="6">
        <f>'總表'!B11</f>
        <v/>
      </c>
      <c r="C14" s="2" t="inlineStr">
        <is>
          <t>急跌非有序回調</t>
        </is>
      </c>
      <c r="D14" s="3" t="inlineStr">
        <is>
          <t>回調唔係有序回落：期內有一日跌 -11.5%</t>
        </is>
      </c>
      <c r="E14" s="3" t="inlineStr">
        <is>
          <t>保留、標橙底；回調入面有急跌日</t>
        </is>
      </c>
    </row>
    <row r="15">
      <c r="A15" s="27" t="inlineStr">
        <is>
          <t>UMAC</t>
        </is>
      </c>
      <c r="B15" s="6">
        <f>'總表'!B11</f>
        <v/>
      </c>
      <c r="C15" s="2" t="inlineStr">
        <is>
          <t>事件驅動</t>
        </is>
      </c>
      <c r="D15" s="3" t="inlineStr">
        <is>
          <t>05-28 +57% 係 WSJ 傳聞（政府資助無人機公司）帶動；距高位 −28%</t>
        </is>
      </c>
      <c r="E15" s="3" t="inlineStr">
        <is>
          <t>保留、標橙底；要當事件交易睇</t>
        </is>
      </c>
    </row>
    <row r="16">
      <c r="A16" s="27" t="inlineStr">
        <is>
          <t>PURR</t>
        </is>
      </c>
      <c r="B16" s="6">
        <f>'總表'!B12</f>
        <v/>
      </c>
      <c r="C16" s="2" t="inlineStr">
        <is>
          <t>急跌非有序回調</t>
        </is>
      </c>
      <c r="D16" s="3" t="inlineStr">
        <is>
          <t>回調唔係有序回落：期內有一日跌 -8.8%</t>
        </is>
      </c>
      <c r="E16" s="3" t="inlineStr">
        <is>
          <t>保留、標橙底；回調入面有急跌日</t>
        </is>
      </c>
    </row>
    <row r="17">
      <c r="A17" s="27" t="inlineStr">
        <is>
          <t>PURR</t>
        </is>
      </c>
      <c r="B17" s="6">
        <f>'總表'!B12</f>
        <v/>
      </c>
      <c r="C17" s="2" t="inlineStr">
        <is>
          <t>事件驅動</t>
        </is>
      </c>
      <c r="D17" s="3" t="inlineStr">
        <is>
          <t>加密貨幣（HYPE 代幣）庫存公司，股價跟代幣走；09-25 監管負面消息</t>
        </is>
      </c>
      <c r="E17" s="3" t="inlineStr">
        <is>
          <t>保留、標橙底；要當事件交易睇</t>
        </is>
      </c>
    </row>
    <row r="18">
      <c r="A18" s="27" t="inlineStr">
        <is>
          <t>PURR</t>
        </is>
      </c>
      <c r="B18" s="6">
        <f>'總表'!B12</f>
        <v/>
      </c>
      <c r="C18" s="2" t="inlineStr">
        <is>
          <t>同向群組</t>
        </is>
      </c>
      <c r="D18" s="3" t="inlineStr">
        <is>
          <t>同名單入面 ASST、GEMI 同向（21 日相關系數中位數 +0.66，名單其餘 +0.08）：當一個交易睇</t>
        </is>
      </c>
      <c r="E18" s="3" t="inlineStr">
        <is>
          <t>保留、標橙底；當一個交易睇</t>
        </is>
      </c>
    </row>
    <row r="19">
      <c r="A19" s="27" t="inlineStr">
        <is>
          <t>UTMD</t>
        </is>
      </c>
      <c r="B19" s="6">
        <f>'總表'!B13</f>
        <v/>
      </c>
      <c r="C19" s="2" t="inlineStr">
        <is>
          <t>數據出入</t>
        </is>
      </c>
      <c r="D19" s="3" t="inlineStr">
        <is>
          <t>事件日升幅：媒體 +6.6% vs 我哋數據 +10.6%，未對得上</t>
        </is>
      </c>
      <c r="E19" s="3" t="inlineStr">
        <is>
          <t>保留；數據同媒體有出入，見催化劑頁</t>
        </is>
      </c>
    </row>
    <row r="20">
      <c r="A20" s="27" t="inlineStr">
        <is>
          <t>UTMD</t>
        </is>
      </c>
      <c r="B20" s="6">
        <f>'總表'!B13</f>
        <v/>
      </c>
      <c r="C20" s="2" t="inlineStr">
        <is>
          <t>流動性低</t>
        </is>
      </c>
      <c r="D20" s="3" t="inlineStr">
        <is>
          <t>20 日成交額中位數只有 $2.2M（股票池下限 $1M），入市出市都會有滑價</t>
        </is>
      </c>
      <c r="E20" s="3" t="inlineStr">
        <is>
          <t>保留、標橙底；落單注意滑價</t>
        </is>
      </c>
    </row>
    <row r="21">
      <c r="A21" s="27" t="inlineStr">
        <is>
          <t>BVS</t>
        </is>
      </c>
      <c r="B21" s="6">
        <f>'總表'!B16</f>
        <v/>
      </c>
      <c r="C21" s="2" t="inlineStr">
        <is>
          <t>急跌非有序回調</t>
        </is>
      </c>
      <c r="D21" s="3" t="inlineStr">
        <is>
          <t>回調唔係有序回落：期內有一日跌 -8.4%</t>
        </is>
      </c>
      <c r="E21" s="3" t="inlineStr">
        <is>
          <t>保留、標橙底；回調入面有急跌日</t>
        </is>
      </c>
    </row>
    <row r="22">
      <c r="A22" s="27" t="inlineStr">
        <is>
          <t>PLSE</t>
        </is>
      </c>
      <c r="B22" s="6">
        <f>'總表'!B17</f>
        <v/>
      </c>
      <c r="C22" s="2" t="inlineStr">
        <is>
          <t>急跌非有序回調</t>
        </is>
      </c>
      <c r="D22" s="3" t="inlineStr">
        <is>
          <t>回調唔係有序回落：期內有一日跌 -10.1%</t>
        </is>
      </c>
      <c r="E22" s="3" t="inlineStr">
        <is>
          <t>保留、標橙底；回調入面有急跌日</t>
        </is>
      </c>
    </row>
    <row r="23">
      <c r="A23" s="27" t="inlineStr">
        <is>
          <t>BBNX</t>
        </is>
      </c>
      <c r="B23" s="6">
        <f>'總表'!B18</f>
        <v/>
      </c>
      <c r="C23" s="2" t="inlineStr">
        <is>
          <t>配售</t>
        </is>
      </c>
      <c r="D23" s="3" t="inlineStr">
        <is>
          <t>事件日同時宣布 $1.25 億配售（後定價 $1.5 億）；配售價係下面嘅參考位</t>
        </is>
      </c>
      <c r="E23" s="3" t="inlineStr">
        <is>
          <t>保留、標橙底；留意配售價</t>
        </is>
      </c>
    </row>
    <row r="24">
      <c r="A24" s="27" t="inlineStr">
        <is>
          <t>PKOH</t>
        </is>
      </c>
      <c r="B24" s="6">
        <f>'總表'!B19</f>
        <v/>
      </c>
      <c r="C24" s="2" t="inlineStr">
        <is>
          <t>急跌非有序回調</t>
        </is>
      </c>
      <c r="D24" s="3" t="inlineStr">
        <is>
          <t>回調唔係有序回落：期內有一日跌 -8.9%</t>
        </is>
      </c>
      <c r="E24" s="3" t="inlineStr">
        <is>
          <t>保留、標橙底；回調入面有急跌日</t>
        </is>
      </c>
    </row>
    <row r="25">
      <c r="A25" s="27" t="inlineStr">
        <is>
          <t>PKOH</t>
        </is>
      </c>
      <c r="B25" s="6">
        <f>'總表'!B19</f>
        <v/>
      </c>
      <c r="C25" s="2" t="inlineStr">
        <is>
          <t>數據出入</t>
        </is>
      </c>
      <c r="D25" s="3" t="inlineStr">
        <is>
          <t>最大升日 08-07 同業績日 08-05 差兩日，當日消息未查到</t>
        </is>
      </c>
      <c r="E25" s="3" t="inlineStr">
        <is>
          <t>保留；數據同媒體有出入，見催化劑頁</t>
        </is>
      </c>
    </row>
    <row r="26">
      <c r="A26" s="27" t="inlineStr">
        <is>
          <t>PKOH</t>
        </is>
      </c>
      <c r="B26" s="6">
        <f>'總表'!B19</f>
        <v/>
      </c>
      <c r="C26" s="2" t="inlineStr">
        <is>
          <t>流動性低</t>
        </is>
      </c>
      <c r="D26" s="3" t="inlineStr">
        <is>
          <t>20 日成交額中位數只有 $2.8M（股票池下限 $1M），入市出市都會有滑價</t>
        </is>
      </c>
      <c r="E26" s="3" t="inlineStr">
        <is>
          <t>保留、標橙底；落單注意滑價</t>
        </is>
      </c>
    </row>
    <row r="27">
      <c r="A27" s="27" t="inlineStr">
        <is>
          <t>AMBA</t>
        </is>
      </c>
      <c r="B27" s="6">
        <f>'總表'!B23</f>
        <v/>
      </c>
      <c r="C27" s="2" t="inlineStr">
        <is>
          <t>事件驅動</t>
        </is>
      </c>
      <c r="D27" s="3" t="inlineStr">
        <is>
          <t>升浪由分析員推介（Rosenblatt 首選）帶動，唔係業績</t>
        </is>
      </c>
      <c r="E27" s="3" t="inlineStr">
        <is>
          <t>保留、標橙底；要當事件交易睇</t>
        </is>
      </c>
    </row>
    <row r="29" ht="90" customHeight="1">
      <c r="A29" s="29" t="inlineStr">
        <is>
          <t>F1</t>
        </is>
      </c>
      <c r="B29" s="32" t="inlineStr">
        <is>
          <t>新條件下只有 3 隻完全符合，所以加咗第二梯隊（19 隻）</t>
        </is>
      </c>
      <c r="D29" s="3" t="inlineStr">
        <is>
          <t>漏斗：合資格 2,762 → 有事件日 658 → 加升浪熱錢 203 → 加曾有 10MA 上升 140 → 加回落到 20MA 6 → 加波幅減低 3。單獨睇，全市只有 54 隻而家處於「上升中 20MA 嘅回調位」（近六日大市闊度：09-23 -1.30%；09-24 -0.22%；09-25 +0.25%；09-28 -0.71%；09-29 -0.33%；09-30 -0.61%），而曾經係熱錢股嘅只係當中少數 —— 熱錢股而家唔係仲喺高位（距 MA20 太遠）就係已經跌穿。每個門檻放寬一級後有 22 隻（全部收緊一級剩 0 隻）：第二梯隊就係呢 19 隻，總表「唔過嘅條件」欄列明每隻差邊項，最常差嘅係 C3 回落20MA 13 隻、C1b 熱錢 11 隻、C4 波幅減低 7 隻、C1a 事件日 3 隻、C2 曾有10MA上升 2 隻。</t>
        </is>
      </c>
      <c r="E29" s="3" t="inlineStr">
        <is>
          <t>第二梯隊入總表、底色較淺；佢哋唔係合格股，係「差一步」</t>
        </is>
      </c>
    </row>
    <row r="30" ht="45" customHeight="1">
      <c r="A30" s="29" t="inlineStr">
        <is>
          <t>F2</t>
        </is>
      </c>
      <c r="B30" s="32" t="inlineStr">
        <is>
          <t>CSR 係全換股併購目標，升浪同回調都唔係自己嘅</t>
        </is>
      </c>
      <c r="D30" s="3" t="inlineStr">
        <is>
          <t>CSR 09-09 嘅事件日係同 IRT 嘅全換股合併公佈（每股換 3.800 股 IRT），之後股價跟 IRT 走：規則見到嘅「熱錢追入後回落到 20MA、波幅收窄」其實係併購溢價收窄同 IRT 自己嘅走勢。呢類股喺 R1–R20 一直有「併購釘價」標記、而且係未決嘅剔走問題。第一梯隊剩低 RLGT（業績＋升級）同 BSVN（收購人＋評級）係真正嘅消息驅動。</t>
        </is>
      </c>
      <c r="E30" s="3" t="inlineStr">
        <is>
          <t>保留但標橙底；待你決定要唔要將換股／現金併購目標直接剔走</t>
        </is>
      </c>
    </row>
    <row r="31" ht="45" customHeight="1">
      <c r="A31" s="29" t="inlineStr">
        <is>
          <t>F3</t>
        </is>
      </c>
      <c r="B31" s="32" t="inlineStr">
        <is>
          <t>第二梯隊入面 5 隻嘅「消息」唔係業績：加密貨幣、傳聞、分析員推介</t>
        </is>
      </c>
      <c r="D31" s="3" t="inlineStr">
        <is>
          <t>GEMI、ASST、PURR、UMAC、AMBA。加密貨幣庫存股（ASST、PURR、GEMI）嘅股價係代幣嘅槓桿；UMAC 嘅 +57% 係 WSJ 傳聞；AMBA 係 Rosenblatt 推介；GEMI 嘅 +31% 係加密板塊同升而且一年跌咗 76%。「News driven」條件規則上只睇「大升日＋放量」，分唔到消息嘅質素，所以逐隻查咗事件日當日嘅新聞（催化劑頁有來源）。</t>
        </is>
      </c>
      <c r="E31" s="3" t="inlineStr">
        <is>
          <t>標橙底；事件類型列喺催化劑頁</t>
        </is>
      </c>
    </row>
    <row r="32" ht="75" customHeight="1">
      <c r="A32" s="29" t="inlineStr">
        <is>
          <t>F4</t>
        </is>
      </c>
      <c r="B32" s="32" t="inlineStr">
        <is>
          <t>R22 向前測試（2 個交易日）：中位數 +0.69%，大市 -1.02%</t>
        </is>
      </c>
      <c r="D32" s="3" t="inlineStr">
        <is>
          <t>R22 21 隻由 2026-09-28 到 2026-09-30：中位數 +0.69%（11 隻升），全體合資格股票 -1.02%；前 10 名 -0.75%、其餘 +1.05%，分數同回報排名相關 -0.12；有標記嘅 +0.10% vs 冇標記嘅 +1.25%。而家狀態：仍喺 MA20 附近 13 隻；跌穿 MA20 超過 3% 3 隻；已反彈離開 MA20 3 隻；符合新條件（第 2 梯隊） 2 隻。R22 名單跑贏大市 1.72 個百分點（R21 向前 3 日係 −1.57% vs −0.68%，跑輸）；兩次都只係二三十隻、幾日嘅樣本，方向相反，暫時睇唔出規則有冇優勢。</t>
        </is>
      </c>
      <c r="E32" s="3" t="inlineStr">
        <is>
          <t>逐隻列喺「R22向前測試」頁</t>
        </is>
      </c>
    </row>
    <row r="33" ht="45" customHeight="1">
      <c r="A33" s="29" t="inlineStr">
        <is>
          <t>F5</t>
        </is>
      </c>
      <c r="B33" s="32" t="inlineStr">
        <is>
          <t>R22 嘅 21 隻用新條件睇：2 隻仍然上榜</t>
        </is>
      </c>
      <c r="D33" s="3" t="inlineStr">
        <is>
          <t>R22（高動能回到 20MA）21 隻入面，新條件下 2 隻上榜（PURR 第 2 梯隊、PLSE 第 2 梯隊）。其餘唔過嘅原因（一隻可以幾個）：C1b 熱錢 17 隻、C4 波幅減低 16 隻、C1a 事件日 11 隻、C3 回落20MA 6 隻。最多係差「升浪熱錢」：R22 嘅動能股好多係慢慢升上去，升浪期成交額唔夠之前 60 日嘅兩倍；其次係波幅未收窄。</t>
        </is>
      </c>
      <c r="E33" s="3" t="inlineStr">
        <is>
          <t>逐隻原因列喺「同R22對照」頁</t>
        </is>
      </c>
    </row>
    <row r="34" ht="45" customHeight="1">
      <c r="A34" s="29" t="inlineStr">
        <is>
          <t>F6</t>
        </is>
      </c>
      <c r="B34" s="32" t="inlineStr">
        <is>
          <t>20MA 回調池：54 隻而家處於回調位，差邊項一目了然</t>
        </is>
      </c>
      <c r="D34" s="3" t="inlineStr">
        <is>
          <t>全市 54 隻通過 C3（上升中 20MA、高位 2–25 日前、回調 3–30%、收市 ±3% 兼近 3 日觸及）。佢哋唔過嘅條件：C1b 熱錢 47 隻、C4 波幅減低 43 隻、C1a 事件日 32 隻、C2 曾有10MA上升 1 隻。只差波幅減低嘅：PURR、MTW、NEO；只差升浪熱錢嘅：ASO、CMRC、OMER、DELL、GTLB。呢頁係「下一兩日最有機會變成合格」嘅觀察名單。</t>
        </is>
      </c>
      <c r="E34" s="3" t="inlineStr">
        <is>
          <t>新增「20MA回調池」頁</t>
        </is>
      </c>
    </row>
    <row r="35" ht="75" customHeight="1">
      <c r="A35" s="29" t="inlineStr">
        <is>
          <t>F7</t>
        </is>
      </c>
      <c r="B35" s="32" t="inlineStr">
        <is>
          <t>數據：序列檔喺容器重設後消失、Nasdaq 快照又遲一日</t>
        </is>
      </c>
      <c r="D35" s="3" t="inlineStr">
        <is>
          <t>R1–R22 用嚟做第二來源同上市日期嘅 Nasdaq 序列（data/series*.pkl）係 gitignore 嘅，10-01 容器重設後冇咗；上市日期改由 R21／R22 審計保存嘅 data/nasdaq_listing_dates.json 提供，另加 SPAC 空殼期偵測（今次捉到 15 隻，全部唔喺名單）。兩源核對只剩收市後快照：2026-09-28 檔其實係 2026-09-25；2026-09-30 檔其實係 2026-09-29（Nasdaq API 到美東早上五點都未轉日），所以 2026-09-30 收市只得 Yahoo 一個來源（日線齊全，3,861 隻）。 另外 PKOH、UTMD 嘅事件日升幅同媒體數字對唔上，已標記。</t>
        </is>
      </c>
      <c r="E35" s="3" t="inlineStr">
        <is>
          <t>要重建序列先可以再跑 R1–R20 嘅舊規則管線（README 有步驟）</t>
        </is>
      </c>
    </row>
    <row r="36" ht="45" customHeight="1">
      <c r="A36" s="29" t="inlineStr">
        <is>
          <t>F8</t>
        </is>
      </c>
      <c r="B36" s="32" t="inlineStr">
        <is>
          <t>門檻敏感度：第一梯隊 0/3 隻喺 26 個單門檻測試都留低</t>
        </is>
      </c>
      <c r="D36" s="3" t="inlineStr">
        <is>
          <t>留低嘅：冇。變動最大嘅門檻：升浪成交額比 2.0→1.5：+3／−0；MA10 10日升幅 0.05→0.08：+0／−2；事件日升幅 0.08→0.1：+0／−1；事件日量比 3.0→4.0：+0／−1；高位時高過MA20 0.08→0.1：+0／−1。名單細，每個門檻都係邊緣。</t>
        </is>
      </c>
      <c r="E36" s="3" t="inlineStr">
        <is>
          <t>逐項列喺「敏感度」頁</t>
        </is>
      </c>
    </row>
    <row r="37" ht="30" customHeight="1">
      <c r="A37" s="29" t="inlineStr">
        <is>
          <t>F9</t>
        </is>
      </c>
      <c r="B37" s="32" t="inlineStr">
        <is>
          <t>今次冇做嘅嘢</t>
        </is>
      </c>
      <c r="D37" s="3" t="inlineStr">
        <is>
          <t>冇查業績日期（10 月中開始業績期）；沿用舊研究嘅 PLSE、PURR 冇重新核實；冇用新條件回測之前幾日（上日回算有）；HTML 報告冇按新規則重做。</t>
        </is>
      </c>
      <c r="E37" s="3" t="inlineStr">
        <is>
          <t>如有需要下一版補</t>
        </is>
      </c>
    </row>
    <row r="38" ht="30" customHeight="1">
      <c r="A38" s="29" t="inlineStr">
        <is>
          <t>待決1</t>
        </is>
      </c>
      <c r="B38" s="32" t="inlineStr">
        <is>
          <t>待你決定</t>
        </is>
      </c>
      <c r="D38" s="3" t="inlineStr">
        <is>
          <t>換股／現金併購目標（今次 CSR）要唔要直接剔走？R1–R20 嘅「併購釘價」問題一直未決。</t>
        </is>
      </c>
      <c r="E38" s="3" t="inlineStr">
        <is>
          <t>今次未改</t>
        </is>
      </c>
    </row>
    <row r="39" ht="30" customHeight="1">
      <c r="A39" s="29" t="inlineStr">
        <is>
          <t>待決2</t>
        </is>
      </c>
      <c r="B39" s="32" t="inlineStr">
        <is>
          <t>待你決定</t>
        </is>
      </c>
      <c r="D39" s="3" t="inlineStr">
        <is>
          <t>加密貨幣庫存股（ASST、PURR、GEMI）要唔要當「有熱錢及 news driven」？佢哋嘅消息係代幣價格。</t>
        </is>
      </c>
      <c r="E39" s="3" t="inlineStr">
        <is>
          <t>今次未改</t>
        </is>
      </c>
    </row>
    <row r="40" ht="30" customHeight="1">
      <c r="A40" s="29" t="inlineStr">
        <is>
          <t>待決3</t>
        </is>
      </c>
      <c r="B40" s="32" t="inlineStr">
        <is>
          <t>待你決定</t>
        </is>
      </c>
      <c r="D40" s="3" t="inlineStr">
        <is>
          <t>「有熱錢」而家定義係升浪期成交額 ≥ 前 60 日 2 倍；R22 嘅慢升動能股大部分過唔到。要唔要降到 1.5 倍（第二梯隊用嘅）？</t>
        </is>
      </c>
      <c r="E40" s="3" t="inlineStr">
        <is>
          <t>今次未改</t>
        </is>
      </c>
    </row>
    <row r="41" ht="30" customHeight="1">
      <c r="A41" s="29" t="inlineStr">
        <is>
          <t>待決4</t>
        </is>
      </c>
      <c r="B41" s="32" t="inlineStr">
        <is>
          <t>待你決定</t>
        </is>
      </c>
      <c r="D41" s="3" t="inlineStr">
        <is>
          <t>「波幅減低」而家要 ATR5 ≤ 0.9× ATR20 兼 ≤ 0.7× 升浪期 ATR；只差呢項嘅有 PURR、MTW、NEO。</t>
        </is>
      </c>
      <c r="E41" s="3" t="inlineStr">
        <is>
          <t>今次未改</t>
        </is>
      </c>
    </row>
    <row r="42" ht="30" customHeight="1">
      <c r="A42" s="29" t="inlineStr">
        <is>
          <t>待決5</t>
        </is>
      </c>
      <c r="B42" s="32" t="inlineStr">
        <is>
          <t>待你決定</t>
        </is>
      </c>
      <c r="D42" s="3" t="inlineStr">
        <is>
          <t>第二梯隊要唔要繼續出？佢哋唔合格，但第一梯隊得幾隻。</t>
        </is>
      </c>
      <c r="E42" s="3" t="inlineStr">
        <is>
          <t>今次未改</t>
        </is>
      </c>
    </row>
  </sheetData>
  <autoFilter ref="A3:E3"/>
  <mergeCells count="14">
    <mergeCell ref="B39:C39"/>
    <mergeCell ref="B30:C30"/>
    <mergeCell ref="B38:C38"/>
    <mergeCell ref="B29:C29"/>
    <mergeCell ref="B33:C33"/>
    <mergeCell ref="B34:C34"/>
    <mergeCell ref="B37:C37"/>
    <mergeCell ref="B42:C42"/>
    <mergeCell ref="B36:C36"/>
    <mergeCell ref="B32:C32"/>
    <mergeCell ref="B31:C31"/>
    <mergeCell ref="B40:C40"/>
    <mergeCell ref="B41:C41"/>
    <mergeCell ref="B35:C35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10" customWidth="1" min="3" max="3"/>
    <col width="10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Yahoo 日線 vs Nasdaq 收市後快照</t>
        </is>
      </c>
    </row>
    <row r="3" ht="32" customHeight="1">
      <c r="A3" s="29" t="inlineStr">
        <is>
          <t>快照 2026-09-28</t>
        </is>
      </c>
      <c r="B3" s="3" t="inlineStr">
        <is>
          <t>檔名係 2026-09-28，但入面係 2026-09-25 嘅收市（吻合 99.9%，同 2026-09-28 只有 26.7%）：當 2026-09-25 快照用；Nasdaq API 到美東早上五點都仲未轉日</t>
        </is>
      </c>
    </row>
    <row r="4" ht="32" customHeight="1">
      <c r="A4" s="29" t="inlineStr">
        <is>
          <t>快照 2026-09-30</t>
        </is>
      </c>
      <c r="B4" s="3" t="inlineStr">
        <is>
          <t>檔名係 2026-09-30，但入面係 2026-09-29 嘅收市（吻合 100.0%，同 2026-09-30 只有 26.1%）：當 2026-09-29 快照用；Nasdaq API 到美東早上五點都仲未轉日</t>
        </is>
      </c>
    </row>
    <row r="5" ht="32" customHeight="1">
      <c r="A5" s="29" t="inlineStr">
        <is>
          <t>2026-09-29 收市</t>
        </is>
      </c>
      <c r="B5" s="3" t="inlineStr">
        <is>
          <t>Yahoo 對 Nasdaq 收市後快照（檔 2026-09-30）：3,830 隻，100.0% 喺 0.5% 之內</t>
        </is>
      </c>
    </row>
    <row r="6" ht="32" customHeight="1">
      <c r="A6" s="29" t="inlineStr">
        <is>
          <t>2026-09-28 收市</t>
        </is>
      </c>
      <c r="B6" s="3" t="inlineStr">
        <is>
          <t>Yahoo 對 2026-09-29 快照「收市 − 升跌」反推嘅前收：3,830 隻，100.0% 喺 0.5% 之內</t>
        </is>
      </c>
    </row>
    <row r="7" ht="32" customHeight="1">
      <c r="A7" s="29" t="inlineStr">
        <is>
          <t>2026-09-30 收市</t>
        </is>
      </c>
      <c r="B7" s="3" t="inlineStr">
        <is>
          <t>冇官方快照（Nasdaq API 未轉日）；Yahoo 日線齊全（3,861 隻），只得一個來源</t>
        </is>
      </c>
    </row>
    <row r="8" ht="32" customHeight="1">
      <c r="A8" s="29" t="inlineStr">
        <is>
          <t>Nasdaq 序列</t>
        </is>
      </c>
      <c r="B8" s="3" t="inlineStr">
        <is>
          <t>R1–R22 用嚟做第二來源同上市日期嘅序列檔（data/series*.pkl，gitignore）喺 10-01 容器重設後消失；上市日期改由 data/nasdaq_listing_dates.json（R21／R22 審計所存，164 隻）提供，另加 SPAC 空殼期偵測（今次捉到 15 隻）；兩源核對只剩收市後快照</t>
        </is>
      </c>
    </row>
    <row r="9" ht="32" customHeight="1">
      <c r="A9" s="29" t="inlineStr">
        <is>
          <t>名單逐隻</t>
        </is>
      </c>
      <c r="B9" s="3" t="inlineStr">
        <is>
          <t>22 隻（兩個梯隊）對快照日嘅最大差 0.000%；第一梯隊最大 0.000%（RLGT）</t>
        </is>
      </c>
    </row>
    <row r="11" ht="42" customHeight="1">
      <c r="A11" s="4" t="inlineStr">
        <is>
          <t>代號</t>
        </is>
      </c>
      <c r="B11" s="4" t="inlineStr">
        <is>
          <t>總表排名</t>
        </is>
      </c>
      <c r="C11" s="4" t="inlineStr">
        <is>
          <t>比較點數</t>
        </is>
      </c>
      <c r="D11" s="4" t="inlineStr">
        <is>
          <t>最大差%</t>
        </is>
      </c>
      <c r="E11" s="4" t="inlineStr">
        <is>
          <t>2026-09-23 收市差%</t>
        </is>
      </c>
      <c r="F11" s="4" t="inlineStr">
        <is>
          <t>2026-09-25 收市差%</t>
        </is>
      </c>
      <c r="G11" s="4" t="inlineStr">
        <is>
          <t>2026-09-29 收市差%</t>
        </is>
      </c>
    </row>
    <row r="12">
      <c r="A12" s="27" t="inlineStr">
        <is>
          <t>RLGT</t>
        </is>
      </c>
      <c r="B12" s="6">
        <f>'總表'!B2</f>
        <v/>
      </c>
      <c r="C12" s="6" t="n">
        <v>6</v>
      </c>
      <c r="D12" s="23" t="n">
        <v>0</v>
      </c>
      <c r="E12" s="23" t="n">
        <v>0</v>
      </c>
      <c r="F12" s="23" t="n">
        <v>0</v>
      </c>
      <c r="G12" s="23" t="n">
        <v>0</v>
      </c>
    </row>
    <row r="13">
      <c r="A13" s="27" t="inlineStr">
        <is>
          <t>CSR</t>
        </is>
      </c>
      <c r="B13" s="6">
        <f>'總表'!B3</f>
        <v/>
      </c>
      <c r="C13" s="6" t="n">
        <v>6</v>
      </c>
      <c r="D13" s="23" t="n">
        <v>0</v>
      </c>
      <c r="E13" s="23" t="n">
        <v>0</v>
      </c>
      <c r="F13" s="23" t="n">
        <v>0</v>
      </c>
      <c r="G13" s="23" t="n">
        <v>0</v>
      </c>
    </row>
    <row r="14">
      <c r="A14" s="27" t="inlineStr">
        <is>
          <t>BSVN</t>
        </is>
      </c>
      <c r="B14" s="6">
        <f>'總表'!B4</f>
        <v/>
      </c>
      <c r="C14" s="6" t="n">
        <v>6</v>
      </c>
      <c r="D14" s="23" t="n">
        <v>0</v>
      </c>
      <c r="E14" s="23" t="n">
        <v>0</v>
      </c>
      <c r="F14" s="23" t="n">
        <v>0</v>
      </c>
      <c r="G14" s="23" t="n">
        <v>0</v>
      </c>
    </row>
    <row r="15">
      <c r="A15" s="27" t="inlineStr">
        <is>
          <t>CRSR</t>
        </is>
      </c>
      <c r="B15" s="6">
        <f>'總表'!B5</f>
        <v/>
      </c>
      <c r="C15" s="6" t="n">
        <v>6</v>
      </c>
      <c r="D15" s="23" t="n">
        <v>0</v>
      </c>
      <c r="E15" s="23" t="n">
        <v>0</v>
      </c>
      <c r="F15" s="23" t="n">
        <v>0</v>
      </c>
      <c r="G15" s="23" t="n">
        <v>0</v>
      </c>
    </row>
    <row r="16">
      <c r="A16" s="27" t="inlineStr">
        <is>
          <t>CMRC</t>
        </is>
      </c>
      <c r="B16" s="6">
        <f>'總表'!B6</f>
        <v/>
      </c>
      <c r="C16" s="6" t="n">
        <v>6</v>
      </c>
      <c r="D16" s="23" t="n">
        <v>0</v>
      </c>
      <c r="E16" s="23" t="n">
        <v>0</v>
      </c>
      <c r="F16" s="23" t="n">
        <v>0</v>
      </c>
      <c r="G16" s="23" t="n">
        <v>0</v>
      </c>
    </row>
    <row r="17">
      <c r="A17" s="27" t="inlineStr">
        <is>
          <t>OMER</t>
        </is>
      </c>
      <c r="B17" s="6">
        <f>'總表'!B7</f>
        <v/>
      </c>
      <c r="C17" s="6" t="n">
        <v>6</v>
      </c>
      <c r="D17" s="23" t="n">
        <v>0</v>
      </c>
      <c r="E17" s="23" t="n">
        <v>0</v>
      </c>
      <c r="F17" s="23" t="n">
        <v>0</v>
      </c>
      <c r="G17" s="23" t="n">
        <v>0</v>
      </c>
    </row>
    <row r="18">
      <c r="A18" s="27" t="inlineStr">
        <is>
          <t>HAE</t>
        </is>
      </c>
      <c r="B18" s="6">
        <f>'總表'!B8</f>
        <v/>
      </c>
      <c r="C18" s="6" t="n">
        <v>6</v>
      </c>
      <c r="D18" s="23" t="n">
        <v>0</v>
      </c>
      <c r="E18" s="23" t="n">
        <v>0</v>
      </c>
      <c r="F18" s="23" t="n">
        <v>0</v>
      </c>
      <c r="G18" s="23" t="n">
        <v>0</v>
      </c>
    </row>
    <row r="19">
      <c r="A19" s="27" t="inlineStr">
        <is>
          <t>ASST</t>
        </is>
      </c>
      <c r="B19" s="6">
        <f>'總表'!B9</f>
        <v/>
      </c>
      <c r="C19" s="6" t="n">
        <v>6</v>
      </c>
      <c r="D19" s="23" t="n">
        <v>0</v>
      </c>
      <c r="E19" s="23" t="n">
        <v>0</v>
      </c>
      <c r="F19" s="23" t="n">
        <v>0</v>
      </c>
      <c r="G19" s="23" t="n">
        <v>0</v>
      </c>
    </row>
    <row r="20">
      <c r="A20" s="27" t="inlineStr">
        <is>
          <t>GEMI</t>
        </is>
      </c>
      <c r="B20" s="6">
        <f>'總表'!B10</f>
        <v/>
      </c>
      <c r="C20" s="6" t="n">
        <v>6</v>
      </c>
      <c r="D20" s="23" t="n">
        <v>0</v>
      </c>
      <c r="E20" s="23" t="n">
        <v>0</v>
      </c>
      <c r="F20" s="23" t="n">
        <v>0</v>
      </c>
      <c r="G20" s="23" t="n">
        <v>0</v>
      </c>
    </row>
    <row r="21">
      <c r="A21" s="27" t="inlineStr">
        <is>
          <t>UMAC</t>
        </is>
      </c>
      <c r="B21" s="6">
        <f>'總表'!B11</f>
        <v/>
      </c>
      <c r="C21" s="6" t="n">
        <v>6</v>
      </c>
      <c r="D21" s="23" t="n">
        <v>0</v>
      </c>
      <c r="E21" s="23" t="n">
        <v>0</v>
      </c>
      <c r="F21" s="23" t="n">
        <v>0</v>
      </c>
      <c r="G21" s="23" t="n">
        <v>0</v>
      </c>
    </row>
    <row r="22">
      <c r="A22" s="27" t="inlineStr">
        <is>
          <t>PURR</t>
        </is>
      </c>
      <c r="B22" s="6">
        <f>'總表'!B12</f>
        <v/>
      </c>
      <c r="C22" s="6" t="n">
        <v>6</v>
      </c>
      <c r="D22" s="23" t="n">
        <v>0</v>
      </c>
      <c r="E22" s="23" t="n">
        <v>0</v>
      </c>
      <c r="F22" s="23" t="n">
        <v>0</v>
      </c>
      <c r="G22" s="23" t="n">
        <v>0</v>
      </c>
    </row>
    <row r="23">
      <c r="A23" s="27" t="inlineStr">
        <is>
          <t>UTMD</t>
        </is>
      </c>
      <c r="B23" s="6">
        <f>'總表'!B13</f>
        <v/>
      </c>
      <c r="C23" s="6" t="n">
        <v>6</v>
      </c>
      <c r="D23" s="23" t="n">
        <v>0</v>
      </c>
      <c r="E23" s="23" t="n">
        <v>0</v>
      </c>
      <c r="F23" s="23" t="n">
        <v>0</v>
      </c>
      <c r="G23" s="23" t="n">
        <v>0</v>
      </c>
    </row>
    <row r="24">
      <c r="A24" s="27" t="inlineStr">
        <is>
          <t>RNG</t>
        </is>
      </c>
      <c r="B24" s="6">
        <f>'總表'!B14</f>
        <v/>
      </c>
      <c r="C24" s="6" t="n">
        <v>6</v>
      </c>
      <c r="D24" s="23" t="n">
        <v>0</v>
      </c>
      <c r="E24" s="23" t="n">
        <v>0</v>
      </c>
      <c r="F24" s="23" t="n">
        <v>0</v>
      </c>
      <c r="G24" s="23" t="n">
        <v>0</v>
      </c>
    </row>
    <row r="25">
      <c r="A25" s="27" t="inlineStr">
        <is>
          <t>ASO</t>
        </is>
      </c>
      <c r="B25" s="6">
        <f>'總表'!B15</f>
        <v/>
      </c>
      <c r="C25" s="6" t="n">
        <v>6</v>
      </c>
      <c r="D25" s="23" t="n">
        <v>0</v>
      </c>
      <c r="E25" s="23" t="n">
        <v>0</v>
      </c>
      <c r="F25" s="23" t="n">
        <v>0</v>
      </c>
      <c r="G25" s="23" t="n">
        <v>0</v>
      </c>
    </row>
    <row r="26">
      <c r="A26" s="27" t="inlineStr">
        <is>
          <t>BVS</t>
        </is>
      </c>
      <c r="B26" s="6">
        <f>'總表'!B16</f>
        <v/>
      </c>
      <c r="C26" s="6" t="n">
        <v>6</v>
      </c>
      <c r="D26" s="23" t="n">
        <v>0</v>
      </c>
      <c r="E26" s="23" t="n">
        <v>0</v>
      </c>
      <c r="F26" s="23" t="n">
        <v>0</v>
      </c>
      <c r="G26" s="23" t="n">
        <v>0</v>
      </c>
    </row>
    <row r="27">
      <c r="A27" s="27" t="inlineStr">
        <is>
          <t>PLSE</t>
        </is>
      </c>
      <c r="B27" s="6">
        <f>'總表'!B17</f>
        <v/>
      </c>
      <c r="C27" s="6" t="n">
        <v>6</v>
      </c>
      <c r="D27" s="23" t="n">
        <v>0</v>
      </c>
      <c r="E27" s="23" t="n">
        <v>0</v>
      </c>
      <c r="F27" s="23" t="n">
        <v>0</v>
      </c>
      <c r="G27" s="23" t="n">
        <v>0</v>
      </c>
    </row>
    <row r="28">
      <c r="A28" s="27" t="inlineStr">
        <is>
          <t>BBNX</t>
        </is>
      </c>
      <c r="B28" s="6">
        <f>'總表'!B18</f>
        <v/>
      </c>
      <c r="C28" s="6" t="n">
        <v>6</v>
      </c>
      <c r="D28" s="23" t="n">
        <v>0</v>
      </c>
      <c r="E28" s="23" t="n">
        <v>0</v>
      </c>
      <c r="F28" s="23" t="n">
        <v>0</v>
      </c>
      <c r="G28" s="23" t="n">
        <v>0</v>
      </c>
    </row>
    <row r="29">
      <c r="A29" s="27" t="inlineStr">
        <is>
          <t>PKOH</t>
        </is>
      </c>
      <c r="B29" s="6">
        <f>'總表'!B19</f>
        <v/>
      </c>
      <c r="C29" s="6" t="n">
        <v>6</v>
      </c>
      <c r="D29" s="23" t="n">
        <v>0</v>
      </c>
      <c r="E29" s="23" t="n">
        <v>0</v>
      </c>
      <c r="F29" s="23" t="n">
        <v>0</v>
      </c>
      <c r="G29" s="23" t="n">
        <v>0</v>
      </c>
    </row>
    <row r="30">
      <c r="A30" s="27" t="inlineStr">
        <is>
          <t>KN</t>
        </is>
      </c>
      <c r="B30" s="6">
        <f>'總表'!B20</f>
        <v/>
      </c>
      <c r="C30" s="6" t="n">
        <v>6</v>
      </c>
      <c r="D30" s="23" t="n">
        <v>0</v>
      </c>
      <c r="E30" s="23" t="n">
        <v>0</v>
      </c>
      <c r="F30" s="23" t="n">
        <v>0</v>
      </c>
      <c r="G30" s="23" t="n">
        <v>0</v>
      </c>
    </row>
    <row r="31">
      <c r="A31" s="27" t="inlineStr">
        <is>
          <t>FLXS</t>
        </is>
      </c>
      <c r="B31" s="6">
        <f>'總表'!B21</f>
        <v/>
      </c>
      <c r="C31" s="6" t="n">
        <v>6</v>
      </c>
      <c r="D31" s="23" t="n">
        <v>0</v>
      </c>
      <c r="E31" s="23" t="n">
        <v>0</v>
      </c>
      <c r="F31" s="23" t="n">
        <v>0</v>
      </c>
      <c r="G31" s="23" t="n">
        <v>0</v>
      </c>
    </row>
    <row r="32">
      <c r="A32" s="27" t="inlineStr">
        <is>
          <t>AVTR</t>
        </is>
      </c>
      <c r="B32" s="6">
        <f>'總表'!B22</f>
        <v/>
      </c>
      <c r="C32" s="6" t="n">
        <v>6</v>
      </c>
      <c r="D32" s="23" t="n">
        <v>0</v>
      </c>
      <c r="E32" s="23" t="n">
        <v>0</v>
      </c>
      <c r="F32" s="23" t="n">
        <v>0</v>
      </c>
      <c r="G32" s="23" t="n">
        <v>0</v>
      </c>
    </row>
    <row r="33">
      <c r="A33" s="27" t="inlineStr">
        <is>
          <t>AMBA</t>
        </is>
      </c>
      <c r="B33" s="6">
        <f>'總表'!B23</f>
        <v/>
      </c>
      <c r="C33" s="6" t="n">
        <v>6</v>
      </c>
      <c r="D33" s="23" t="n">
        <v>0</v>
      </c>
      <c r="E33" s="23" t="n">
        <v>0</v>
      </c>
      <c r="F33" s="23" t="n">
        <v>0</v>
      </c>
      <c r="G33" s="23" t="n">
        <v>0</v>
      </c>
    </row>
  </sheetData>
  <autoFilter ref="A11:G11"/>
  <mergeCells count="7">
    <mergeCell ref="B4:F4"/>
    <mergeCell ref="B7:F7"/>
    <mergeCell ref="B6:F6"/>
    <mergeCell ref="B3:F3"/>
    <mergeCell ref="B5:F5"/>
    <mergeCell ref="B8:F8"/>
    <mergeCell ref="B9:F9"/>
  </mergeCells>
  <hyperlinks>
    <hyperlink xmlns:r="http://schemas.openxmlformats.org/officeDocument/2006/relationships" ref="A12" r:id="rId1"/>
    <hyperlink xmlns:r="http://schemas.openxmlformats.org/officeDocument/2006/relationships" ref="A13" r:id="rId2"/>
    <hyperlink xmlns:r="http://schemas.openxmlformats.org/officeDocument/2006/relationships" ref="A14" r:id="rId3"/>
    <hyperlink xmlns:r="http://schemas.openxmlformats.org/officeDocument/2006/relationships" ref="A15" r:id="rId4"/>
    <hyperlink xmlns:r="http://schemas.openxmlformats.org/officeDocument/2006/relationships" ref="A16" r:id="rId5"/>
    <hyperlink xmlns:r="http://schemas.openxmlformats.org/officeDocument/2006/relationships" ref="A17" r:id="rId6"/>
    <hyperlink xmlns:r="http://schemas.openxmlformats.org/officeDocument/2006/relationships" ref="A18" r:id="rId7"/>
    <hyperlink xmlns:r="http://schemas.openxmlformats.org/officeDocument/2006/relationships" ref="A19" r:id="rId8"/>
    <hyperlink xmlns:r="http://schemas.openxmlformats.org/officeDocument/2006/relationships" ref="A20" r:id="rId9"/>
    <hyperlink xmlns:r="http://schemas.openxmlformats.org/officeDocument/2006/relationships" ref="A21" r:id="rId10"/>
    <hyperlink xmlns:r="http://schemas.openxmlformats.org/officeDocument/2006/relationships" ref="A22" r:id="rId11"/>
    <hyperlink xmlns:r="http://schemas.openxmlformats.org/officeDocument/2006/relationships" ref="A23" r:id="rId12"/>
    <hyperlink xmlns:r="http://schemas.openxmlformats.org/officeDocument/2006/relationships" ref="A24" r:id="rId13"/>
    <hyperlink xmlns:r="http://schemas.openxmlformats.org/officeDocument/2006/relationships" ref="A25" r:id="rId14"/>
    <hyperlink xmlns:r="http://schemas.openxmlformats.org/officeDocument/2006/relationships" ref="A26" r:id="rId15"/>
    <hyperlink xmlns:r="http://schemas.openxmlformats.org/officeDocument/2006/relationships" ref="A27" r:id="rId16"/>
    <hyperlink xmlns:r="http://schemas.openxmlformats.org/officeDocument/2006/relationships" ref="A28" r:id="rId17"/>
    <hyperlink xmlns:r="http://schemas.openxmlformats.org/officeDocument/2006/relationships" ref="A29" r:id="rId18"/>
    <hyperlink xmlns:r="http://schemas.openxmlformats.org/officeDocument/2006/relationships" ref="A30" r:id="rId19"/>
    <hyperlink xmlns:r="http://schemas.openxmlformats.org/officeDocument/2006/relationships" ref="A31" r:id="rId20"/>
    <hyperlink xmlns:r="http://schemas.openxmlformats.org/officeDocument/2006/relationships" ref="A32" r:id="rId21"/>
    <hyperlink xmlns:r="http://schemas.openxmlformats.org/officeDocument/2006/relationships" ref="A33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  <col width="10" customWidth="1" min="3" max="3"/>
    <col width="10" customWidth="1" min="4" max="4"/>
  </cols>
  <sheetData>
    <row r="1">
      <c r="A1" s="1" t="inlineStr">
        <is>
          <t>市況（2026-09-30 收市）</t>
        </is>
      </c>
    </row>
    <row r="3" ht="30" customHeight="1">
      <c r="A3" s="29" t="inlineStr">
        <is>
          <t>09-29（二）</t>
        </is>
      </c>
      <c r="B3" s="3" t="inlineStr">
        <is>
          <t>標普 −0.16% 至 7,670.84、道指 −0.26% 至 51,349.92、納指 −0.09% 至 26,797.54；長債息再創多年新高，三大指數連跌兩日。（AP、CNBC）</t>
        </is>
      </c>
    </row>
    <row r="4" ht="30" customHeight="1">
      <c r="A4" s="29" t="inlineStr">
        <is>
          <t>09-30（三）</t>
        </is>
      </c>
      <c r="B4" s="3" t="inlineStr">
        <is>
          <t>標普 −0.3% 至 7,651.54、道指 −0.9%、納指 +0.2%、羅素 2000 −0.4% 至 2,796.86；大部分股票下跌 —— 春季 GDP 上修令債息企硬。（AP）</t>
        </is>
      </c>
    </row>
    <row r="5" ht="18" customHeight="1">
      <c r="A5" s="29" t="inlineStr">
        <is>
          <t>背景</t>
        </is>
      </c>
      <c r="B5" s="3" t="inlineStr">
        <is>
          <t>09-28 10 年期美債息 5.23%（2007 年以來最高）、特朗普拒絕伊朗和平方案油價升（R22 記錄）；聯儲 09-16 加息至 3.75%–4.00%。</t>
        </is>
      </c>
    </row>
    <row r="6" ht="30" customHeight="1">
      <c r="A6" s="29" t="inlineStr">
        <is>
          <t>大市闊度</t>
        </is>
      </c>
      <c r="B6" s="3" t="inlineStr">
        <is>
          <t>合資格股票每日中位數：09-25 +0.25%（57% 上升）；09-28 -0.71%（31% 上升）；09-29 -0.33%（39% 上升）；09-30 -0.61%（32% 上升）</t>
        </is>
      </c>
    </row>
    <row r="8">
      <c r="A8" s="33" t="inlineStr">
        <is>
          <t>日期</t>
        </is>
      </c>
      <c r="B8" s="33" t="inlineStr">
        <is>
          <t>合資格股票當日中位數</t>
        </is>
      </c>
      <c r="C8" s="33" t="inlineStr">
        <is>
          <t>上升比例</t>
        </is>
      </c>
      <c r="D8" s="33" t="inlineStr">
        <is>
          <t>股票數</t>
        </is>
      </c>
    </row>
    <row r="9">
      <c r="A9" s="2" t="inlineStr">
        <is>
          <t>2026-09-23</t>
        </is>
      </c>
      <c r="B9" s="16" t="n">
        <v>-0.01295463645136474</v>
      </c>
      <c r="C9" s="15" t="n">
        <v>0.2168718320057929</v>
      </c>
      <c r="D9" s="34" t="n">
        <v>2762</v>
      </c>
    </row>
    <row r="10">
      <c r="A10" s="2" t="inlineStr">
        <is>
          <t>2026-09-24</t>
        </is>
      </c>
      <c r="B10" s="16" t="n">
        <v>-0.002170612891441215</v>
      </c>
      <c r="C10" s="15" t="n">
        <v>0.442070963070239</v>
      </c>
      <c r="D10" s="34" t="n">
        <v>2762</v>
      </c>
    </row>
    <row r="11">
      <c r="A11" s="2" t="inlineStr">
        <is>
          <t>2026-09-25</t>
        </is>
      </c>
      <c r="B11" s="16" t="n">
        <v>0.002518217955965296</v>
      </c>
      <c r="C11" s="15" t="n">
        <v>0.5669804489500362</v>
      </c>
      <c r="D11" s="34" t="n">
        <v>2762</v>
      </c>
    </row>
    <row r="12">
      <c r="A12" s="2" t="inlineStr">
        <is>
          <t>2026-09-28</t>
        </is>
      </c>
      <c r="B12" s="16" t="n">
        <v>-0.007062828404038546</v>
      </c>
      <c r="C12" s="15" t="n">
        <v>0.3070238957277335</v>
      </c>
      <c r="D12" s="34" t="n">
        <v>2762</v>
      </c>
    </row>
    <row r="13">
      <c r="A13" s="2" t="inlineStr">
        <is>
          <t>2026-09-29</t>
        </is>
      </c>
      <c r="B13" s="16" t="n">
        <v>-0.003329497087580791</v>
      </c>
      <c r="C13" s="15" t="n">
        <v>0.3917451122375091</v>
      </c>
      <c r="D13" s="34" t="n">
        <v>2762</v>
      </c>
    </row>
    <row r="14">
      <c r="A14" s="2" t="inlineStr">
        <is>
          <t>2026-09-30</t>
        </is>
      </c>
      <c r="B14" s="16" t="n">
        <v>-0.006141255154380021</v>
      </c>
      <c r="C14" s="15" t="n">
        <v>0.3189717595944968</v>
      </c>
      <c r="D14" s="34" t="n">
        <v>2762</v>
      </c>
    </row>
    <row r="16">
      <c r="A16" s="29" t="inlineStr">
        <is>
          <t>名單板塊分佈（兩個梯隊）</t>
        </is>
      </c>
    </row>
    <row r="17">
      <c r="A17" s="2" t="inlineStr">
        <is>
          <t>醫療保健</t>
        </is>
      </c>
      <c r="B17" s="6">
        <f>COUNTIF('總表'!F2:F23,A17)</f>
        <v/>
      </c>
    </row>
    <row r="18">
      <c r="A18" s="2" t="inlineStr">
        <is>
          <t>科技</t>
        </is>
      </c>
      <c r="B18" s="6">
        <f>COUNTIF('總表'!F2:F23,A18)</f>
        <v/>
      </c>
    </row>
    <row r="19">
      <c r="A19" s="2" t="inlineStr">
        <is>
          <t>金融</t>
        </is>
      </c>
      <c r="B19" s="6">
        <f>COUNTIF('總表'!F2:F23,A19)</f>
        <v/>
      </c>
    </row>
    <row r="20">
      <c r="A20" s="2" t="inlineStr">
        <is>
          <t>工業</t>
        </is>
      </c>
      <c r="B20" s="6">
        <f>COUNTIF('總表'!F2:F23,A20)</f>
        <v/>
      </c>
    </row>
    <row r="21">
      <c r="A21" s="2" t="inlineStr">
        <is>
          <t>非必需消費</t>
        </is>
      </c>
      <c r="B21" s="6">
        <f>COUNTIF('總表'!F2:F23,A21)</f>
        <v/>
      </c>
    </row>
    <row r="22">
      <c r="A22" s="2" t="inlineStr">
        <is>
          <t>房地產</t>
        </is>
      </c>
      <c r="B22" s="6">
        <f>COUNTIF('總表'!F2:F23,A22)</f>
        <v/>
      </c>
    </row>
    <row r="23">
      <c r="A23" s="2" t="inlineStr">
        <is>
          <t>必需消費</t>
        </is>
      </c>
      <c r="B23" s="6">
        <f>COUNTIF('總表'!F2:F23,A23)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8" customWidth="1" min="3" max="3"/>
    <col width="26" customWidth="1" min="4" max="4"/>
    <col width="10" customWidth="1" min="5" max="5"/>
    <col width="8" customWidth="1" min="6" max="6"/>
    <col width="8" customWidth="1" min="7" max="7"/>
    <col width="14" customWidth="1" min="8" max="8"/>
    <col width="90" customWidth="1" min="9" max="9"/>
    <col width="40" customWidth="1" min="10" max="10"/>
  </cols>
  <sheetData>
    <row r="1">
      <c r="A1" s="1" t="inlineStr">
        <is>
          <t>事件日當日發生咗乜（「消息驅動」嘅核實；逐隻查）</t>
        </is>
      </c>
    </row>
    <row r="3" ht="42" customHeight="1">
      <c r="A3" s="4" t="inlineStr">
        <is>
          <t>梯隊</t>
        </is>
      </c>
      <c r="B3" s="4" t="inlineStr">
        <is>
          <t>總表排名</t>
        </is>
      </c>
      <c r="C3" s="4" t="inlineStr">
        <is>
          <t>代號</t>
        </is>
      </c>
      <c r="D3" s="4" t="inlineStr">
        <is>
          <t>公司</t>
        </is>
      </c>
      <c r="E3" s="4" t="inlineStr">
        <is>
          <t>事件日</t>
        </is>
      </c>
      <c r="F3" s="4" t="inlineStr">
        <is>
          <t>事件日升幅</t>
        </is>
      </c>
      <c r="G3" s="4" t="inlineStr">
        <is>
          <t>事件日量比</t>
        </is>
      </c>
      <c r="H3" s="4" t="inlineStr">
        <is>
          <t>來源</t>
        </is>
      </c>
      <c r="I3" s="4" t="inlineStr">
        <is>
          <t>內容</t>
        </is>
      </c>
      <c r="J3" s="4" t="inlineStr">
        <is>
          <t>連結</t>
        </is>
      </c>
    </row>
    <row r="4" ht="32" customHeight="1">
      <c r="A4" s="6" t="n">
        <v>1</v>
      </c>
      <c r="B4" s="6">
        <f>'總表'!B2</f>
        <v/>
      </c>
      <c r="C4" s="27" t="inlineStr">
        <is>
          <t>RLGT</t>
        </is>
      </c>
      <c r="D4" s="2" t="inlineStr">
        <is>
          <t>Radiant Logistics Inc.</t>
        </is>
      </c>
      <c r="E4" s="2">
        <f>'總表'!AD2</f>
        <v/>
      </c>
      <c r="F4" s="13">
        <f>'總表'!AE2</f>
        <v/>
      </c>
      <c r="G4" s="20">
        <f>'總表'!AG2</f>
        <v/>
      </c>
      <c r="H4" s="2" t="inlineStr">
        <is>
          <t>R23.00 查證</t>
        </is>
      </c>
      <c r="I4" s="3" t="inlineStr">
        <is>
          <t>09-14 收市後公佈 FY26 Q4 業績勝預期，09-15 Citizens 由 Market Perform 升至 Outperform（目標 $10）→ 當日 +19.5%（媒體報 +20.8%），創歷史收市新高 $9.81。</t>
        </is>
      </c>
      <c r="J4" s="35" t="inlineStr">
        <is>
          <t>https://www.benzinga.com/quote/RLGT</t>
        </is>
      </c>
    </row>
    <row r="5" ht="32" customHeight="1">
      <c r="A5" s="6" t="n">
        <v>1</v>
      </c>
      <c r="B5" s="6">
        <f>'總表'!B3</f>
        <v/>
      </c>
      <c r="C5" s="27" t="inlineStr">
        <is>
          <t>CSR</t>
        </is>
      </c>
      <c r="D5" s="2" t="inlineStr">
        <is>
          <t>D/B/A Centerspace</t>
        </is>
      </c>
      <c r="E5" s="2">
        <f>'總表'!AD3</f>
        <v/>
      </c>
      <c r="F5" s="13">
        <f>'總表'!AE3</f>
        <v/>
      </c>
      <c r="G5" s="20">
        <f>'總表'!AG3</f>
        <v/>
      </c>
      <c r="H5" s="2" t="inlineStr">
        <is>
          <t>R23.00 查證</t>
        </is>
      </c>
      <c r="I5" s="3" t="inlineStr">
        <is>
          <t>09-09 公佈同 Independence Realty Trust（IRT）全換股合併：每股 CSR 換 3.800 股 IRT，交易值 $81 億，CSR 股東將持合併後約 22% → 當日跳空 +9.7% 開、收 +8.8%。</t>
        </is>
      </c>
      <c r="J5" s="35" t="inlineStr">
        <is>
          <t>https://www.stocktitan.net/sec-filings/CSR/8-k-centerspace-reports-material-event-e33b27466930.html</t>
        </is>
      </c>
    </row>
    <row r="6" ht="32" customHeight="1">
      <c r="A6" s="6" t="n">
        <v>1</v>
      </c>
      <c r="B6" s="6">
        <f>'總表'!B4</f>
        <v/>
      </c>
      <c r="C6" s="27" t="inlineStr">
        <is>
          <t>BSVN</t>
        </is>
      </c>
      <c r="D6" s="2" t="inlineStr">
        <is>
          <t>Bank7 Corp. Common stock</t>
        </is>
      </c>
      <c r="E6" s="2">
        <f>'總表'!AD4</f>
        <v/>
      </c>
      <c r="F6" s="13">
        <f>'總表'!AE4</f>
        <v/>
      </c>
      <c r="G6" s="20">
        <f>'總表'!AG4</f>
        <v/>
      </c>
      <c r="H6" s="2" t="inlineStr">
        <is>
          <t>R23.00 查證</t>
        </is>
      </c>
      <c r="I6" s="3" t="inlineStr">
        <is>
          <t>09-03 宣布中標收購 Century Financial Services 控股權；09-04 Piper Sandler 給予買入評級 → 當日 +9.5%。</t>
        </is>
      </c>
      <c r="J6" s="35" t="inlineStr">
        <is>
          <t>https://www.stocktitan.net/overview/BSVN/</t>
        </is>
      </c>
    </row>
    <row r="7" ht="32" customHeight="1">
      <c r="A7" s="6" t="n">
        <v>2</v>
      </c>
      <c r="B7" s="6">
        <f>'總表'!B5</f>
        <v/>
      </c>
      <c r="C7" s="27" t="inlineStr">
        <is>
          <t>CRSR</t>
        </is>
      </c>
      <c r="D7" s="2" t="inlineStr">
        <is>
          <t>Corsair Gaming Inc.</t>
        </is>
      </c>
      <c r="E7" s="2">
        <f>'總表'!AD5</f>
        <v/>
      </c>
      <c r="F7" s="13">
        <f>'總表'!AE5</f>
        <v/>
      </c>
      <c r="G7" s="20">
        <f>'總表'!AG5</f>
        <v/>
      </c>
      <c r="H7" s="2" t="inlineStr">
        <is>
          <t>R23.00 查證</t>
        </is>
      </c>
      <c r="I7" s="3" t="inlineStr">
        <is>
          <t>05-28 公佈轉向 AI 基建產品線後股價創 52 周新高（年內已倍升）；分析員認為升幅超出基本面。</t>
        </is>
      </c>
      <c r="J7" s="35" t="inlineStr">
        <is>
          <t>https://www.fool.com/investing/2026/05/28/corsair-gaming-stock-takes-off-after-unveiling-new/</t>
        </is>
      </c>
    </row>
    <row r="8" ht="32" customHeight="1">
      <c r="A8" s="6" t="n">
        <v>2</v>
      </c>
      <c r="B8" s="6">
        <f>'總表'!B6</f>
        <v/>
      </c>
      <c r="C8" s="27" t="inlineStr">
        <is>
          <t>CMRC</t>
        </is>
      </c>
      <c r="D8" s="2" t="inlineStr">
        <is>
          <t>Commerce.com Inc. Series 1</t>
        </is>
      </c>
      <c r="E8" s="2">
        <f>'總表'!AD6</f>
        <v/>
      </c>
      <c r="F8" s="13">
        <f>'總表'!AE6</f>
        <v/>
      </c>
      <c r="G8" s="20">
        <f>'總表'!AG6</f>
        <v/>
      </c>
      <c r="H8" s="2" t="inlineStr">
        <is>
          <t>R23.00 查證</t>
        </is>
      </c>
      <c r="I8" s="3" t="inlineStr">
        <is>
          <t>09-10 公佈年省 $6,000–8,000 萬成本計劃、2027 年起非 GAAP 營運利潤率 ≥20%、$5,000 萬回購、上調營運利潤指引 → 當日 +18.5%（媒體 +8% 至 +24% 不等）。</t>
        </is>
      </c>
      <c r="J8" s="35" t="inlineStr">
        <is>
          <t>https://www.investing.com/news/stock-market-news/commercecom-stock-jumps-8-on-profitability-plan-93CH-4895934</t>
        </is>
      </c>
    </row>
    <row r="9" ht="32" customHeight="1">
      <c r="A9" s="6" t="n">
        <v>2</v>
      </c>
      <c r="B9" s="6">
        <f>'總表'!B7</f>
        <v/>
      </c>
      <c r="C9" s="27" t="inlineStr">
        <is>
          <t>OMER</t>
        </is>
      </c>
      <c r="D9" s="2" t="inlineStr">
        <is>
          <t>Omeros Corporation</t>
        </is>
      </c>
      <c r="E9" s="2">
        <f>'總表'!AD7</f>
        <v/>
      </c>
      <c r="F9" s="13">
        <f>'總表'!AE7</f>
        <v/>
      </c>
      <c r="G9" s="20">
        <f>'總表'!AG7</f>
        <v/>
      </c>
      <c r="H9" s="2" t="inlineStr">
        <is>
          <t>R23.00 查證</t>
        </is>
      </c>
      <c r="I9" s="3" t="inlineStr">
        <is>
          <t>08-13 Q2：YARTEMLEA 上市後收入按季 +190%（淨收入 $2,850 萬 vs 預期 $1,300 萬），EPS $0.02 vs 預期 −$0.27 → 當日 +26.5%（媒體 +15% 至 +17%）。另有報道指同 Novo Nordisk 達成 $21 億協議，日期未核實。</t>
        </is>
      </c>
      <c r="J9" s="35" t="inlineStr">
        <is>
          <t>https://www.gurufocus.com/news/9031316/omeros-corp-omer-shares-surge-15-on-q2-boost-pricetosales-valuation-raises-growth-expectations</t>
        </is>
      </c>
    </row>
    <row r="10" ht="32" customHeight="1">
      <c r="A10" s="6" t="n">
        <v>2</v>
      </c>
      <c r="B10" s="6">
        <f>'總表'!B8</f>
        <v/>
      </c>
      <c r="C10" s="27" t="inlineStr">
        <is>
          <t>HAE</t>
        </is>
      </c>
      <c r="D10" s="2" t="inlineStr">
        <is>
          <t>Haemonetics Corporation</t>
        </is>
      </c>
      <c r="E10" s="2">
        <f>'總表'!AD8</f>
        <v/>
      </c>
      <c r="F10" s="13">
        <f>'總表'!AE8</f>
        <v/>
      </c>
      <c r="G10" s="20">
        <f>'總表'!AG8</f>
        <v/>
      </c>
      <c r="H10" s="2" t="inlineStr">
        <is>
          <t>R23.00 查證</t>
        </is>
      </c>
      <c r="I10" s="3" t="inlineStr">
        <is>
          <t>08-14 同 CSL Plasma 簽署 NexSys PCS 血漿採集設備供應協議（規模同時間表未定）→ 08-18 +15.9%（媒體 +9%）。業績本身喺 08-06。</t>
        </is>
      </c>
      <c r="J10" s="35" t="inlineStr">
        <is>
          <t>https://www.sec.gov/Archives/edgar/data/0000313143/000031314326000135/hae-20260818.htm</t>
        </is>
      </c>
    </row>
    <row r="11" ht="32" customHeight="1">
      <c r="A11" s="6" t="n">
        <v>2</v>
      </c>
      <c r="B11" s="6">
        <f>'總表'!B9</f>
        <v/>
      </c>
      <c r="C11" s="27" t="inlineStr">
        <is>
          <t>ASST</t>
        </is>
      </c>
      <c r="D11" s="2" t="inlineStr">
        <is>
          <t>Strive Inc. Class A</t>
        </is>
      </c>
      <c r="E11" s="2">
        <f>'總表'!AD9</f>
        <v/>
      </c>
      <c r="F11" s="13">
        <f>'總表'!AE9</f>
        <v/>
      </c>
      <c r="G11" s="20">
        <f>'總表'!AG9</f>
        <v/>
      </c>
      <c r="H11" s="2" t="inlineStr">
        <is>
          <t>R23.00 查證</t>
        </is>
      </c>
      <c r="I11" s="3" t="inlineStr">
        <is>
          <t>比特幣庫存公司（持 &gt;20,000 BTC）：08-21 Benchmark 重申買入（目標 $32）、Point72 新持倉、08-17–21 再買 1,110 BTC → +13%。股價基本上跟比特幣走。</t>
        </is>
      </c>
      <c r="J11" s="35" t="inlineStr">
        <is>
          <t>https://www.investing.com/news/stock-market-news/why-is-strive-stock-surging-over-8-today-93CH-4871604</t>
        </is>
      </c>
    </row>
    <row r="12" ht="32" customHeight="1">
      <c r="A12" s="6" t="n">
        <v>2</v>
      </c>
      <c r="B12" s="6">
        <f>'總表'!B10</f>
        <v/>
      </c>
      <c r="C12" s="27" t="inlineStr">
        <is>
          <t>GEMI</t>
        </is>
      </c>
      <c r="D12" s="2" t="inlineStr">
        <is>
          <t>Gemini Space Station Inc. Class A</t>
        </is>
      </c>
      <c r="E12" s="2">
        <f>'總表'!AD10</f>
        <v/>
      </c>
      <c r="F12" s="13">
        <f>'總表'!AE10</f>
        <v/>
      </c>
      <c r="G12" s="20">
        <f>'總表'!AG10</f>
        <v/>
      </c>
      <c r="H12" s="2" t="inlineStr">
        <is>
          <t>R23.00 查證</t>
        </is>
      </c>
      <c r="I12" s="3" t="inlineStr">
        <is>
          <t>09-18 SEC 推出代幣化股票五年豁免，加密板塊齊升，GEMI +31.2%；但過去 12 個月跌 76%，升浪係低位反彈。</t>
        </is>
      </c>
      <c r="J12" s="35" t="inlineStr">
        <is>
          <t>https://www.fool.com/investing/2026/09/18/why-gemini-space-station-stock-jumped-312-today/</t>
        </is>
      </c>
    </row>
    <row r="13" ht="32" customHeight="1">
      <c r="A13" s="6" t="n">
        <v>2</v>
      </c>
      <c r="B13" s="6">
        <f>'總表'!B11</f>
        <v/>
      </c>
      <c r="C13" s="27" t="inlineStr">
        <is>
          <t>UMAC</t>
        </is>
      </c>
      <c r="D13" s="2" t="inlineStr">
        <is>
          <t>Unusual Machines Inc.</t>
        </is>
      </c>
      <c r="E13" s="2">
        <f>'總表'!AD11</f>
        <v/>
      </c>
      <c r="F13" s="13">
        <f>'總表'!AE11</f>
        <v/>
      </c>
      <c r="G13" s="20">
        <f>'總表'!AG11</f>
        <v/>
      </c>
      <c r="H13" s="2" t="inlineStr">
        <is>
          <t>R23.00 查證</t>
        </is>
      </c>
      <c r="I13" s="3" t="inlineStr">
        <is>
          <t>05-28 WSJ 報道特朗普政府考慮資助美國無人機公司，市場估 UMAC 入圍（Donald Trump Jr. 係顧問）→ 當日 +57%；之後 05-14 業績後嘅沽壓逆轉。消息係傳聞性質。</t>
        </is>
      </c>
      <c r="J13" s="35" t="inlineStr">
        <is>
          <t>https://www.fool.com/investing/2026/05/28/why-unusual-machines-stock-is-having-a-massive-bul/</t>
        </is>
      </c>
    </row>
    <row r="14" ht="32" customHeight="1">
      <c r="A14" s="6" t="n">
        <v>2</v>
      </c>
      <c r="B14" s="6">
        <f>'總表'!B12</f>
        <v/>
      </c>
      <c r="C14" s="27" t="inlineStr">
        <is>
          <t>PURR</t>
        </is>
      </c>
      <c r="D14" s="2" t="inlineStr">
        <is>
          <t>Hyperliquid Strategies Inc</t>
        </is>
      </c>
      <c r="E14" s="2">
        <f>'總表'!AD12</f>
        <v/>
      </c>
      <c r="F14" s="13">
        <f>'總表'!AE12</f>
        <v/>
      </c>
      <c r="G14" s="20">
        <f>'總表'!AG12</f>
        <v/>
      </c>
      <c r="H14" s="2" t="inlineStr">
        <is>
          <t>R23.00 查證（沿用）</t>
        </is>
      </c>
      <c r="I14" s="3" t="inlineStr">
        <is>
          <t>持 HYPE 代幣嘅加密貨幣庫存公司：財年純利 $3.06 億大部分係代幣未實現收益；Cantor 目標 $34.2；09-25 監管負面消息回落。股價係 HYPE 代幣嘅槓桿。（沿用 R22）</t>
        </is>
      </c>
      <c r="J14" s="35" t="inlineStr">
        <is>
          <t>https://www.gurufocus.com/news/9096248/hyperliquid-strategies-inc-purr-shows-mixed-signals-amid-rising-options-optimism</t>
        </is>
      </c>
    </row>
    <row r="15" ht="32" customHeight="1">
      <c r="A15" s="6" t="n">
        <v>2</v>
      </c>
      <c r="B15" s="6">
        <f>'總表'!B13</f>
        <v/>
      </c>
      <c r="C15" s="27" t="inlineStr">
        <is>
          <t>UTMD</t>
        </is>
      </c>
      <c r="D15" s="2" t="inlineStr">
        <is>
          <t>Utah Medical Products Inc.</t>
        </is>
      </c>
      <c r="E15" s="2">
        <f>'總表'!AD13</f>
        <v/>
      </c>
      <c r="F15" s="13">
        <f>'總表'!AE13</f>
        <v/>
      </c>
      <c r="G15" s="20">
        <f>'總表'!AG13</f>
        <v/>
      </c>
      <c r="H15" s="2" t="inlineStr">
        <is>
          <t>R23.00 查證</t>
        </is>
      </c>
      <c r="I15" s="3" t="inlineStr">
        <is>
          <t>06-26 升 6.6%（我哋數據收市對收市 +10.6%，兩者有出入）；Q2 末收 $68.98，較 Q1 末 +11.3%。冇搵到當日個股消息。</t>
        </is>
      </c>
      <c r="J15" s="35" t="inlineStr">
        <is>
          <t>https://www.macrotrends.net/stocks/charts/UTMD/utah-medical-products/stock-price-history</t>
        </is>
      </c>
    </row>
    <row r="16" ht="32" customHeight="1">
      <c r="A16" s="6" t="n">
        <v>2</v>
      </c>
      <c r="B16" s="6">
        <f>'總表'!B14</f>
        <v/>
      </c>
      <c r="C16" s="27" t="inlineStr">
        <is>
          <t>RNG</t>
        </is>
      </c>
      <c r="D16" s="2" t="inlineStr">
        <is>
          <t>RingCentral Inc. Class A</t>
        </is>
      </c>
      <c r="E16" s="2">
        <f>'總表'!AD14</f>
        <v/>
      </c>
      <c r="F16" s="13">
        <f>'總表'!AE14</f>
        <v/>
      </c>
      <c r="G16" s="20">
        <f>'總表'!AG14</f>
        <v/>
      </c>
      <c r="H16" s="2" t="inlineStr">
        <is>
          <t>R23.00 查證</t>
        </is>
      </c>
      <c r="I16" s="3" t="inlineStr">
        <is>
          <t>07-24 Q2 收入 $6.57 億勝預期、EPS $1.22 勝 $1.16–1.17，上調全年指引（收入約 $26.4 億、EPS 約 $5.03），AI 產品佔 ARR 約 13%，加息息 → 當日 +25.1%。</t>
        </is>
      </c>
      <c r="J16" s="35" t="inlineStr">
        <is>
          <t>https://www.tikr.com/blog/rng-ringcentral-nyse-stock-skyrockets-after-reporting-strong-cash-flow-and-artificial-intelligence-momentum</t>
        </is>
      </c>
    </row>
    <row r="17" ht="32" customHeight="1">
      <c r="A17" s="6" t="n">
        <v>2</v>
      </c>
      <c r="B17" s="6">
        <f>'總表'!B15</f>
        <v/>
      </c>
      <c r="C17" s="27" t="inlineStr">
        <is>
          <t>ASO</t>
        </is>
      </c>
      <c r="D17" s="2" t="inlineStr">
        <is>
          <t>Academy Sports and Outdoors Inc.</t>
        </is>
      </c>
      <c r="E17" s="2">
        <f>'總表'!AD15</f>
        <v/>
      </c>
      <c r="F17" s="13">
        <f>'總表'!AE15</f>
        <v/>
      </c>
      <c r="G17" s="20">
        <f>'總表'!AG15</f>
        <v/>
      </c>
      <c r="H17" s="2" t="inlineStr">
        <is>
          <t>R23.00 查證</t>
        </is>
      </c>
      <c r="I17" s="3" t="inlineStr">
        <is>
          <t>09-09 Q2 經調整 EPS $2.31 勝預期 $2.09（毛利率升至 40.4%，關稅退款幫忙），上調全年 EPS 指引至 $6.50–6.90 → 當日 +14.4%。</t>
        </is>
      </c>
      <c r="J17" s="35" t="inlineStr">
        <is>
          <t>https://www.investing.com/news/company-news/academy-sports-q2-2026-slides-eps-beats-on-margin-gains-shares-jump-93CH-4894101</t>
        </is>
      </c>
    </row>
    <row r="18" ht="32" customHeight="1">
      <c r="A18" s="6" t="n">
        <v>2</v>
      </c>
      <c r="B18" s="6">
        <f>'總表'!B16</f>
        <v/>
      </c>
      <c r="C18" s="27" t="inlineStr">
        <is>
          <t>BVS</t>
        </is>
      </c>
      <c r="D18" s="2" t="inlineStr">
        <is>
          <t>Bioventus Inc. Class A</t>
        </is>
      </c>
      <c r="E18" s="2">
        <f>'總表'!AD16</f>
        <v/>
      </c>
      <c r="F18" s="13">
        <f>'總表'!AE16</f>
        <v/>
      </c>
      <c r="G18" s="20">
        <f>'總表'!AG16</f>
        <v/>
      </c>
      <c r="H18" s="2" t="inlineStr">
        <is>
          <t>R23.00 查證</t>
        </is>
      </c>
      <c r="I18" s="3" t="inlineStr">
        <is>
          <t>08-05 Q2 純利 $3,340 萬（去年 $750 萬，部分來自 $2,460 萬遞延稅項撥備回撥），經調整 EBITDA 利潤率 23%，公司同時進行策略檢討 → 當日先跌後升收 +13.7%。</t>
        </is>
      </c>
      <c r="J18" s="35" t="inlineStr">
        <is>
          <t>https://simplywall.st/stocks/us/healthcare/nasdaq-bvs/bioventus/news/bioventus-bvs-stock-jumps-on-profit-strength-as-growth-risks/amp</t>
        </is>
      </c>
    </row>
    <row r="19" ht="32" customHeight="1">
      <c r="A19" s="6" t="n">
        <v>2</v>
      </c>
      <c r="B19" s="6">
        <f>'總表'!B17</f>
        <v/>
      </c>
      <c r="C19" s="27" t="inlineStr">
        <is>
          <t>PLSE</t>
        </is>
      </c>
      <c r="D19" s="2" t="inlineStr">
        <is>
          <t>Pulse Biosciences Inc</t>
        </is>
      </c>
      <c r="E19" s="2">
        <f>'總表'!AD17</f>
        <v/>
      </c>
      <c r="F19" s="13">
        <f>'總表'!AE17</f>
        <v/>
      </c>
      <c r="G19" s="20">
        <f>'總表'!AG17</f>
        <v/>
      </c>
      <c r="H19" s="2" t="inlineStr">
        <is>
          <t>R23.00 查證（沿用）</t>
        </is>
      </c>
      <c r="I19" s="3" t="inlineStr">
        <is>
          <t>7/29 NANOPULSE-AF 入組過半；09-09 +8.6% 當日消息未查。（沿用 news20）</t>
        </is>
      </c>
      <c r="J19" s="35" t="inlineStr">
        <is>
          <t>https://www.stocktitan.net/overview/PLSE/</t>
        </is>
      </c>
    </row>
    <row r="20" ht="32" customHeight="1">
      <c r="A20" s="6" t="n">
        <v>2</v>
      </c>
      <c r="B20" s="6">
        <f>'總表'!B18</f>
        <v/>
      </c>
      <c r="C20" s="27" t="inlineStr">
        <is>
          <t>BBNX</t>
        </is>
      </c>
      <c r="D20" s="2" t="inlineStr">
        <is>
          <t>Beta Bionics Inc.</t>
        </is>
      </c>
      <c r="E20" s="2">
        <f>'總表'!AD18</f>
        <v/>
      </c>
      <c r="F20" s="13">
        <f>'總表'!AE18</f>
        <v/>
      </c>
      <c r="G20" s="20">
        <f>'總表'!AG18</f>
        <v/>
      </c>
      <c r="H20" s="2" t="inlineStr">
        <is>
          <t>R23.00 查證</t>
        </is>
      </c>
      <c r="I20" s="3" t="inlineStr">
        <is>
          <t>09-16 +15.3%：BofA 目標 $18→$20、Mint 貼片泵獲 FDA 批准、同時宣布 $1.25 億配售（之後定價 $1.5 億）。</t>
        </is>
      </c>
      <c r="J20" s="35" t="inlineStr">
        <is>
          <t>https://finance.yahoo.com/markets/stocks/articles/beta-bionics-inc-bbnx-surges-102100393.html</t>
        </is>
      </c>
    </row>
    <row r="21" ht="32" customHeight="1">
      <c r="A21" s="6" t="n">
        <v>2</v>
      </c>
      <c r="B21" s="6">
        <f>'總表'!B19</f>
        <v/>
      </c>
      <c r="C21" s="27" t="inlineStr">
        <is>
          <t>PKOH</t>
        </is>
      </c>
      <c r="D21" s="2" t="inlineStr">
        <is>
          <t>Park-Ohio Holdings Corp.</t>
        </is>
      </c>
      <c r="E21" s="2">
        <f>'總表'!AD19</f>
        <v/>
      </c>
      <c r="F21" s="13">
        <f>'總表'!AE19</f>
        <v/>
      </c>
      <c r="G21" s="20">
        <f>'總表'!AG19</f>
        <v/>
      </c>
      <c r="H21" s="2" t="inlineStr">
        <is>
          <t>R23.00 查證</t>
        </is>
      </c>
      <c r="I21" s="3" t="inlineStr">
        <is>
          <t>Q2 業績 08-05 公佈（收入創紀錄 $4.4 億 +10%、毛利率 2013 年以來最高、上調全年指引）；我哋數據嘅最大升日係 08-07（+12.9%），同業績日差兩日，當日另有消息未查到。</t>
        </is>
      </c>
      <c r="J21" s="35" t="inlineStr">
        <is>
          <t>https://www.sec.gov/Archives/edgar/data/0000076282/000007628226000025/pkoh20260630-ex991earnings.htm</t>
        </is>
      </c>
    </row>
    <row r="22" ht="32" customHeight="1">
      <c r="A22" s="6" t="n">
        <v>2</v>
      </c>
      <c r="B22" s="6">
        <f>'總表'!B20</f>
        <v/>
      </c>
      <c r="C22" s="27" t="inlineStr">
        <is>
          <t>KN</t>
        </is>
      </c>
      <c r="D22" s="2" t="inlineStr">
        <is>
          <t>Knowles Corporation</t>
        </is>
      </c>
      <c r="E22" s="2">
        <f>'總表'!AD20</f>
        <v/>
      </c>
      <c r="F22" s="13">
        <f>'總表'!AE20</f>
        <v/>
      </c>
      <c r="G22" s="20">
        <f>'總表'!AG20</f>
        <v/>
      </c>
      <c r="H22" s="2" t="inlineStr">
        <is>
          <t>R23.00 查證</t>
        </is>
      </c>
      <c r="I22" s="3" t="inlineStr">
        <is>
          <t>07-23 Q2 EPS $0.33 勝預期 $0.30、收入 $1.668 億勝 $1.57 億，上調 Q3 指引 → 當日 +7.2%（我哋收市對收市 +6.0%）。</t>
        </is>
      </c>
      <c r="J22" s="35" t="inlineStr">
        <is>
          <t>https://www.marketbeat.com/instant-alerts/knowles-nysekn-releases-earnings-results-beats-estimates-by-003-eps-2026-07-23/</t>
        </is>
      </c>
    </row>
    <row r="23" ht="32" customHeight="1">
      <c r="A23" s="6" t="n">
        <v>2</v>
      </c>
      <c r="B23" s="6">
        <f>'總表'!B21</f>
        <v/>
      </c>
      <c r="C23" s="27" t="inlineStr">
        <is>
          <t>FLXS</t>
        </is>
      </c>
      <c r="D23" s="2" t="inlineStr">
        <is>
          <t>Flexsteel Industries Inc.</t>
        </is>
      </c>
      <c r="E23" s="2">
        <f>'總表'!AD21</f>
        <v/>
      </c>
      <c r="F23" s="13">
        <f>'總表'!AE21</f>
        <v/>
      </c>
      <c r="G23" s="20">
        <f>'總表'!AG21</f>
        <v/>
      </c>
      <c r="H23" s="2" t="inlineStr">
        <is>
          <t>R23.00 查證</t>
        </is>
      </c>
      <c r="I23" s="3" t="inlineStr">
        <is>
          <t>08-18 FY26 Q4 經調整 EPS $1.33 勝預期 $1.09、收入 $1.154 億勝預期，派息加 25%、季內回購 $6,260 萬 → +8.9%（開市跳空 +14.3%）。</t>
        </is>
      </c>
      <c r="J23" s="35" t="inlineStr">
        <is>
          <t>https://simplywall.st/stocks/us/consumer-durables/nasdaq-flxs/flexsteel-industries/news/flexsteel-flxs-stock-jumps-as-margin-gains-outrun-cautious-o</t>
        </is>
      </c>
    </row>
    <row r="24" ht="32" customHeight="1">
      <c r="A24" s="6" t="n">
        <v>2</v>
      </c>
      <c r="B24" s="6">
        <f>'總表'!B22</f>
        <v/>
      </c>
      <c r="C24" s="27" t="inlineStr">
        <is>
          <t>AVTR</t>
        </is>
      </c>
      <c r="D24" s="2" t="inlineStr">
        <is>
          <t>Avantor Inc.</t>
        </is>
      </c>
      <c r="E24" s="2">
        <f>'總表'!AD22</f>
        <v/>
      </c>
      <c r="F24" s="13">
        <f>'總表'!AE22</f>
        <v/>
      </c>
      <c r="G24" s="20">
        <f>'總表'!AG22</f>
        <v/>
      </c>
      <c r="H24" s="2" t="inlineStr">
        <is>
          <t>R23.00 查證</t>
        </is>
      </c>
      <c r="I24" s="3" t="inlineStr">
        <is>
          <t>07-29 Q2 銷售勝預期約 $8,200 萬、EPS $0.21 勝 $0.19，VWR 分部重拾增長，上調有機銷售指引 → 當日 +15.8%。</t>
        </is>
      </c>
      <c r="J24" s="35" t="inlineStr">
        <is>
          <t>https://www.investing.com/news/company-news/avantor-q2-2026-presentation-vwr-returns-to-growth-shares-surge-93CH-4820448</t>
        </is>
      </c>
    </row>
    <row r="25" ht="32" customHeight="1">
      <c r="A25" s="6" t="n">
        <v>2</v>
      </c>
      <c r="B25" s="6">
        <f>'總表'!B23</f>
        <v/>
      </c>
      <c r="C25" s="27" t="inlineStr">
        <is>
          <t>AMBA</t>
        </is>
      </c>
      <c r="D25" s="2" t="inlineStr">
        <is>
          <t>Ambarella Inc.</t>
        </is>
      </c>
      <c r="E25" s="2">
        <f>'總表'!AD23</f>
        <v/>
      </c>
      <c r="F25" s="13">
        <f>'總表'!AE23</f>
        <v/>
      </c>
      <c r="G25" s="20">
        <f>'總表'!AG23</f>
        <v/>
      </c>
      <c r="H25" s="2" t="inlineStr">
        <is>
          <t>R23.00 查證</t>
        </is>
      </c>
      <c r="I25" s="3" t="inlineStr">
        <is>
          <t>06-30 Rosenblatt 將佢列為下半年首選（實體 AI 晶片）→ 當日 +22.8%（媒體 +28% 至 +32% 不等）；升浪由分析員推介帶動。</t>
        </is>
      </c>
      <c r="J25" s="35" t="inlineStr">
        <is>
          <t>https://www.gurufocus.com/news/8939101/ambarella-amba-sees-significant-228-surge-in-stock-price?mobile=true</t>
        </is>
      </c>
    </row>
    <row r="27">
      <c r="A27" s="29" t="inlineStr">
        <is>
          <t>市況來源</t>
        </is>
      </c>
    </row>
    <row r="28">
      <c r="I28" s="35" t="inlineStr">
        <is>
          <t>https://krmg.com/2026/09/29/how-major-us-stock-indexes-fared-tuesday-9-29-2026/</t>
        </is>
      </c>
    </row>
    <row r="29">
      <c r="I29" s="35" t="inlineStr">
        <is>
          <t>https://www.cnbc.com/2026/09/28/stock-market-today-live-updates.html</t>
        </is>
      </c>
    </row>
    <row r="30">
      <c r="I30" s="35" t="inlineStr">
        <is>
          <t>https://krmg.com/2026/09/30/how-major-us-stock-indexes-fared-wednesday-9-30-2026/</t>
        </is>
      </c>
    </row>
  </sheetData>
  <autoFilter ref="A3:J3"/>
  <hyperlinks>
    <hyperlink xmlns:r="http://schemas.openxmlformats.org/officeDocument/2006/relationships" ref="C4" r:id="rId1"/>
    <hyperlink xmlns:r="http://schemas.openxmlformats.org/officeDocument/2006/relationships" ref="J4" r:id="rId2"/>
    <hyperlink xmlns:r="http://schemas.openxmlformats.org/officeDocument/2006/relationships" ref="C5" r:id="rId3"/>
    <hyperlink xmlns:r="http://schemas.openxmlformats.org/officeDocument/2006/relationships" ref="J5" r:id="rId4"/>
    <hyperlink xmlns:r="http://schemas.openxmlformats.org/officeDocument/2006/relationships" ref="C6" r:id="rId5"/>
    <hyperlink xmlns:r="http://schemas.openxmlformats.org/officeDocument/2006/relationships" ref="J6" r:id="rId6"/>
    <hyperlink xmlns:r="http://schemas.openxmlformats.org/officeDocument/2006/relationships" ref="C7" r:id="rId7"/>
    <hyperlink xmlns:r="http://schemas.openxmlformats.org/officeDocument/2006/relationships" ref="J7" r:id="rId8"/>
    <hyperlink xmlns:r="http://schemas.openxmlformats.org/officeDocument/2006/relationships" ref="C8" r:id="rId9"/>
    <hyperlink xmlns:r="http://schemas.openxmlformats.org/officeDocument/2006/relationships" ref="J8" r:id="rId10"/>
    <hyperlink xmlns:r="http://schemas.openxmlformats.org/officeDocument/2006/relationships" ref="C9" r:id="rId11"/>
    <hyperlink xmlns:r="http://schemas.openxmlformats.org/officeDocument/2006/relationships" ref="J9" r:id="rId12"/>
    <hyperlink xmlns:r="http://schemas.openxmlformats.org/officeDocument/2006/relationships" ref="C10" r:id="rId13"/>
    <hyperlink xmlns:r="http://schemas.openxmlformats.org/officeDocument/2006/relationships" ref="J10" r:id="rId14"/>
    <hyperlink xmlns:r="http://schemas.openxmlformats.org/officeDocument/2006/relationships" ref="C11" r:id="rId15"/>
    <hyperlink xmlns:r="http://schemas.openxmlformats.org/officeDocument/2006/relationships" ref="J11" r:id="rId16"/>
    <hyperlink xmlns:r="http://schemas.openxmlformats.org/officeDocument/2006/relationships" ref="C12" r:id="rId17"/>
    <hyperlink xmlns:r="http://schemas.openxmlformats.org/officeDocument/2006/relationships" ref="J12" r:id="rId18"/>
    <hyperlink xmlns:r="http://schemas.openxmlformats.org/officeDocument/2006/relationships" ref="C13" r:id="rId19"/>
    <hyperlink xmlns:r="http://schemas.openxmlformats.org/officeDocument/2006/relationships" ref="J13" r:id="rId20"/>
    <hyperlink xmlns:r="http://schemas.openxmlformats.org/officeDocument/2006/relationships" ref="C14" r:id="rId21"/>
    <hyperlink xmlns:r="http://schemas.openxmlformats.org/officeDocument/2006/relationships" ref="J14" r:id="rId22"/>
    <hyperlink xmlns:r="http://schemas.openxmlformats.org/officeDocument/2006/relationships" ref="C15" r:id="rId23"/>
    <hyperlink xmlns:r="http://schemas.openxmlformats.org/officeDocument/2006/relationships" ref="J15" r:id="rId24"/>
    <hyperlink xmlns:r="http://schemas.openxmlformats.org/officeDocument/2006/relationships" ref="C16" r:id="rId25"/>
    <hyperlink xmlns:r="http://schemas.openxmlformats.org/officeDocument/2006/relationships" ref="J16" r:id="rId26"/>
    <hyperlink xmlns:r="http://schemas.openxmlformats.org/officeDocument/2006/relationships" ref="C17" r:id="rId27"/>
    <hyperlink xmlns:r="http://schemas.openxmlformats.org/officeDocument/2006/relationships" ref="J17" r:id="rId28"/>
    <hyperlink xmlns:r="http://schemas.openxmlformats.org/officeDocument/2006/relationships" ref="C18" r:id="rId29"/>
    <hyperlink xmlns:r="http://schemas.openxmlformats.org/officeDocument/2006/relationships" ref="J18" r:id="rId30"/>
    <hyperlink xmlns:r="http://schemas.openxmlformats.org/officeDocument/2006/relationships" ref="C19" r:id="rId31"/>
    <hyperlink xmlns:r="http://schemas.openxmlformats.org/officeDocument/2006/relationships" ref="J19" r:id="rId32"/>
    <hyperlink xmlns:r="http://schemas.openxmlformats.org/officeDocument/2006/relationships" ref="C20" r:id="rId33"/>
    <hyperlink xmlns:r="http://schemas.openxmlformats.org/officeDocument/2006/relationships" ref="J20" r:id="rId34"/>
    <hyperlink xmlns:r="http://schemas.openxmlformats.org/officeDocument/2006/relationships" ref="C21" r:id="rId35"/>
    <hyperlink xmlns:r="http://schemas.openxmlformats.org/officeDocument/2006/relationships" ref="J21" r:id="rId36"/>
    <hyperlink xmlns:r="http://schemas.openxmlformats.org/officeDocument/2006/relationships" ref="C22" r:id="rId37"/>
    <hyperlink xmlns:r="http://schemas.openxmlformats.org/officeDocument/2006/relationships" ref="J22" r:id="rId38"/>
    <hyperlink xmlns:r="http://schemas.openxmlformats.org/officeDocument/2006/relationships" ref="C23" r:id="rId39"/>
    <hyperlink xmlns:r="http://schemas.openxmlformats.org/officeDocument/2006/relationships" ref="J23" r:id="rId40"/>
    <hyperlink xmlns:r="http://schemas.openxmlformats.org/officeDocument/2006/relationships" ref="C24" r:id="rId41"/>
    <hyperlink xmlns:r="http://schemas.openxmlformats.org/officeDocument/2006/relationships" ref="J24" r:id="rId42"/>
    <hyperlink xmlns:r="http://schemas.openxmlformats.org/officeDocument/2006/relationships" ref="C25" r:id="rId43"/>
    <hyperlink xmlns:r="http://schemas.openxmlformats.org/officeDocument/2006/relationships" ref="J25" r:id="rId44"/>
    <hyperlink xmlns:r="http://schemas.openxmlformats.org/officeDocument/2006/relationships" ref="I28" r:id="rId45"/>
    <hyperlink xmlns:r="http://schemas.openxmlformats.org/officeDocument/2006/relationships" ref="I29" r:id="rId46"/>
    <hyperlink xmlns:r="http://schemas.openxmlformats.org/officeDocument/2006/relationships" ref="I30" r:id="rId4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2026-10-01T15:16:31Z</dcterms:created>
  <dcterms:modified xsi:type="dcterms:W3CDTF">2026-10-01T15:16:31Z</dcterms:modified>
</cp:coreProperties>
</file>