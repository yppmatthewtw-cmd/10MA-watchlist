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本版更新" sheetId="1" state="visible" r:id="rId1"/>
    <sheet name="總表" sheetId="2" state="visible" r:id="rId2"/>
    <sheet name="大型股" sheetId="3" state="visible" r:id="rId3"/>
    <sheet name="中型股" sheetId="4" state="visible" r:id="rId4"/>
    <sheet name="小型股" sheetId="5" state="visible" r:id="rId5"/>
    <sheet name="篩選規則" sheetId="6" state="visible" r:id="rId6"/>
    <sheet name="敏感度" sheetId="7" state="visible" r:id="rId7"/>
    <sheet name="差一項" sheetId="8" state="visible" r:id="rId8"/>
    <sheet name="20MA回調池" sheetId="9" state="visible" r:id="rId9"/>
    <sheet name="同R22對照" sheetId="10" state="visible" r:id="rId10"/>
    <sheet name="R22向前測試" sheetId="11" state="visible" r:id="rId11"/>
    <sheet name="同上日對照" sheetId="12" state="visible" r:id="rId12"/>
    <sheet name="審視標記" sheetId="13" state="visible" r:id="rId13"/>
    <sheet name="數據核對" sheetId="14" state="visible" r:id="rId14"/>
    <sheet name="市況" sheetId="15" state="visible" r:id="rId15"/>
    <sheet name="催化劑同研究" sheetId="16" state="visible" r:id="rId16"/>
  </sheets>
  <definedNames>
    <definedName name="_xlnm._FilterDatabase" localSheetId="1" hidden="1">'總表'!$A$1:$BP$23</definedName>
    <definedName name="_xlnm._FilterDatabase" localSheetId="2" hidden="1">'大型股'!$A$3:$W$4</definedName>
    <definedName name="_xlnm._FilterDatabase" localSheetId="3" hidden="1">'中型股'!$A$3:$W$11</definedName>
    <definedName name="_xlnm._FilterDatabase" localSheetId="4" hidden="1">'小型股'!$A$3:$W$16</definedName>
    <definedName name="_xlnm._FilterDatabase" localSheetId="6" hidden="1">'敏感度'!$A$3:$F$3</definedName>
    <definedName name="_xlnm._FilterDatabase" localSheetId="7" hidden="1">'差一項'!$A$3:$G$3</definedName>
    <definedName name="_xlnm._FilterDatabase" localSheetId="8" hidden="1">'20MA回調池'!$A$3:$K$3</definedName>
    <definedName name="_xlnm._FilterDatabase" localSheetId="9" hidden="1">'同R22對照'!$A$3:$E$3</definedName>
    <definedName name="_xlnm._FilterDatabase" localSheetId="10" hidden="1">'R22向前測試'!$A$9:$K$30</definedName>
    <definedName name="_xlnm._FilterDatabase" localSheetId="11" hidden="1">'同上日對照'!$A$3:$E$3</definedName>
    <definedName name="_xlnm._FilterDatabase" localSheetId="12" hidden="1">'審視標記'!$A$3:$E$3</definedName>
    <definedName name="_xlnm._FilterDatabase" localSheetId="13" hidden="1">'數據核對'!$A$11:$G$11</definedName>
    <definedName name="_xlnm._FilterDatabase" localSheetId="15" hidden="1">'催化劑同研究'!$A$3:$J$3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##"/>
    <numFmt numFmtId="165" formatCode="0.0%"/>
    <numFmt numFmtId="166" formatCode="0.0"/>
    <numFmt numFmtId="167" formatCode="$#,##0"/>
    <numFmt numFmtId="168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563C1"/>
      <sz val="10"/>
      <u val="single"/>
    </font>
    <font>
      <name val="Arial"/>
      <color rgb="000000FF"/>
      <sz val="10"/>
    </font>
    <font>
      <name val="Arial"/>
      <b val="1"/>
      <color rgb="001F3864"/>
      <sz val="14"/>
    </font>
    <font>
      <name val="Arial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6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" fontId="2" fillId="0" borderId="1" pivotButton="0" quotePrefix="0" xfId="0"/>
    <xf numFmtId="1" fontId="3" fillId="0" borderId="1" pivotButton="0" quotePrefix="0" xfId="0"/>
    <xf numFmtId="0" fontId="4" fillId="3" borderId="1" pivotButton="0" quotePrefix="0" xfId="0"/>
    <xf numFmtId="0" fontId="3" fillId="4" borderId="1" pivotButton="0" quotePrefix="0" xfId="0"/>
    <xf numFmtId="2" fontId="5" fillId="0" borderId="1" pivotButton="0" quotePrefix="0" xfId="0"/>
    <xf numFmtId="164" fontId="5" fillId="0" borderId="1" pivotButton="0" quotePrefix="0" xfId="0"/>
    <xf numFmtId="10" fontId="3" fillId="0" borderId="1" pivotButton="0" quotePrefix="0" xfId="0"/>
    <xf numFmtId="1" fontId="5" fillId="0" borderId="1" pivotButton="0" quotePrefix="0" xfId="0"/>
    <xf numFmtId="165" fontId="3" fillId="0" borderId="1" pivotButton="0" quotePrefix="0" xfId="0"/>
    <xf numFmtId="9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2" fontId="3" fillId="0" borderId="1" pivotButton="0" quotePrefix="0" xfId="0"/>
    <xf numFmtId="166" fontId="3" fillId="0" borderId="1" pivotButton="0" quotePrefix="0" xfId="0"/>
    <xf numFmtId="166" fontId="2" fillId="0" borderId="1" pivotButton="0" quotePrefix="0" xfId="0"/>
    <xf numFmtId="0" fontId="3" fillId="3" borderId="1" applyAlignment="1" pivotButton="0" quotePrefix="0" xfId="0">
      <alignment vertical="top" wrapText="1"/>
    </xf>
    <xf numFmtId="168" fontId="5" fillId="0" borderId="1" pivotButton="0" quotePrefix="0" xfId="0"/>
    <xf numFmtId="1" fontId="2" fillId="5" borderId="1" pivotButton="0" quotePrefix="0" xfId="0"/>
    <xf numFmtId="1" fontId="3" fillId="5" borderId="1" pivotButton="0" quotePrefix="0" xfId="0"/>
    <xf numFmtId="0" fontId="4" fillId="5" borderId="1" pivotButton="0" quotePrefix="0" xfId="0"/>
    <xf numFmtId="0" fontId="4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3" fontId="3" fillId="0" borderId="1" pivotButton="0" quotePrefix="0" xfId="0"/>
    <xf numFmtId="0" fontId="4" fillId="4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3" fontId="5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watchlist</author>
  </authors>
  <commentList>
    <comment ref="AD2" authorId="0" shapeId="0">
      <text>
        <t>09-14 收市後公佈 FY26 Q4 業績勝預期，09-15 Citizens 由 Market Perform 升至 Outperform（目標 $10）→ 當日 +19.5%（媒體報 +20.8%），創歷史收市新高 $9.81。</t>
      </text>
    </comment>
    <comment ref="AD3" authorId="0" shapeId="0">
      <text>
        <t>09-09 公佈同 Independence Realty Trust（IRT）全換股合併：每股 CSR 換 3.800 股 IRT，交易值 $81 億，CSR 股東將持合併後約 22% → 當日跳空 +9.7% 開、收 +8.8%。</t>
      </text>
    </comment>
    <comment ref="AD4" authorId="0" shapeId="0">
      <text>
        <t>09-03 宣布中標收購 Century Financial Services 控股權；09-04 Piper Sandler 給予買入評級 → 當日 +9.5%。</t>
      </text>
    </comment>
    <comment ref="AD5" authorId="0" shapeId="0">
      <text>
        <t>05-28 公佈轉向 AI 基建產品線後股價創 52 周新高（年內已倍升）；分析員認為升幅超出基本面。</t>
      </text>
    </comment>
    <comment ref="AD6" authorId="0" shapeId="0">
      <text>
        <t>09-10 公佈年省 $6,000–8,000 萬成本計劃、2027 年起非 GAAP 營運利潤率 ≥20%、$5,000 萬回購、上調營運利潤指引 → 當日 +18.5%（媒體 +8% 至 +24% 不等）。</t>
      </text>
    </comment>
    <comment ref="AD7" authorId="0" shapeId="0">
      <text>
        <t>08-13 Q2：YARTEMLEA 上市後收入按季 +190%（淨收入 $2,850 萬 vs 預期 $1,300 萬），EPS $0.02 vs 預期 −$0.27 → 當日 +26.5%（媒體 +15% 至 +17%）。另有報道指同 Novo Nordisk 達成 $21 億協議，日期未核實。</t>
      </text>
    </comment>
    <comment ref="AD8" authorId="0" shapeId="0">
      <text>
        <t>08-14 同 CSL Plasma 簽署 NexSys PCS 血漿採集設備供應協議（規模同時間表未定）→ 08-18 +15.9%（媒體 +9%）。業績本身喺 08-06。</t>
      </text>
    </comment>
    <comment ref="AD9" authorId="0" shapeId="0">
      <text>
        <t>比特幣庫存公司（持 &gt;20,000 BTC）：08-21 Benchmark 重申買入（目標 $32）、Point72 新持倉、08-17–21 再買 1,110 BTC → +13%。股價基本上跟比特幣走。</t>
      </text>
    </comment>
    <comment ref="AD10" authorId="0" shapeId="0">
      <text>
        <t>09-18 SEC 推出代幣化股票五年豁免，加密板塊齊升，GEMI +31.2%；但過去 12 個月跌 76%，升浪係低位反彈。</t>
      </text>
    </comment>
    <comment ref="AD11" authorId="0" shapeId="0">
      <text>
        <t>05-28 WSJ 報道特朗普政府考慮資助美國無人機公司，市場估 UMAC 入圍（Donald Trump Jr. 係顧問）→ 當日 +57%；之後 05-14 業績後嘅沽壓逆轉。消息係傳聞性質。</t>
      </text>
    </comment>
    <comment ref="AD12" authorId="0" shapeId="0">
      <text>
        <t>持 HYPE 代幣嘅加密貨幣庫存公司：財年純利 $3.06 億大部分係代幣未實現收益；Cantor 目標 $34.2；09-25 監管負面消息回落。股價係 HYPE 代幣嘅槓桿。（沿用 R22）</t>
      </text>
    </comment>
    <comment ref="AD13" authorId="0" shapeId="0">
      <text>
        <t>06-26 升 6.6%（我哋數據收市對收市 +10.6%，兩者有出入）；Q2 末收 $68.98，較 Q1 末 +11.3%。冇搵到當日個股消息。</t>
      </text>
    </comment>
    <comment ref="AD14" authorId="0" shapeId="0">
      <text>
        <t>07-24 Q2 收入 $6.57 億勝預期、EPS $1.22 勝 $1.16–1.17，上調全年指引（收入約 $26.4 億、EPS 約 $5.03），AI 產品佔 ARR 約 13%，加息息 → 當日 +25.1%。</t>
      </text>
    </comment>
    <comment ref="AD15" authorId="0" shapeId="0">
      <text>
        <t>09-09 Q2 經調整 EPS $2.31 勝預期 $2.09（毛利率升至 40.4%，關稅退款幫忙），上調全年 EPS 指引至 $6.50–6.90 → 當日 +14.4%。</t>
      </text>
    </comment>
    <comment ref="AD16" authorId="0" shapeId="0">
      <text>
        <t>08-05 Q2 純利 $3,340 萬（去年 $750 萬，部分來自 $2,460 萬遞延稅項撥備回撥），經調整 EBITDA 利潤率 23%，公司同時進行策略檢討 → 當日先跌後升收 +13.7%。</t>
      </text>
    </comment>
    <comment ref="AD17" authorId="0" shapeId="0">
      <text>
        <t>7/29 NANOPULSE-AF 入組過半；09-09 +8.6% 當日消息未查。（沿用 news20）</t>
      </text>
    </comment>
    <comment ref="AD18" authorId="0" shapeId="0">
      <text>
        <t>09-16 +15.3%：BofA 目標 $18→$20、Mint 貼片泵獲 FDA 批准、同時宣布 $1.25 億配售（之後定價 $1.5 億）。</t>
      </text>
    </comment>
    <comment ref="AD19" authorId="0" shapeId="0">
      <text>
        <t>Q2 業績 08-05 公佈（收入創紀錄 $4.4 億 +10%、毛利率 2013 年以來最高、上調全年指引）；我哋數據嘅最大升日係 08-07（+12.9%），同業績日差兩日，當日另有消息未查到。</t>
      </text>
    </comment>
    <comment ref="AD20" authorId="0" shapeId="0">
      <text>
        <t>07-23 Q2 EPS $0.33 勝預期 $0.30、收入 $1.668 億勝 $1.57 億，上調 Q3 指引 → 當日 +7.2%（我哋收市對收市 +6.0%）。</t>
      </text>
    </comment>
    <comment ref="AD21" authorId="0" shapeId="0">
      <text>
        <t>08-18 FY26 Q4 經調整 EPS $1.33 勝預期 $1.09、收入 $1.154 億勝預期，派息加 25%、季內回購 $6,260 萬 → +8.9%（開市跳空 +14.3%）。</t>
      </text>
    </comment>
    <comment ref="AD22" authorId="0" shapeId="0">
      <text>
        <t>07-29 Q2 銷售勝預期約 $8,200 萬、EPS $0.21 勝 $0.19，VWR 分部重拾增長，上調有機銷售指引 → 當日 +15.8%。</t>
      </text>
    </comment>
    <comment ref="AD23" authorId="0" shapeId="0">
      <text>
        <t>06-30 Rosenblatt 將佢列為下半年首選（實體 AI 晶片）→ 當日 +22.8%（媒體 +28% 至 +32% 不等）；升浪由分析員推介帶動。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nasdaq%3Absvn" TargetMode="External" Id="rId3" /><Relationship Type="http://schemas.openxmlformats.org/officeDocument/2006/relationships/hyperlink" Target="https://www.tradingview.com/chart/Q1c5VWwD/?symbol=nasdaq%3Acrsr" TargetMode="External" Id="rId4" /><Relationship Type="http://schemas.openxmlformats.org/officeDocument/2006/relationships/hyperlink" Target="https://www.tradingview.com/chart/Q1c5VWwD/?symbol=nasdaq%3Acmrc" TargetMode="External" Id="rId5" /><Relationship Type="http://schemas.openxmlformats.org/officeDocument/2006/relationships/hyperlink" Target="https://www.tradingview.com/chart/Q1c5VWwD/?symbol=nasdaq%3Aomer" TargetMode="External" Id="rId6" /><Relationship Type="http://schemas.openxmlformats.org/officeDocument/2006/relationships/hyperlink" Target="https://www.tradingview.com/chart/Q1c5VWwD/?symbol=nyse%3Ahae" TargetMode="External" Id="rId7" /><Relationship Type="http://schemas.openxmlformats.org/officeDocument/2006/relationships/hyperlink" Target="https://www.tradingview.com/chart/Q1c5VWwD/?symbol=nasdaq%3Aasst" TargetMode="External" Id="rId8" /><Relationship Type="http://schemas.openxmlformats.org/officeDocument/2006/relationships/hyperlink" Target="https://www.tradingview.com/chart/Q1c5VWwD/?symbol=nasdaq%3Agemi" TargetMode="External" Id="rId9" /><Relationship Type="http://schemas.openxmlformats.org/officeDocument/2006/relationships/hyperlink" Target="https://www.tradingview.com/chart/Q1c5VWwD/?symbol=amex%3Aumac" TargetMode="External" Id="rId10" /><Relationship Type="http://schemas.openxmlformats.org/officeDocument/2006/relationships/hyperlink" Target="https://www.tradingview.com/chart/Q1c5VWwD/?symbol=nasdaq%3Apurr" TargetMode="External" Id="rId11" /><Relationship Type="http://schemas.openxmlformats.org/officeDocument/2006/relationships/hyperlink" Target="https://www.tradingview.com/chart/Q1c5VWwD/?symbol=nasdaq%3Autmd" TargetMode="External" Id="rId12" /><Relationship Type="http://schemas.openxmlformats.org/officeDocument/2006/relationships/hyperlink" Target="https://www.tradingview.com/chart/Q1c5VWwD/?symbol=nyse%3Arng" TargetMode="External" Id="rId13" /><Relationship Type="http://schemas.openxmlformats.org/officeDocument/2006/relationships/hyperlink" Target="https://www.tradingview.com/chart/Q1c5VWwD/?symbol=nasdaq%3Aaso" TargetMode="External" Id="rId14" /><Relationship Type="http://schemas.openxmlformats.org/officeDocument/2006/relationships/hyperlink" Target="https://www.tradingview.com/chart/Q1c5VWwD/?symbol=nasdaq%3Abvs" TargetMode="External" Id="rId15" /><Relationship Type="http://schemas.openxmlformats.org/officeDocument/2006/relationships/hyperlink" Target="https://www.tradingview.com/chart/Q1c5VWwD/?symbol=nasdaq%3Aplse" TargetMode="External" Id="rId16" /><Relationship Type="http://schemas.openxmlformats.org/officeDocument/2006/relationships/hyperlink" Target="https://www.tradingview.com/chart/Q1c5VWwD/?symbol=nasdaq%3Abbnx" TargetMode="External" Id="rId17" /><Relationship Type="http://schemas.openxmlformats.org/officeDocument/2006/relationships/hyperlink" Target="https://www.tradingview.com/chart/Q1c5VWwD/?symbol=nasdaq%3Apkoh" TargetMode="External" Id="rId18" /><Relationship Type="http://schemas.openxmlformats.org/officeDocument/2006/relationships/hyperlink" Target="https://www.tradingview.com/chart/Q1c5VWwD/?symbol=nyse%3Akn" TargetMode="External" Id="rId19" /><Relationship Type="http://schemas.openxmlformats.org/officeDocument/2006/relationships/hyperlink" Target="https://www.tradingview.com/chart/Q1c5VWwD/?symbol=nasdaq%3Aflxs" TargetMode="External" Id="rId20" /><Relationship Type="http://schemas.openxmlformats.org/officeDocument/2006/relationships/hyperlink" Target="https://www.tradingview.com/chart/Q1c5VWwD/?symbol=nyse%3Aavtr" TargetMode="External" Id="rId21" /><Relationship Type="http://schemas.openxmlformats.org/officeDocument/2006/relationships/hyperlink" Target="https://www.tradingview.com/chart/Q1c5VWwD/?symbol=nasdaq%3Aamba" TargetMode="External" Id="rId2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avtr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yse%3Ahae" TargetMode="External" Id="rId1" /><Relationship Type="http://schemas.openxmlformats.org/officeDocument/2006/relationships/hyperlink" Target="https://www.tradingview.com/chart/Q1c5VWwD/?symbol=nasdaq%3Aasst" TargetMode="External" Id="rId2" /><Relationship Type="http://schemas.openxmlformats.org/officeDocument/2006/relationships/hyperlink" Target="https://www.tradingview.com/chart/Q1c5VWwD/?symbol=nasdaq%3Apurr" TargetMode="External" Id="rId3" /><Relationship Type="http://schemas.openxmlformats.org/officeDocument/2006/relationships/hyperlink" Target="https://www.tradingview.com/chart/Q1c5VWwD/?symbol=nyse%3Arng" TargetMode="External" Id="rId4" /><Relationship Type="http://schemas.openxmlformats.org/officeDocument/2006/relationships/hyperlink" Target="https://www.tradingview.com/chart/Q1c5VWwD/?symbol=nasdaq%3Aaso" TargetMode="External" Id="rId5" /><Relationship Type="http://schemas.openxmlformats.org/officeDocument/2006/relationships/hyperlink" Target="https://www.tradingview.com/chart/Q1c5VWwD/?symbol=nasdaq%3Aplse" TargetMode="External" Id="rId6" /><Relationship Type="http://schemas.openxmlformats.org/officeDocument/2006/relationships/hyperlink" Target="https://www.tradingview.com/chart/Q1c5VWwD/?symbol=nyse%3Akn" TargetMode="External" Id="rId7" /><Relationship Type="http://schemas.openxmlformats.org/officeDocument/2006/relationships/hyperlink" Target="https://www.tradingview.com/chart/Q1c5VWwD/?symbol=nasdaq%3Aamba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nasdaq%3Absvn" TargetMode="External" Id="rId3" /><Relationship Type="http://schemas.openxmlformats.org/officeDocument/2006/relationships/hyperlink" Target="https://www.tradingview.com/chart/Q1c5VWwD/?symbol=nasdaq%3Acrsr" TargetMode="External" Id="rId4" /><Relationship Type="http://schemas.openxmlformats.org/officeDocument/2006/relationships/hyperlink" Target="https://www.tradingview.com/chart/Q1c5VWwD/?symbol=nasdaq%3Acmrc" TargetMode="External" Id="rId5" /><Relationship Type="http://schemas.openxmlformats.org/officeDocument/2006/relationships/hyperlink" Target="https://www.tradingview.com/chart/Q1c5VWwD/?symbol=nasdaq%3Aomer" TargetMode="External" Id="rId6" /><Relationship Type="http://schemas.openxmlformats.org/officeDocument/2006/relationships/hyperlink" Target="https://www.tradingview.com/chart/Q1c5VWwD/?symbol=nasdaq%3Agemi" TargetMode="External" Id="rId7" /><Relationship Type="http://schemas.openxmlformats.org/officeDocument/2006/relationships/hyperlink" Target="https://www.tradingview.com/chart/Q1c5VWwD/?symbol=amex%3Aumac" TargetMode="External" Id="rId8" /><Relationship Type="http://schemas.openxmlformats.org/officeDocument/2006/relationships/hyperlink" Target="https://www.tradingview.com/chart/Q1c5VWwD/?symbol=nasdaq%3Autmd" TargetMode="External" Id="rId9" /><Relationship Type="http://schemas.openxmlformats.org/officeDocument/2006/relationships/hyperlink" Target="https://www.tradingview.com/chart/Q1c5VWwD/?symbol=nasdaq%3Abvs" TargetMode="External" Id="rId10" /><Relationship Type="http://schemas.openxmlformats.org/officeDocument/2006/relationships/hyperlink" Target="https://www.tradingview.com/chart/Q1c5VWwD/?symbol=nasdaq%3Abbnx" TargetMode="External" Id="rId11" /><Relationship Type="http://schemas.openxmlformats.org/officeDocument/2006/relationships/hyperlink" Target="https://www.tradingview.com/chart/Q1c5VWwD/?symbol=nasdaq%3Apkoh" TargetMode="External" Id="rId12" /><Relationship Type="http://schemas.openxmlformats.org/officeDocument/2006/relationships/hyperlink" Target="https://www.tradingview.com/chart/Q1c5VWwD/?symbol=nasdaq%3Aflxs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asdaq%3Absvn" TargetMode="External" Id="rId1" /><Relationship Type="http://schemas.openxmlformats.org/officeDocument/2006/relationships/hyperlink" Target="https://www.tradingview.com/chart/Q1c5VWwD/?symbol=nasdaq%3Absvn" TargetMode="External" Id="rId2" /><Relationship Type="http://schemas.openxmlformats.org/officeDocument/2006/relationships/hyperlink" Target="https://www.tradingview.com/chart/Q1c5VWwD/?symbol=nasdaq%3Aaso" TargetMode="External" Id="rId3" /><Relationship Type="http://schemas.openxmlformats.org/officeDocument/2006/relationships/hyperlink" Target="https://www.tradingview.com/chart/Q1c5VWwD/?symbol=nasdaq%3Acmrc" TargetMode="External" Id="rId4" /><Relationship Type="http://schemas.openxmlformats.org/officeDocument/2006/relationships/hyperlink" Target="https://www.tradingview.com/chart/Q1c5VWwD/?symbol=nasdaq%3Aomer" TargetMode="External" Id="rId5" /><Relationship Type="http://schemas.openxmlformats.org/officeDocument/2006/relationships/hyperlink" Target="https://www.tradingview.com/chart/Q1c5VWwD/?symbol=nasdaq%3Absvn" TargetMode="External" Id="rId6" /><Relationship Type="http://schemas.openxmlformats.org/officeDocument/2006/relationships/hyperlink" Target="https://www.tradingview.com/chart/Q1c5VWwD/?symbol=amex%3Arlgt" TargetMode="External" Id="rId7" /><Relationship Type="http://schemas.openxmlformats.org/officeDocument/2006/relationships/hyperlink" Target="https://www.tradingview.com/chart/Q1c5VWwD/?symbol=nyse%3Acsr" TargetMode="External" Id="rId8" /><Relationship Type="http://schemas.openxmlformats.org/officeDocument/2006/relationships/hyperlink" Target="https://www.tradingview.com/chart/Q1c5VWwD/?symbol=nyse%3Acsr" TargetMode="External" Id="rId9" /><Relationship Type="http://schemas.openxmlformats.org/officeDocument/2006/relationships/hyperlink" Target="https://www.tradingview.com/chart/Q1c5VWwD/?symbol=nasdaq%3Absvn" TargetMode="External" Id="rId10" /><Relationship Type="http://schemas.openxmlformats.org/officeDocument/2006/relationships/hyperlink" Target="https://www.tradingview.com/chart/Q1c5VWwD/?symbol=nasdaq%3Apurr" TargetMode="External" Id="rId11" /><Relationship Type="http://schemas.openxmlformats.org/officeDocument/2006/relationships/hyperlink" Target="https://www.tradingview.com/chart/Q1c5VWwD/?symbol=nasdaq%3Aamba" TargetMode="External" Id="rId12" /><Relationship Type="http://schemas.openxmlformats.org/officeDocument/2006/relationships/hyperlink" Target="https://www.tradingview.com/chart/Q1c5VWwD/?symbol=nasdaq%3Aaso" TargetMode="External" Id="rId13" /><Relationship Type="http://schemas.openxmlformats.org/officeDocument/2006/relationships/hyperlink" Target="https://www.tradingview.com/chart/Q1c5VWwD/?symbol=nasdaq%3Aasst" TargetMode="External" Id="rId14" /><Relationship Type="http://schemas.openxmlformats.org/officeDocument/2006/relationships/hyperlink" Target="https://www.tradingview.com/chart/Q1c5VWwD/?symbol=nyse%3Aavtr" TargetMode="External" Id="rId15" /><Relationship Type="http://schemas.openxmlformats.org/officeDocument/2006/relationships/hyperlink" Target="https://www.tradingview.com/chart/Q1c5VWwD/?symbol=nasdaq%3Abbnx" TargetMode="External" Id="rId16" /><Relationship Type="http://schemas.openxmlformats.org/officeDocument/2006/relationships/hyperlink" Target="https://www.tradingview.com/chart/Q1c5VWwD/?symbol=nasdaq%3Abvs" TargetMode="External" Id="rId17" /><Relationship Type="http://schemas.openxmlformats.org/officeDocument/2006/relationships/hyperlink" Target="https://www.tradingview.com/chart/Q1c5VWwD/?symbol=nasdaq%3Acmrc" TargetMode="External" Id="rId18" /><Relationship Type="http://schemas.openxmlformats.org/officeDocument/2006/relationships/hyperlink" Target="https://www.tradingview.com/chart/Q1c5VWwD/?symbol=nasdaq%3Acrsr" TargetMode="External" Id="rId19" /><Relationship Type="http://schemas.openxmlformats.org/officeDocument/2006/relationships/hyperlink" Target="https://www.tradingview.com/chart/Q1c5VWwD/?symbol=nasdaq%3Aflxs" TargetMode="External" Id="rId20" /><Relationship Type="http://schemas.openxmlformats.org/officeDocument/2006/relationships/hyperlink" Target="https://www.tradingview.com/chart/Q1c5VWwD/?symbol=nasdaq%3Agemi" TargetMode="External" Id="rId21" /><Relationship Type="http://schemas.openxmlformats.org/officeDocument/2006/relationships/hyperlink" Target="https://www.tradingview.com/chart/Q1c5VWwD/?symbol=nyse%3Ahae" TargetMode="External" Id="rId22" /><Relationship Type="http://schemas.openxmlformats.org/officeDocument/2006/relationships/hyperlink" Target="https://www.tradingview.com/chart/Q1c5VWwD/?symbol=nyse%3Akn" TargetMode="External" Id="rId23" /><Relationship Type="http://schemas.openxmlformats.org/officeDocument/2006/relationships/hyperlink" Target="https://www.tradingview.com/chart/Q1c5VWwD/?symbol=nasdaq%3Aomer" TargetMode="External" Id="rId24" /><Relationship Type="http://schemas.openxmlformats.org/officeDocument/2006/relationships/hyperlink" Target="https://www.tradingview.com/chart/Q1c5VWwD/?symbol=nasdaq%3Apkoh" TargetMode="External" Id="rId25" /><Relationship Type="http://schemas.openxmlformats.org/officeDocument/2006/relationships/hyperlink" Target="https://www.tradingview.com/chart/Q1c5VWwD/?symbol=nasdaq%3Aplse" TargetMode="External" Id="rId26" /><Relationship Type="http://schemas.openxmlformats.org/officeDocument/2006/relationships/hyperlink" Target="https://www.tradingview.com/chart/Q1c5VWwD/?symbol=nasdaq%3Apurr" TargetMode="External" Id="rId27" /><Relationship Type="http://schemas.openxmlformats.org/officeDocument/2006/relationships/hyperlink" Target="https://www.tradingview.com/chart/Q1c5VWwD/?symbol=nyse%3Arng" TargetMode="External" Id="rId28" /><Relationship Type="http://schemas.openxmlformats.org/officeDocument/2006/relationships/hyperlink" Target="https://www.tradingview.com/chart/Q1c5VWwD/?symbol=amex%3Aumac" TargetMode="External" Id="rId29" /><Relationship Type="http://schemas.openxmlformats.org/officeDocument/2006/relationships/hyperlink" Target="https://www.tradingview.com/chart/Q1c5VWwD/?symbol=nasdaq%3Autmd" TargetMode="External" Id="rId30" /><Relationship Type="http://schemas.openxmlformats.org/officeDocument/2006/relationships/hyperlink" Target="https://www.tradingview.com/chart/Q1c5VWwD/?symbol=nasdaq%3Absvn" TargetMode="External" Id="rId31" /><Relationship Type="http://schemas.openxmlformats.org/officeDocument/2006/relationships/hyperlink" Target="https://www.tradingview.com/chart/Q1c5VWwD/?symbol=nyse%3Acsr" TargetMode="External" Id="rId32" /><Relationship Type="http://schemas.openxmlformats.org/officeDocument/2006/relationships/hyperlink" Target="https://www.tradingview.com/chart/Q1c5VWwD/?symbol=amex%3Arlgt" TargetMode="External" Id="rId33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asdaq%3Aaso" TargetMode="External" Id="rId1" /><Relationship Type="http://schemas.openxmlformats.org/officeDocument/2006/relationships/hyperlink" Target="https://www.tradingview.com/chart/Q1c5VWwD/?symbol=nasdaq%3Acmrc" TargetMode="External" Id="rId2" /><Relationship Type="http://schemas.openxmlformats.org/officeDocument/2006/relationships/hyperlink" Target="https://www.tradingview.com/chart/Q1c5VWwD/?symbol=nyse%3Adell" TargetMode="External" Id="rId3" /><Relationship Type="http://schemas.openxmlformats.org/officeDocument/2006/relationships/hyperlink" Target="https://www.tradingview.com/chart/Q1c5VWwD/?symbol=gtlb" TargetMode="External" Id="rId4" /><Relationship Type="http://schemas.openxmlformats.org/officeDocument/2006/relationships/hyperlink" Target="https://www.tradingview.com/chart/Q1c5VWwD/?symbol=nasdaq%3Aomer" TargetMode="External" Id="rId5" /><Relationship Type="http://schemas.openxmlformats.org/officeDocument/2006/relationships/hyperlink" Target="https://www.tradingview.com/chart/Q1c5VWwD/?symbol=acva" TargetMode="External" Id="rId6" /><Relationship Type="http://schemas.openxmlformats.org/officeDocument/2006/relationships/hyperlink" Target="https://www.tradingview.com/chart/Q1c5VWwD/?symbol=aip" TargetMode="External" Id="rId7" /><Relationship Type="http://schemas.openxmlformats.org/officeDocument/2006/relationships/hyperlink" Target="https://www.tradingview.com/chart/Q1c5VWwD/?symbol=alab" TargetMode="External" Id="rId8" /><Relationship Type="http://schemas.openxmlformats.org/officeDocument/2006/relationships/hyperlink" Target="https://www.tradingview.com/chart/Q1c5VWwD/?symbol=amlx" TargetMode="External" Id="rId9" /><Relationship Type="http://schemas.openxmlformats.org/officeDocument/2006/relationships/hyperlink" Target="https://www.tradingview.com/chart/Q1c5VWwD/?symbol=amwl" TargetMode="External" Id="rId10" /><Relationship Type="http://schemas.openxmlformats.org/officeDocument/2006/relationships/hyperlink" Target="https://www.tradingview.com/chart/Q1c5VWwD/?symbol=anix" TargetMode="External" Id="rId11" /><Relationship Type="http://schemas.openxmlformats.org/officeDocument/2006/relationships/hyperlink" Target="https://www.tradingview.com/chart/Q1c5VWwD/?symbol=aout" TargetMode="External" Id="rId12" /><Relationship Type="http://schemas.openxmlformats.org/officeDocument/2006/relationships/hyperlink" Target="https://www.tradingview.com/chart/Q1c5VWwD/?symbol=bbcp" TargetMode="External" Id="rId13" /><Relationship Type="http://schemas.openxmlformats.org/officeDocument/2006/relationships/hyperlink" Target="https://www.tradingview.com/chart/Q1c5VWwD/?symbol=biaf" TargetMode="External" Id="rId14" /><Relationship Type="http://schemas.openxmlformats.org/officeDocument/2006/relationships/hyperlink" Target="https://www.tradingview.com/chart/Q1c5VWwD/?symbol=bnc" TargetMode="External" Id="rId15" /><Relationship Type="http://schemas.openxmlformats.org/officeDocument/2006/relationships/hyperlink" Target="https://www.tradingview.com/chart/Q1c5VWwD/?symbol=brun" TargetMode="External" Id="rId16" /><Relationship Type="http://schemas.openxmlformats.org/officeDocument/2006/relationships/hyperlink" Target="https://www.tradingview.com/chart/Q1c5VWwD/?symbol=bwmn" TargetMode="External" Id="rId17" /><Relationship Type="http://schemas.openxmlformats.org/officeDocument/2006/relationships/hyperlink" Target="https://www.tradingview.com/chart/Q1c5VWwD/?symbol=ceco" TargetMode="External" Id="rId18" /><Relationship Type="http://schemas.openxmlformats.org/officeDocument/2006/relationships/hyperlink" Target="https://www.tradingview.com/chart/Q1c5VWwD/?symbol=clfd" TargetMode="External" Id="rId19" /><Relationship Type="http://schemas.openxmlformats.org/officeDocument/2006/relationships/hyperlink" Target="https://www.tradingview.com/chart/Q1c5VWwD/?symbol=clov" TargetMode="External" Id="rId20" /><Relationship Type="http://schemas.openxmlformats.org/officeDocument/2006/relationships/hyperlink" Target="https://www.tradingview.com/chart/Q1c5VWwD/?symbol=nasdaq%3Acrsr" TargetMode="External" Id="rId21" /><Relationship Type="http://schemas.openxmlformats.org/officeDocument/2006/relationships/hyperlink" Target="https://www.tradingview.com/chart/Q1c5VWwD/?symbol=daic" TargetMode="External" Id="rId22" /><Relationship Type="http://schemas.openxmlformats.org/officeDocument/2006/relationships/hyperlink" Target="https://www.tradingview.com/chart/Q1c5VWwD/?symbol=dtil" TargetMode="External" Id="rId23" /><Relationship Type="http://schemas.openxmlformats.org/officeDocument/2006/relationships/hyperlink" Target="https://www.tradingview.com/chart/Q1c5VWwD/?symbol=fcel" TargetMode="External" Id="rId24" /><Relationship Type="http://schemas.openxmlformats.org/officeDocument/2006/relationships/hyperlink" Target="https://www.tradingview.com/chart/Q1c5VWwD/?symbol=feim" TargetMode="External" Id="rId25" /><Relationship Type="http://schemas.openxmlformats.org/officeDocument/2006/relationships/hyperlink" Target="https://www.tradingview.com/chart/Q1c5VWwD/?symbol=frd" TargetMode="External" Id="rId26" /><Relationship Type="http://schemas.openxmlformats.org/officeDocument/2006/relationships/hyperlink" Target="https://www.tradingview.com/chart/Q1c5VWwD/?symbol=galt" TargetMode="External" Id="rId27" /><Relationship Type="http://schemas.openxmlformats.org/officeDocument/2006/relationships/hyperlink" Target="https://www.tradingview.com/chart/Q1c5VWwD/?symbol=gcts" TargetMode="External" Id="rId28" /><Relationship Type="http://schemas.openxmlformats.org/officeDocument/2006/relationships/hyperlink" Target="https://www.tradingview.com/chart/Q1c5VWwD/?symbol=nasdaq%3Agemi" TargetMode="External" Id="rId29" /><Relationship Type="http://schemas.openxmlformats.org/officeDocument/2006/relationships/hyperlink" Target="https://www.tradingview.com/chart/Q1c5VWwD/?symbol=goss" TargetMode="External" Id="rId30" /><Relationship Type="http://schemas.openxmlformats.org/officeDocument/2006/relationships/hyperlink" Target="https://www.tradingview.com/chart/Q1c5VWwD/?symbol=grml" TargetMode="External" Id="rId31" /><Relationship Type="http://schemas.openxmlformats.org/officeDocument/2006/relationships/hyperlink" Target="https://www.tradingview.com/chart/Q1c5VWwD/?symbol=hlit" TargetMode="External" Id="rId32" /><Relationship Type="http://schemas.openxmlformats.org/officeDocument/2006/relationships/hyperlink" Target="https://www.tradingview.com/chart/Q1c5VWwD/?symbol=hzo" TargetMode="External" Id="rId33" /><Relationship Type="http://schemas.openxmlformats.org/officeDocument/2006/relationships/hyperlink" Target="https://www.tradingview.com/chart/Q1c5VWwD/?symbol=itgr" TargetMode="External" Id="rId34" /><Relationship Type="http://schemas.openxmlformats.org/officeDocument/2006/relationships/hyperlink" Target="https://www.tradingview.com/chart/Q1c5VWwD/?symbol=krt" TargetMode="External" Id="rId35" /><Relationship Type="http://schemas.openxmlformats.org/officeDocument/2006/relationships/hyperlink" Target="https://www.tradingview.com/chart/Q1c5VWwD/?symbol=lbrx" TargetMode="External" Id="rId36" /><Relationship Type="http://schemas.openxmlformats.org/officeDocument/2006/relationships/hyperlink" Target="https://www.tradingview.com/chart/Q1c5VWwD/?symbol=mrvi" TargetMode="External" Id="rId37" /><Relationship Type="http://schemas.openxmlformats.org/officeDocument/2006/relationships/hyperlink" Target="https://www.tradingview.com/chart/Q1c5VWwD/?symbol=nrix" TargetMode="External" Id="rId38" /><Relationship Type="http://schemas.openxmlformats.org/officeDocument/2006/relationships/hyperlink" Target="https://www.tradingview.com/chart/Q1c5VWwD/?symbol=nucl" TargetMode="External" Id="rId39" /><Relationship Type="http://schemas.openxmlformats.org/officeDocument/2006/relationships/hyperlink" Target="https://www.tradingview.com/chart/Q1c5VWwD/?symbol=nvec" TargetMode="External" Id="rId40" /><Relationship Type="http://schemas.openxmlformats.org/officeDocument/2006/relationships/hyperlink" Target="https://www.tradingview.com/chart/Q1c5VWwD/?symbol=oabi" TargetMode="External" Id="rId41" /><Relationship Type="http://schemas.openxmlformats.org/officeDocument/2006/relationships/hyperlink" Target="https://www.tradingview.com/chart/Q1c5VWwD/?symbol=occ" TargetMode="External" Id="rId42" /><Relationship Type="http://schemas.openxmlformats.org/officeDocument/2006/relationships/hyperlink" Target="https://www.tradingview.com/chart/Q1c5VWwD/?symbol=oesx" TargetMode="External" Id="rId43" /><Relationship Type="http://schemas.openxmlformats.org/officeDocument/2006/relationships/hyperlink" Target="https://www.tradingview.com/chart/Q1c5VWwD/?symbol=pay" TargetMode="External" Id="rId44" /><Relationship Type="http://schemas.openxmlformats.org/officeDocument/2006/relationships/hyperlink" Target="https://www.tradingview.com/chart/Q1c5VWwD/?symbol=pdfs" TargetMode="External" Id="rId45" /><Relationship Type="http://schemas.openxmlformats.org/officeDocument/2006/relationships/hyperlink" Target="https://www.tradingview.com/chart/Q1c5VWwD/?symbol=pesi" TargetMode="External" Id="rId46" /><Relationship Type="http://schemas.openxmlformats.org/officeDocument/2006/relationships/hyperlink" Target="https://www.tradingview.com/chart/Q1c5VWwD/?symbol=prpo" TargetMode="External" Id="rId47" /><Relationship Type="http://schemas.openxmlformats.org/officeDocument/2006/relationships/hyperlink" Target="https://www.tradingview.com/chart/Q1c5VWwD/?symbol=prth" TargetMode="External" Id="rId48" /><Relationship Type="http://schemas.openxmlformats.org/officeDocument/2006/relationships/hyperlink" Target="https://www.tradingview.com/chart/Q1c5VWwD/?symbol=rgr" TargetMode="External" Id="rId49" /><Relationship Type="http://schemas.openxmlformats.org/officeDocument/2006/relationships/hyperlink" Target="https://www.tradingview.com/chart/Q1c5VWwD/?symbol=roku" TargetMode="External" Id="rId50" /><Relationship Type="http://schemas.openxmlformats.org/officeDocument/2006/relationships/hyperlink" Target="https://www.tradingview.com/chart/Q1c5VWwD/?symbol=rxt" TargetMode="External" Id="rId51" /><Relationship Type="http://schemas.openxmlformats.org/officeDocument/2006/relationships/hyperlink" Target="https://www.tradingview.com/chart/Q1c5VWwD/?symbol=saft" TargetMode="External" Id="rId52" /><Relationship Type="http://schemas.openxmlformats.org/officeDocument/2006/relationships/hyperlink" Target="https://www.tradingview.com/chart/Q1c5VWwD/?symbol=shaz" TargetMode="External" Id="rId53" /><Relationship Type="http://schemas.openxmlformats.org/officeDocument/2006/relationships/hyperlink" Target="https://www.tradingview.com/chart/Q1c5VWwD/?symbol=smti" TargetMode="External" Id="rId54" /><Relationship Type="http://schemas.openxmlformats.org/officeDocument/2006/relationships/hyperlink" Target="https://www.tradingview.com/chart/Q1c5VWwD/?symbol=swbi" TargetMode="External" Id="rId55" /><Relationship Type="http://schemas.openxmlformats.org/officeDocument/2006/relationships/hyperlink" Target="https://www.tradingview.com/chart/Q1c5VWwD/?symbol=tlys" TargetMode="External" Id="rId56" /><Relationship Type="http://schemas.openxmlformats.org/officeDocument/2006/relationships/hyperlink" Target="https://www.tradingview.com/chart/Q1c5VWwD/?symbol=tnon" TargetMode="External" Id="rId57" /><Relationship Type="http://schemas.openxmlformats.org/officeDocument/2006/relationships/hyperlink" Target="https://www.tradingview.com/chart/Q1c5VWwD/?symbol=nasdaq%3Autmd" TargetMode="External" Id="rId58" /><Relationship Type="http://schemas.openxmlformats.org/officeDocument/2006/relationships/hyperlink" Target="https://www.tradingview.com/chart/Q1c5VWwD/?symbol=vnce" TargetMode="External" Id="rId59" /><Relationship Type="http://schemas.openxmlformats.org/officeDocument/2006/relationships/hyperlink" Target="https://www.tradingview.com/chart/Q1c5VWwD/?symbol=vrex" TargetMode="External" Id="rId60" /><Relationship Type="http://schemas.openxmlformats.org/officeDocument/2006/relationships/hyperlink" Target="https://www.tradingview.com/chart/Q1c5VWwD/?symbol=mtw" TargetMode="External" Id="rId61" /><Relationship Type="http://schemas.openxmlformats.org/officeDocument/2006/relationships/hyperlink" Target="https://www.tradingview.com/chart/Q1c5VWwD/?symbol=neo" TargetMode="External" Id="rId62" /><Relationship Type="http://schemas.openxmlformats.org/officeDocument/2006/relationships/hyperlink" Target="https://www.tradingview.com/chart/Q1c5VWwD/?symbol=nasdaq%3Apurr" TargetMode="External" Id="rId63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asdaq%3Absvn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amex%3Arlgt" TargetMode="External" Id="rId3" /><Relationship Type="http://schemas.openxmlformats.org/officeDocument/2006/relationships/hyperlink" Target="https://www.tradingview.com/chart/Q1c5VWwD/?symbol=nasdaq%3Aaso" TargetMode="External" Id="rId4" /><Relationship Type="http://schemas.openxmlformats.org/officeDocument/2006/relationships/hyperlink" Target="https://www.tradingview.com/chart/Q1c5VWwD/?symbol=nasdaq%3Acmrc" TargetMode="External" Id="rId5" /><Relationship Type="http://schemas.openxmlformats.org/officeDocument/2006/relationships/hyperlink" Target="https://www.tradingview.com/chart/Q1c5VWwD/?symbol=nasdaq%3Aomer" TargetMode="External" Id="rId6" /><Relationship Type="http://schemas.openxmlformats.org/officeDocument/2006/relationships/hyperlink" Target="https://www.tradingview.com/chart/Q1c5VWwD/?symbol=nasdaq%3Apurr" TargetMode="External" Id="rId7" /><Relationship Type="http://schemas.openxmlformats.org/officeDocument/2006/relationships/hyperlink" Target="https://www.tradingview.com/chart/Q1c5VWwD/?symbol=nasdaq%3Aflxs" TargetMode="External" Id="rId8" /><Relationship Type="http://schemas.openxmlformats.org/officeDocument/2006/relationships/hyperlink" Target="https://www.tradingview.com/chart/Q1c5VWwD/?symbol=nyse%3Arng" TargetMode="External" Id="rId9" /><Relationship Type="http://schemas.openxmlformats.org/officeDocument/2006/relationships/hyperlink" Target="https://www.tradingview.com/chart/Q1c5VWwD/?symbol=nyse%3Adell" TargetMode="External" Id="rId10" /><Relationship Type="http://schemas.openxmlformats.org/officeDocument/2006/relationships/hyperlink" Target="https://www.tradingview.com/chart/Q1c5VWwD/?symbol=gtlb" TargetMode="External" Id="rId11" /><Relationship Type="http://schemas.openxmlformats.org/officeDocument/2006/relationships/hyperlink" Target="https://www.tradingview.com/chart/Q1c5VWwD/?symbol=mtw" TargetMode="External" Id="rId12" /><Relationship Type="http://schemas.openxmlformats.org/officeDocument/2006/relationships/hyperlink" Target="https://www.tradingview.com/chart/Q1c5VWwD/?symbol=neo" TargetMode="External" Id="rId13" /><Relationship Type="http://schemas.openxmlformats.org/officeDocument/2006/relationships/hyperlink" Target="https://www.tradingview.com/chart/Q1c5VWwD/?symbol=acfn" TargetMode="External" Id="rId14" /><Relationship Type="http://schemas.openxmlformats.org/officeDocument/2006/relationships/hyperlink" Target="https://www.tradingview.com/chart/Q1c5VWwD/?symbol=agpu" TargetMode="External" Id="rId15" /><Relationship Type="http://schemas.openxmlformats.org/officeDocument/2006/relationships/hyperlink" Target="https://www.tradingview.com/chart/Q1c5VWwD/?symbol=blte" TargetMode="External" Id="rId16" /><Relationship Type="http://schemas.openxmlformats.org/officeDocument/2006/relationships/hyperlink" Target="https://www.tradingview.com/chart/Q1c5VWwD/?symbol=cort" TargetMode="External" Id="rId17" /><Relationship Type="http://schemas.openxmlformats.org/officeDocument/2006/relationships/hyperlink" Target="https://www.tradingview.com/chart/Q1c5VWwD/?symbol=nyse%3Adhx" TargetMode="External" Id="rId18" /><Relationship Type="http://schemas.openxmlformats.org/officeDocument/2006/relationships/hyperlink" Target="https://www.tradingview.com/chart/Q1c5VWwD/?symbol=djco" TargetMode="External" Id="rId19" /><Relationship Type="http://schemas.openxmlformats.org/officeDocument/2006/relationships/hyperlink" Target="https://www.tradingview.com/chart/Q1c5VWwD/?symbol=docu" TargetMode="External" Id="rId20" /><Relationship Type="http://schemas.openxmlformats.org/officeDocument/2006/relationships/hyperlink" Target="https://www.tradingview.com/chart/Q1c5VWwD/?symbol=eaf" TargetMode="External" Id="rId21" /><Relationship Type="http://schemas.openxmlformats.org/officeDocument/2006/relationships/hyperlink" Target="https://www.tradingview.com/chart/Q1c5VWwD/?symbol=hypd" TargetMode="External" Id="rId22" /><Relationship Type="http://schemas.openxmlformats.org/officeDocument/2006/relationships/hyperlink" Target="https://www.tradingview.com/chart/Q1c5VWwD/?symbol=nyse%3Aibta" TargetMode="External" Id="rId23" /><Relationship Type="http://schemas.openxmlformats.org/officeDocument/2006/relationships/hyperlink" Target="https://www.tradingview.com/chart/Q1c5VWwD/?symbol=oprt" TargetMode="External" Id="rId24" /><Relationship Type="http://schemas.openxmlformats.org/officeDocument/2006/relationships/hyperlink" Target="https://www.tradingview.com/chart/Q1c5VWwD/?symbol=smmt" TargetMode="External" Id="rId25" /><Relationship Type="http://schemas.openxmlformats.org/officeDocument/2006/relationships/hyperlink" Target="https://www.tradingview.com/chart/Q1c5VWwD/?symbol=nyse%3Asnow" TargetMode="External" Id="rId26" /><Relationship Type="http://schemas.openxmlformats.org/officeDocument/2006/relationships/hyperlink" Target="https://www.tradingview.com/chart/Q1c5VWwD/?symbol=atrc" TargetMode="External" Id="rId27" /><Relationship Type="http://schemas.openxmlformats.org/officeDocument/2006/relationships/hyperlink" Target="https://www.tradingview.com/chart/Q1c5VWwD/?symbol=nyse%3Abby" TargetMode="External" Id="rId28" /><Relationship Type="http://schemas.openxmlformats.org/officeDocument/2006/relationships/hyperlink" Target="https://www.tradingview.com/chart/Q1c5VWwD/?symbol=coda" TargetMode="External" Id="rId29" /><Relationship Type="http://schemas.openxmlformats.org/officeDocument/2006/relationships/hyperlink" Target="https://www.tradingview.com/chart/Q1c5VWwD/?symbol=coin" TargetMode="External" Id="rId30" /><Relationship Type="http://schemas.openxmlformats.org/officeDocument/2006/relationships/hyperlink" Target="https://www.tradingview.com/chart/Q1c5VWwD/?symbol=cvi" TargetMode="External" Id="rId31" /><Relationship Type="http://schemas.openxmlformats.org/officeDocument/2006/relationships/hyperlink" Target="https://www.tradingview.com/chart/Q1c5VWwD/?symbol=amex%3Adc" TargetMode="External" Id="rId32" /><Relationship Type="http://schemas.openxmlformats.org/officeDocument/2006/relationships/hyperlink" Target="https://www.tradingview.com/chart/Q1c5VWwD/?symbol=nyse%3Adino" TargetMode="External" Id="rId33" /><Relationship Type="http://schemas.openxmlformats.org/officeDocument/2006/relationships/hyperlink" Target="https://www.tradingview.com/chart/Q1c5VWwD/?symbol=nasdaq%3Afivn" TargetMode="External" Id="rId34" /><Relationship Type="http://schemas.openxmlformats.org/officeDocument/2006/relationships/hyperlink" Target="https://www.tradingview.com/chart/Q1c5VWwD/?symbol=insp" TargetMode="External" Id="rId35" /><Relationship Type="http://schemas.openxmlformats.org/officeDocument/2006/relationships/hyperlink" Target="https://www.tradingview.com/chart/Q1c5VWwD/?symbol=land" TargetMode="External" Id="rId36" /><Relationship Type="http://schemas.openxmlformats.org/officeDocument/2006/relationships/hyperlink" Target="https://www.tradingview.com/chart/Q1c5VWwD/?symbol=nyse%3Alpg" TargetMode="External" Id="rId37" /><Relationship Type="http://schemas.openxmlformats.org/officeDocument/2006/relationships/hyperlink" Target="https://www.tradingview.com/chart/Q1c5VWwD/?symbol=nyse%3Ampc" TargetMode="External" Id="rId38" /><Relationship Type="http://schemas.openxmlformats.org/officeDocument/2006/relationships/hyperlink" Target="https://www.tradingview.com/chart/Q1c5VWwD/?symbol=mur" TargetMode="External" Id="rId39" /><Relationship Type="http://schemas.openxmlformats.org/officeDocument/2006/relationships/hyperlink" Target="https://www.tradingview.com/chart/Q1c5VWwD/?symbol=neog" TargetMode="External" Id="rId40" /><Relationship Type="http://schemas.openxmlformats.org/officeDocument/2006/relationships/hyperlink" Target="https://www.tradingview.com/chart/Q1c5VWwD/?symbol=nutx" TargetMode="External" Id="rId41" /><Relationship Type="http://schemas.openxmlformats.org/officeDocument/2006/relationships/hyperlink" Target="https://www.tradingview.com/chart/Q1c5VWwD/?symbol=pdex" TargetMode="External" Id="rId42" /><Relationship Type="http://schemas.openxmlformats.org/officeDocument/2006/relationships/hyperlink" Target="https://www.tradingview.com/chart/Q1c5VWwD/?symbol=pntg" TargetMode="External" Id="rId43" /><Relationship Type="http://schemas.openxmlformats.org/officeDocument/2006/relationships/hyperlink" Target="https://www.tradingview.com/chart/Q1c5VWwD/?symbol=praa" TargetMode="External" Id="rId44" /><Relationship Type="http://schemas.openxmlformats.org/officeDocument/2006/relationships/hyperlink" Target="https://www.tradingview.com/chart/Q1c5VWwD/?symbol=nyse%3Apsx" TargetMode="External" Id="rId45" /><Relationship Type="http://schemas.openxmlformats.org/officeDocument/2006/relationships/hyperlink" Target="https://www.tradingview.com/chart/Q1c5VWwD/?symbol=qcom" TargetMode="External" Id="rId46" /><Relationship Type="http://schemas.openxmlformats.org/officeDocument/2006/relationships/hyperlink" Target="https://www.tradingview.com/chart/Q1c5VWwD/?symbol=qrvo" TargetMode="External" Id="rId47" /><Relationship Type="http://schemas.openxmlformats.org/officeDocument/2006/relationships/hyperlink" Target="https://www.tradingview.com/chart/Q1c5VWwD/?symbol=rushb" TargetMode="External" Id="rId48" /><Relationship Type="http://schemas.openxmlformats.org/officeDocument/2006/relationships/hyperlink" Target="https://www.tradingview.com/chart/Q1c5VWwD/?symbol=spce" TargetMode="External" Id="rId49" /><Relationship Type="http://schemas.openxmlformats.org/officeDocument/2006/relationships/hyperlink" Target="https://www.tradingview.com/chart/Q1c5VWwD/?symbol=swks" TargetMode="External" Id="rId50" /><Relationship Type="http://schemas.openxmlformats.org/officeDocument/2006/relationships/hyperlink" Target="https://www.tradingview.com/chart/Q1c5VWwD/?symbol=tars" TargetMode="External" Id="rId51" /><Relationship Type="http://schemas.openxmlformats.org/officeDocument/2006/relationships/hyperlink" Target="https://www.tradingview.com/chart/Q1c5VWwD/?symbol=nasdaq%3Ath" TargetMode="External" Id="rId52" /><Relationship Type="http://schemas.openxmlformats.org/officeDocument/2006/relationships/hyperlink" Target="https://www.tradingview.com/chart/Q1c5VWwD/?symbol=nyse%3Avlo" TargetMode="External" Id="rId53" /><Relationship Type="http://schemas.openxmlformats.org/officeDocument/2006/relationships/hyperlink" Target="https://www.tradingview.com/chart/Q1c5VWwD/?symbol=snx" TargetMode="External" Id="rId5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asdaq%3Apurr" TargetMode="External" Id="rId1" /><Relationship Type="http://schemas.openxmlformats.org/officeDocument/2006/relationships/hyperlink" Target="https://www.tradingview.com/chart/Q1c5VWwD/?symbol=nasdaq%3Aplse" TargetMode="External" Id="rId2" /><Relationship Type="http://schemas.openxmlformats.org/officeDocument/2006/relationships/hyperlink" Target="https://www.tradingview.com/chart/Q1c5VWwD/?symbol=amex%3Arlgt" TargetMode="External" Id="rId3" /><Relationship Type="http://schemas.openxmlformats.org/officeDocument/2006/relationships/hyperlink" Target="https://www.tradingview.com/chart/Q1c5VWwD/?symbol=nyse%3Acsr" TargetMode="External" Id="rId4" /><Relationship Type="http://schemas.openxmlformats.org/officeDocument/2006/relationships/hyperlink" Target="https://www.tradingview.com/chart/Q1c5VWwD/?symbol=nasdaq%3Absvn" TargetMode="External" Id="rId5" /><Relationship Type="http://schemas.openxmlformats.org/officeDocument/2006/relationships/hyperlink" Target="https://www.tradingview.com/chart/Q1c5VWwD/?symbol=nasdaq%3Acrsr" TargetMode="External" Id="rId6" /><Relationship Type="http://schemas.openxmlformats.org/officeDocument/2006/relationships/hyperlink" Target="https://www.tradingview.com/chart/Q1c5VWwD/?symbol=nasdaq%3Acmrc" TargetMode="External" Id="rId7" /><Relationship Type="http://schemas.openxmlformats.org/officeDocument/2006/relationships/hyperlink" Target="https://www.tradingview.com/chart/Q1c5VWwD/?symbol=nasdaq%3Aomer" TargetMode="External" Id="rId8" /><Relationship Type="http://schemas.openxmlformats.org/officeDocument/2006/relationships/hyperlink" Target="https://www.tradingview.com/chart/Q1c5VWwD/?symbol=nyse%3Ahae" TargetMode="External" Id="rId9" /><Relationship Type="http://schemas.openxmlformats.org/officeDocument/2006/relationships/hyperlink" Target="https://www.tradingview.com/chart/Q1c5VWwD/?symbol=nasdaq%3Aasst" TargetMode="External" Id="rId10" /><Relationship Type="http://schemas.openxmlformats.org/officeDocument/2006/relationships/hyperlink" Target="https://www.tradingview.com/chart/Q1c5VWwD/?symbol=nasdaq%3Agemi" TargetMode="External" Id="rId11" /><Relationship Type="http://schemas.openxmlformats.org/officeDocument/2006/relationships/hyperlink" Target="https://www.tradingview.com/chart/Q1c5VWwD/?symbol=amex%3Aumac" TargetMode="External" Id="rId12" /><Relationship Type="http://schemas.openxmlformats.org/officeDocument/2006/relationships/hyperlink" Target="https://www.tradingview.com/chart/Q1c5VWwD/?symbol=nasdaq%3Autmd" TargetMode="External" Id="rId13" /><Relationship Type="http://schemas.openxmlformats.org/officeDocument/2006/relationships/hyperlink" Target="https://www.tradingview.com/chart/Q1c5VWwD/?symbol=nyse%3Arng" TargetMode="External" Id="rId14" /><Relationship Type="http://schemas.openxmlformats.org/officeDocument/2006/relationships/hyperlink" Target="https://www.tradingview.com/chart/Q1c5VWwD/?symbol=nasdaq%3Aaso" TargetMode="External" Id="rId15" /><Relationship Type="http://schemas.openxmlformats.org/officeDocument/2006/relationships/hyperlink" Target="https://www.tradingview.com/chart/Q1c5VWwD/?symbol=nasdaq%3Abvs" TargetMode="External" Id="rId16" /><Relationship Type="http://schemas.openxmlformats.org/officeDocument/2006/relationships/hyperlink" Target="https://www.tradingview.com/chart/Q1c5VWwD/?symbol=nasdaq%3Abbnx" TargetMode="External" Id="rId17" /><Relationship Type="http://schemas.openxmlformats.org/officeDocument/2006/relationships/hyperlink" Target="https://www.tradingview.com/chart/Q1c5VWwD/?symbol=nasdaq%3Apkoh" TargetMode="External" Id="rId18" /><Relationship Type="http://schemas.openxmlformats.org/officeDocument/2006/relationships/hyperlink" Target="https://www.tradingview.com/chart/Q1c5VWwD/?symbol=nyse%3Akn" TargetMode="External" Id="rId19" /><Relationship Type="http://schemas.openxmlformats.org/officeDocument/2006/relationships/hyperlink" Target="https://www.tradingview.com/chart/Q1c5VWwD/?symbol=nasdaq%3Aflxs" TargetMode="External" Id="rId20" /><Relationship Type="http://schemas.openxmlformats.org/officeDocument/2006/relationships/hyperlink" Target="https://www.tradingview.com/chart/Q1c5VWwD/?symbol=nyse%3Aavtr" TargetMode="External" Id="rId21" /><Relationship Type="http://schemas.openxmlformats.org/officeDocument/2006/relationships/hyperlink" Target="https://www.tradingview.com/chart/Q1c5VWwD/?symbol=nasdaq%3Aamba" TargetMode="External" Id="rId22" /><Relationship Type="http://schemas.openxmlformats.org/officeDocument/2006/relationships/hyperlink" Target="https://www.tradingview.com/chart/Q1c5VWwD/?symbol=nasdaq%3Aird" TargetMode="External" Id="rId23" /><Relationship Type="http://schemas.openxmlformats.org/officeDocument/2006/relationships/hyperlink" Target="https://www.tradingview.com/chart/Q1c5VWwD/?symbol=nasdaq%3Attrx" TargetMode="External" Id="rId24" /><Relationship Type="http://schemas.openxmlformats.org/officeDocument/2006/relationships/hyperlink" Target="https://www.tradingview.com/chart/Q1c5VWwD/?symbol=nyse%3Adell" TargetMode="External" Id="rId25" /><Relationship Type="http://schemas.openxmlformats.org/officeDocument/2006/relationships/hyperlink" Target="https://www.tradingview.com/chart/Q1c5VWwD/?symbol=nasdaq%3Atitn" TargetMode="External" Id="rId26" /><Relationship Type="http://schemas.openxmlformats.org/officeDocument/2006/relationships/hyperlink" Target="https://www.tradingview.com/chart/Q1c5VWwD/?symbol=nyse%3Aestc" TargetMode="External" Id="rId27" /><Relationship Type="http://schemas.openxmlformats.org/officeDocument/2006/relationships/hyperlink" Target="https://www.tradingview.com/chart/Q1c5VWwD/?symbol=nasdaq%3Afivn" TargetMode="External" Id="rId28" /><Relationship Type="http://schemas.openxmlformats.org/officeDocument/2006/relationships/hyperlink" Target="https://www.tradingview.com/chart/Q1c5VWwD/?symbol=nyse%3Adhx" TargetMode="External" Id="rId29" /><Relationship Type="http://schemas.openxmlformats.org/officeDocument/2006/relationships/hyperlink" Target="https://www.tradingview.com/chart/Q1c5VWwD/?symbol=nyse%3Avlo" TargetMode="External" Id="rId30" /><Relationship Type="http://schemas.openxmlformats.org/officeDocument/2006/relationships/hyperlink" Target="https://www.tradingview.com/chart/Q1c5VWwD/?symbol=nyse%3Asnow" TargetMode="External" Id="rId31" /><Relationship Type="http://schemas.openxmlformats.org/officeDocument/2006/relationships/hyperlink" Target="https://www.tradingview.com/chart/Q1c5VWwD/?symbol=nyse%3Ampc" TargetMode="External" Id="rId32" /><Relationship Type="http://schemas.openxmlformats.org/officeDocument/2006/relationships/hyperlink" Target="https://www.tradingview.com/chart/Q1c5VWwD/?symbol=nasdaq%3Akgei" TargetMode="External" Id="rId33" /><Relationship Type="http://schemas.openxmlformats.org/officeDocument/2006/relationships/hyperlink" Target="https://www.tradingview.com/chart/Q1c5VWwD/?symbol=nyse%3Aibta" TargetMode="External" Id="rId34" /><Relationship Type="http://schemas.openxmlformats.org/officeDocument/2006/relationships/hyperlink" Target="https://www.tradingview.com/chart/Q1c5VWwD/?symbol=nasdaq%3Aelmt" TargetMode="External" Id="rId35" /><Relationship Type="http://schemas.openxmlformats.org/officeDocument/2006/relationships/hyperlink" Target="https://www.tradingview.com/chart/Q1c5VWwD/?symbol=nyse%3Alpg" TargetMode="External" Id="rId36" /><Relationship Type="http://schemas.openxmlformats.org/officeDocument/2006/relationships/hyperlink" Target="https://www.tradingview.com/chart/Q1c5VWwD/?symbol=amex%3Adc" TargetMode="External" Id="rId37" /><Relationship Type="http://schemas.openxmlformats.org/officeDocument/2006/relationships/hyperlink" Target="https://www.tradingview.com/chart/Q1c5VWwD/?symbol=nyse%3Abby" TargetMode="External" Id="rId38" /><Relationship Type="http://schemas.openxmlformats.org/officeDocument/2006/relationships/hyperlink" Target="https://www.tradingview.com/chart/Q1c5VWwD/?symbol=nasdaq%3Ath" TargetMode="External" Id="rId39" /><Relationship Type="http://schemas.openxmlformats.org/officeDocument/2006/relationships/hyperlink" Target="https://www.tradingview.com/chart/Q1c5VWwD/?symbol=nyse%3Adino" TargetMode="External" Id="rId40" /><Relationship Type="http://schemas.openxmlformats.org/officeDocument/2006/relationships/hyperlink" Target="https://www.tradingview.com/chart/Q1c5VWwD/?symbol=nyse%3Apsx" TargetMode="External" Id="rId41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nasdaq%3Aird" TargetMode="External" Id="rId1" /><Relationship Type="http://schemas.openxmlformats.org/officeDocument/2006/relationships/hyperlink" Target="https://www.tradingview.com/chart/Q1c5VWwD/?symbol=nasdaq%3Attrx" TargetMode="External" Id="rId2" /><Relationship Type="http://schemas.openxmlformats.org/officeDocument/2006/relationships/hyperlink" Target="https://www.tradingview.com/chart/Q1c5VWwD/?symbol=nyse%3Adell" TargetMode="External" Id="rId3" /><Relationship Type="http://schemas.openxmlformats.org/officeDocument/2006/relationships/hyperlink" Target="https://www.tradingview.com/chart/Q1c5VWwD/?symbol=nasdaq%3Aplse" TargetMode="External" Id="rId4" /><Relationship Type="http://schemas.openxmlformats.org/officeDocument/2006/relationships/hyperlink" Target="https://www.tradingview.com/chart/Q1c5VWwD/?symbol=nasdaq%3Atitn" TargetMode="External" Id="rId5" /><Relationship Type="http://schemas.openxmlformats.org/officeDocument/2006/relationships/hyperlink" Target="https://www.tradingview.com/chart/Q1c5VWwD/?symbol=nyse%3Aestc" TargetMode="External" Id="rId6" /><Relationship Type="http://schemas.openxmlformats.org/officeDocument/2006/relationships/hyperlink" Target="https://www.tradingview.com/chart/Q1c5VWwD/?symbol=nasdaq%3Afivn" TargetMode="External" Id="rId7" /><Relationship Type="http://schemas.openxmlformats.org/officeDocument/2006/relationships/hyperlink" Target="https://www.tradingview.com/chart/Q1c5VWwD/?symbol=nyse%3Adhx" TargetMode="External" Id="rId8" /><Relationship Type="http://schemas.openxmlformats.org/officeDocument/2006/relationships/hyperlink" Target="https://www.tradingview.com/chart/Q1c5VWwD/?symbol=nyse%3Avlo" TargetMode="External" Id="rId9" /><Relationship Type="http://schemas.openxmlformats.org/officeDocument/2006/relationships/hyperlink" Target="https://www.tradingview.com/chart/Q1c5VWwD/?symbol=nasdaq%3Apurr" TargetMode="External" Id="rId10" /><Relationship Type="http://schemas.openxmlformats.org/officeDocument/2006/relationships/hyperlink" Target="https://www.tradingview.com/chart/Q1c5VWwD/?symbol=nyse%3Asnow" TargetMode="External" Id="rId11" /><Relationship Type="http://schemas.openxmlformats.org/officeDocument/2006/relationships/hyperlink" Target="https://www.tradingview.com/chart/Q1c5VWwD/?symbol=nyse%3Ampc" TargetMode="External" Id="rId12" /><Relationship Type="http://schemas.openxmlformats.org/officeDocument/2006/relationships/hyperlink" Target="https://www.tradingview.com/chart/Q1c5VWwD/?symbol=nasdaq%3Akgei" TargetMode="External" Id="rId13" /><Relationship Type="http://schemas.openxmlformats.org/officeDocument/2006/relationships/hyperlink" Target="https://www.tradingview.com/chart/Q1c5VWwD/?symbol=nyse%3Aibta" TargetMode="External" Id="rId14" /><Relationship Type="http://schemas.openxmlformats.org/officeDocument/2006/relationships/hyperlink" Target="https://www.tradingview.com/chart/Q1c5VWwD/?symbol=nasdaq%3Aelmt" TargetMode="External" Id="rId15" /><Relationship Type="http://schemas.openxmlformats.org/officeDocument/2006/relationships/hyperlink" Target="https://www.tradingview.com/chart/Q1c5VWwD/?symbol=nyse%3Alpg" TargetMode="External" Id="rId16" /><Relationship Type="http://schemas.openxmlformats.org/officeDocument/2006/relationships/hyperlink" Target="https://www.tradingview.com/chart/Q1c5VWwD/?symbol=amex%3Adc" TargetMode="External" Id="rId17" /><Relationship Type="http://schemas.openxmlformats.org/officeDocument/2006/relationships/hyperlink" Target="https://www.tradingview.com/chart/Q1c5VWwD/?symbol=nyse%3Abby" TargetMode="External" Id="rId18" /><Relationship Type="http://schemas.openxmlformats.org/officeDocument/2006/relationships/hyperlink" Target="https://www.tradingview.com/chart/Q1c5VWwD/?symbol=nasdaq%3Ath" TargetMode="External" Id="rId19" /><Relationship Type="http://schemas.openxmlformats.org/officeDocument/2006/relationships/hyperlink" Target="https://www.tradingview.com/chart/Q1c5VWwD/?symbol=nyse%3Adino" TargetMode="External" Id="rId20" /><Relationship Type="http://schemas.openxmlformats.org/officeDocument/2006/relationships/hyperlink" Target="https://www.tradingview.com/chart/Q1c5VWwD/?symbol=nyse%3Apsx" TargetMode="External" Id="rId2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nasdaq%3Absvn" TargetMode="External" Id="rId3" /><Relationship Type="http://schemas.openxmlformats.org/officeDocument/2006/relationships/hyperlink" Target="https://www.tradingview.com/chart/Q1c5VWwD/?symbol=nasdaq%3Acrsr" TargetMode="External" Id="rId4" /><Relationship Type="http://schemas.openxmlformats.org/officeDocument/2006/relationships/hyperlink" Target="https://www.tradingview.com/chart/Q1c5VWwD/?symbol=nasdaq%3Acmrc" TargetMode="External" Id="rId5" /><Relationship Type="http://schemas.openxmlformats.org/officeDocument/2006/relationships/hyperlink" Target="https://www.tradingview.com/chart/Q1c5VWwD/?symbol=nasdaq%3Aomer" TargetMode="External" Id="rId6" /><Relationship Type="http://schemas.openxmlformats.org/officeDocument/2006/relationships/hyperlink" Target="https://www.tradingview.com/chart/Q1c5VWwD/?symbol=nasdaq%3Aasst" TargetMode="External" Id="rId7" /><Relationship Type="http://schemas.openxmlformats.org/officeDocument/2006/relationships/hyperlink" Target="https://www.tradingview.com/chart/Q1c5VWwD/?symbol=nasdaq%3Apurr" TargetMode="External" Id="rId8" /><Relationship Type="http://schemas.openxmlformats.org/officeDocument/2006/relationships/hyperlink" Target="https://www.tradingview.com/chart/Q1c5VWwD/?symbol=nyse%3Arng" TargetMode="External" Id="rId9" /><Relationship Type="http://schemas.openxmlformats.org/officeDocument/2006/relationships/hyperlink" Target="https://www.tradingview.com/chart/Q1c5VWwD/?symbol=nasdaq%3Aaso" TargetMode="External" Id="rId10" /><Relationship Type="http://schemas.openxmlformats.org/officeDocument/2006/relationships/hyperlink" Target="https://www.tradingview.com/chart/Q1c5VWwD/?symbol=nasdaq%3Aplse" TargetMode="External" Id="rId11" /><Relationship Type="http://schemas.openxmlformats.org/officeDocument/2006/relationships/hyperlink" Target="https://www.tradingview.com/chart/Q1c5VWwD/?symbol=nasdaq%3Abbnx" TargetMode="External" Id="rId12" /><Relationship Type="http://schemas.openxmlformats.org/officeDocument/2006/relationships/hyperlink" Target="https://www.tradingview.com/chart/Q1c5VWwD/?symbol=nasdaq%3Apkoh" TargetMode="External" Id="rId13" /><Relationship Type="http://schemas.openxmlformats.org/officeDocument/2006/relationships/hyperlink" Target="https://www.tradingview.com/chart/Q1c5VWwD/?symbol=nyse%3Aavtr" TargetMode="External" Id="rId14" /><Relationship Type="http://schemas.openxmlformats.org/officeDocument/2006/relationships/hyperlink" Target="https://www.tradingview.com/chart/Q1c5VWwD/?symbol=nyse%3Ahae" TargetMode="External" Id="rId15" /><Relationship Type="http://schemas.openxmlformats.org/officeDocument/2006/relationships/hyperlink" Target="https://www.tradingview.com/chart/Q1c5VWwD/?symbol=nasdaq%3Agemi" TargetMode="External" Id="rId16" /><Relationship Type="http://schemas.openxmlformats.org/officeDocument/2006/relationships/hyperlink" Target="https://www.tradingview.com/chart/Q1c5VWwD/?symbol=amex%3Aumac" TargetMode="External" Id="rId17" /><Relationship Type="http://schemas.openxmlformats.org/officeDocument/2006/relationships/hyperlink" Target="https://www.tradingview.com/chart/Q1c5VWwD/?symbol=nasdaq%3Autmd" TargetMode="External" Id="rId18" /><Relationship Type="http://schemas.openxmlformats.org/officeDocument/2006/relationships/hyperlink" Target="https://www.tradingview.com/chart/Q1c5VWwD/?symbol=nasdaq%3Abvs" TargetMode="External" Id="rId19" /><Relationship Type="http://schemas.openxmlformats.org/officeDocument/2006/relationships/hyperlink" Target="https://www.tradingview.com/chart/Q1c5VWwD/?symbol=nyse%3Akn" TargetMode="External" Id="rId20" /><Relationship Type="http://schemas.openxmlformats.org/officeDocument/2006/relationships/hyperlink" Target="https://www.tradingview.com/chart/Q1c5VWwD/?symbol=nasdaq%3Aflxs" TargetMode="External" Id="rId21" /><Relationship Type="http://schemas.openxmlformats.org/officeDocument/2006/relationships/hyperlink" Target="https://www.tradingview.com/chart/Q1c5VWwD/?symbol=nasdaq%3Aamba" TargetMode="External" Id="rId22" /><Relationship Type="http://schemas.openxmlformats.org/officeDocument/2006/relationships/hyperlink" Target="https://www.tradingview.com/chart/Q1c5VWwD/?symbol=amwl" TargetMode="External" Id="rId23" /><Relationship Type="http://schemas.openxmlformats.org/officeDocument/2006/relationships/hyperlink" Target="https://www.tradingview.com/chart/Q1c5VWwD/?symbol=nasdaq%3Aird" TargetMode="External" Id="rId24" /><Relationship Type="http://schemas.openxmlformats.org/officeDocument/2006/relationships/hyperlink" Target="https://www.tradingview.com/chart/Q1c5VWwD/?symbol=nyse%3Aestc" TargetMode="External" Id="rId25" /><Relationship Type="http://schemas.openxmlformats.org/officeDocument/2006/relationships/hyperlink" Target="https://www.tradingview.com/chart/Q1c5VWwD/?symbol=docs" TargetMode="External" Id="rId26" /><Relationship Type="http://schemas.openxmlformats.org/officeDocument/2006/relationships/hyperlink" Target="https://www.tradingview.com/chart/Q1c5VWwD/?symbol=ftk" TargetMode="External" Id="rId27" /><Relationship Type="http://schemas.openxmlformats.org/officeDocument/2006/relationships/hyperlink" Target="https://www.tradingview.com/chart/Q1c5VWwD/?symbol=agco" TargetMode="External" Id="rId28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nasdaq%3Absvn" TargetMode="External" Id="rId3" /><Relationship Type="http://schemas.openxmlformats.org/officeDocument/2006/relationships/hyperlink" Target="https://www.tradingview.com/chart/Q1c5VWwD/?symbol=nasdaq%3Absvn" TargetMode="External" Id="rId4" /><Relationship Type="http://schemas.openxmlformats.org/officeDocument/2006/relationships/hyperlink" Target="https://www.tradingview.com/chart/Q1c5VWwD/?symbol=nasdaq%3Acrsr" TargetMode="External" Id="rId5" /><Relationship Type="http://schemas.openxmlformats.org/officeDocument/2006/relationships/hyperlink" Target="https://www.tradingview.com/chart/Q1c5VWwD/?symbol=nasdaq%3Acmrc" TargetMode="External" Id="rId6" /><Relationship Type="http://schemas.openxmlformats.org/officeDocument/2006/relationships/hyperlink" Target="https://www.tradingview.com/chart/Q1c5VWwD/?symbol=nasdaq%3Aasst" TargetMode="External" Id="rId7" /><Relationship Type="http://schemas.openxmlformats.org/officeDocument/2006/relationships/hyperlink" Target="https://www.tradingview.com/chart/Q1c5VWwD/?symbol=nasdaq%3Aasst" TargetMode="External" Id="rId8" /><Relationship Type="http://schemas.openxmlformats.org/officeDocument/2006/relationships/hyperlink" Target="https://www.tradingview.com/chart/Q1c5VWwD/?symbol=nasdaq%3Agemi" TargetMode="External" Id="rId9" /><Relationship Type="http://schemas.openxmlformats.org/officeDocument/2006/relationships/hyperlink" Target="https://www.tradingview.com/chart/Q1c5VWwD/?symbol=nasdaq%3Agemi" TargetMode="External" Id="rId10" /><Relationship Type="http://schemas.openxmlformats.org/officeDocument/2006/relationships/hyperlink" Target="https://www.tradingview.com/chart/Q1c5VWwD/?symbol=amex%3Aumac" TargetMode="External" Id="rId11" /><Relationship Type="http://schemas.openxmlformats.org/officeDocument/2006/relationships/hyperlink" Target="https://www.tradingview.com/chart/Q1c5VWwD/?symbol=amex%3Aumac" TargetMode="External" Id="rId12" /><Relationship Type="http://schemas.openxmlformats.org/officeDocument/2006/relationships/hyperlink" Target="https://www.tradingview.com/chart/Q1c5VWwD/?symbol=nasdaq%3Apurr" TargetMode="External" Id="rId13" /><Relationship Type="http://schemas.openxmlformats.org/officeDocument/2006/relationships/hyperlink" Target="https://www.tradingview.com/chart/Q1c5VWwD/?symbol=nasdaq%3Apurr" TargetMode="External" Id="rId14" /><Relationship Type="http://schemas.openxmlformats.org/officeDocument/2006/relationships/hyperlink" Target="https://www.tradingview.com/chart/Q1c5VWwD/?symbol=nasdaq%3Apurr" TargetMode="External" Id="rId15" /><Relationship Type="http://schemas.openxmlformats.org/officeDocument/2006/relationships/hyperlink" Target="https://www.tradingview.com/chart/Q1c5VWwD/?symbol=nasdaq%3Autmd" TargetMode="External" Id="rId16" /><Relationship Type="http://schemas.openxmlformats.org/officeDocument/2006/relationships/hyperlink" Target="https://www.tradingview.com/chart/Q1c5VWwD/?symbol=nasdaq%3Autmd" TargetMode="External" Id="rId17" /><Relationship Type="http://schemas.openxmlformats.org/officeDocument/2006/relationships/hyperlink" Target="https://www.tradingview.com/chart/Q1c5VWwD/?symbol=nasdaq%3Abvs" TargetMode="External" Id="rId18" /><Relationship Type="http://schemas.openxmlformats.org/officeDocument/2006/relationships/hyperlink" Target="https://www.tradingview.com/chart/Q1c5VWwD/?symbol=nasdaq%3Aplse" TargetMode="External" Id="rId19" /><Relationship Type="http://schemas.openxmlformats.org/officeDocument/2006/relationships/hyperlink" Target="https://www.tradingview.com/chart/Q1c5VWwD/?symbol=nasdaq%3Abbnx" TargetMode="External" Id="rId20" /><Relationship Type="http://schemas.openxmlformats.org/officeDocument/2006/relationships/hyperlink" Target="https://www.tradingview.com/chart/Q1c5VWwD/?symbol=nasdaq%3Apkoh" TargetMode="External" Id="rId21" /><Relationship Type="http://schemas.openxmlformats.org/officeDocument/2006/relationships/hyperlink" Target="https://www.tradingview.com/chart/Q1c5VWwD/?symbol=nasdaq%3Apkoh" TargetMode="External" Id="rId22" /><Relationship Type="http://schemas.openxmlformats.org/officeDocument/2006/relationships/hyperlink" Target="https://www.tradingview.com/chart/Q1c5VWwD/?symbol=nasdaq%3Apkoh" TargetMode="External" Id="rId23" /><Relationship Type="http://schemas.openxmlformats.org/officeDocument/2006/relationships/hyperlink" Target="https://www.tradingview.com/chart/Q1c5VWwD/?symbol=nasdaq%3Aamba" TargetMode="External" Id="rId24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tradingview.com/chart/Q1c5VWwD/?symbol=nyse%3Acsr" TargetMode="External" Id="rId2" /><Relationship Type="http://schemas.openxmlformats.org/officeDocument/2006/relationships/hyperlink" Target="https://www.tradingview.com/chart/Q1c5VWwD/?symbol=nasdaq%3Absvn" TargetMode="External" Id="rId3" /><Relationship Type="http://schemas.openxmlformats.org/officeDocument/2006/relationships/hyperlink" Target="https://www.tradingview.com/chart/Q1c5VWwD/?symbol=nasdaq%3Acrsr" TargetMode="External" Id="rId4" /><Relationship Type="http://schemas.openxmlformats.org/officeDocument/2006/relationships/hyperlink" Target="https://www.tradingview.com/chart/Q1c5VWwD/?symbol=nasdaq%3Acmrc" TargetMode="External" Id="rId5" /><Relationship Type="http://schemas.openxmlformats.org/officeDocument/2006/relationships/hyperlink" Target="https://www.tradingview.com/chart/Q1c5VWwD/?symbol=nasdaq%3Aomer" TargetMode="External" Id="rId6" /><Relationship Type="http://schemas.openxmlformats.org/officeDocument/2006/relationships/hyperlink" Target="https://www.tradingview.com/chart/Q1c5VWwD/?symbol=nyse%3Ahae" TargetMode="External" Id="rId7" /><Relationship Type="http://schemas.openxmlformats.org/officeDocument/2006/relationships/hyperlink" Target="https://www.tradingview.com/chart/Q1c5VWwD/?symbol=nasdaq%3Aasst" TargetMode="External" Id="rId8" /><Relationship Type="http://schemas.openxmlformats.org/officeDocument/2006/relationships/hyperlink" Target="https://www.tradingview.com/chart/Q1c5VWwD/?symbol=nasdaq%3Agemi" TargetMode="External" Id="rId9" /><Relationship Type="http://schemas.openxmlformats.org/officeDocument/2006/relationships/hyperlink" Target="https://www.tradingview.com/chart/Q1c5VWwD/?symbol=amex%3Aumac" TargetMode="External" Id="rId10" /><Relationship Type="http://schemas.openxmlformats.org/officeDocument/2006/relationships/hyperlink" Target="https://www.tradingview.com/chart/Q1c5VWwD/?symbol=nasdaq%3Apurr" TargetMode="External" Id="rId11" /><Relationship Type="http://schemas.openxmlformats.org/officeDocument/2006/relationships/hyperlink" Target="https://www.tradingview.com/chart/Q1c5VWwD/?symbol=nasdaq%3Autmd" TargetMode="External" Id="rId12" /><Relationship Type="http://schemas.openxmlformats.org/officeDocument/2006/relationships/hyperlink" Target="https://www.tradingview.com/chart/Q1c5VWwD/?symbol=nyse%3Arng" TargetMode="External" Id="rId13" /><Relationship Type="http://schemas.openxmlformats.org/officeDocument/2006/relationships/hyperlink" Target="https://www.tradingview.com/chart/Q1c5VWwD/?symbol=nasdaq%3Aaso" TargetMode="External" Id="rId14" /><Relationship Type="http://schemas.openxmlformats.org/officeDocument/2006/relationships/hyperlink" Target="https://www.tradingview.com/chart/Q1c5VWwD/?symbol=nasdaq%3Abvs" TargetMode="External" Id="rId15" /><Relationship Type="http://schemas.openxmlformats.org/officeDocument/2006/relationships/hyperlink" Target="https://www.tradingview.com/chart/Q1c5VWwD/?symbol=nasdaq%3Aplse" TargetMode="External" Id="rId16" /><Relationship Type="http://schemas.openxmlformats.org/officeDocument/2006/relationships/hyperlink" Target="https://www.tradingview.com/chart/Q1c5VWwD/?symbol=nasdaq%3Abbnx" TargetMode="External" Id="rId17" /><Relationship Type="http://schemas.openxmlformats.org/officeDocument/2006/relationships/hyperlink" Target="https://www.tradingview.com/chart/Q1c5VWwD/?symbol=nasdaq%3Apkoh" TargetMode="External" Id="rId18" /><Relationship Type="http://schemas.openxmlformats.org/officeDocument/2006/relationships/hyperlink" Target="https://www.tradingview.com/chart/Q1c5VWwD/?symbol=nyse%3Akn" TargetMode="External" Id="rId19" /><Relationship Type="http://schemas.openxmlformats.org/officeDocument/2006/relationships/hyperlink" Target="https://www.tradingview.com/chart/Q1c5VWwD/?symbol=nasdaq%3Aflxs" TargetMode="External" Id="rId20" /><Relationship Type="http://schemas.openxmlformats.org/officeDocument/2006/relationships/hyperlink" Target="https://www.tradingview.com/chart/Q1c5VWwD/?symbol=nyse%3Aavtr" TargetMode="External" Id="rId21" /><Relationship Type="http://schemas.openxmlformats.org/officeDocument/2006/relationships/hyperlink" Target="https://www.tradingview.com/chart/Q1c5VWwD/?symbol=nasdaq%3Aamba" TargetMode="External" Id="rId22" /></Relationships>
</file>

<file path=xl/worksheets/_rels/sheet16.xml.rels><Relationships xmlns="http://schemas.openxmlformats.org/package/2006/relationships"><Relationship Type="http://schemas.openxmlformats.org/officeDocument/2006/relationships/hyperlink" Target="https://www.tradingview.com/chart/Q1c5VWwD/?symbol=amex%3Arlgt" TargetMode="External" Id="rId1" /><Relationship Type="http://schemas.openxmlformats.org/officeDocument/2006/relationships/hyperlink" Target="https://www.benzinga.com/quote/RLGT" TargetMode="External" Id="rId2" /><Relationship Type="http://schemas.openxmlformats.org/officeDocument/2006/relationships/hyperlink" Target="https://www.tradingview.com/chart/Q1c5VWwD/?symbol=nyse%3Acsr" TargetMode="External" Id="rId3" /><Relationship Type="http://schemas.openxmlformats.org/officeDocument/2006/relationships/hyperlink" Target="https://www.stocktitan.net/sec-filings/CSR/8-k-centerspace-reports-material-event-e33b27466930.html" TargetMode="External" Id="rId4" /><Relationship Type="http://schemas.openxmlformats.org/officeDocument/2006/relationships/hyperlink" Target="https://www.tradingview.com/chart/Q1c5VWwD/?symbol=nasdaq%3Absvn" TargetMode="External" Id="rId5" /><Relationship Type="http://schemas.openxmlformats.org/officeDocument/2006/relationships/hyperlink" Target="https://www.stocktitan.net/overview/BSVN/" TargetMode="External" Id="rId6" /><Relationship Type="http://schemas.openxmlformats.org/officeDocument/2006/relationships/hyperlink" Target="https://www.tradingview.com/chart/Q1c5VWwD/?symbol=nasdaq%3Acrsr" TargetMode="External" Id="rId7" /><Relationship Type="http://schemas.openxmlformats.org/officeDocument/2006/relationships/hyperlink" Target="https://www.fool.com/investing/2026/05/28/corsair-gaming-stock-takes-off-after-unveiling-new/" TargetMode="External" Id="rId8" /><Relationship Type="http://schemas.openxmlformats.org/officeDocument/2006/relationships/hyperlink" Target="https://www.tradingview.com/chart/Q1c5VWwD/?symbol=nasdaq%3Acmrc" TargetMode="External" Id="rId9" /><Relationship Type="http://schemas.openxmlformats.org/officeDocument/2006/relationships/hyperlink" Target="https://www.investing.com/news/stock-market-news/commercecom-stock-jumps-8-on-profitability-plan-93CH-4895934" TargetMode="External" Id="rId10" /><Relationship Type="http://schemas.openxmlformats.org/officeDocument/2006/relationships/hyperlink" Target="https://www.tradingview.com/chart/Q1c5VWwD/?symbol=nasdaq%3Aomer" TargetMode="External" Id="rId11" /><Relationship Type="http://schemas.openxmlformats.org/officeDocument/2006/relationships/hyperlink" Target="https://www.gurufocus.com/news/9031316/omeros-corp-omer-shares-surge-15-on-q2-boost-pricetosales-valuation-raises-growth-expectations" TargetMode="External" Id="rId12" /><Relationship Type="http://schemas.openxmlformats.org/officeDocument/2006/relationships/hyperlink" Target="https://www.tradingview.com/chart/Q1c5VWwD/?symbol=nyse%3Ahae" TargetMode="External" Id="rId13" /><Relationship Type="http://schemas.openxmlformats.org/officeDocument/2006/relationships/hyperlink" Target="https://www.sec.gov/Archives/edgar/data/0000313143/000031314326000135/hae-20260818.htm" TargetMode="External" Id="rId14" /><Relationship Type="http://schemas.openxmlformats.org/officeDocument/2006/relationships/hyperlink" Target="https://www.tradingview.com/chart/Q1c5VWwD/?symbol=nasdaq%3Aasst" TargetMode="External" Id="rId15" /><Relationship Type="http://schemas.openxmlformats.org/officeDocument/2006/relationships/hyperlink" Target="https://www.investing.com/news/stock-market-news/why-is-strive-stock-surging-over-8-today-93CH-4871604" TargetMode="External" Id="rId16" /><Relationship Type="http://schemas.openxmlformats.org/officeDocument/2006/relationships/hyperlink" Target="https://www.tradingview.com/chart/Q1c5VWwD/?symbol=nasdaq%3Agemi" TargetMode="External" Id="rId17" /><Relationship Type="http://schemas.openxmlformats.org/officeDocument/2006/relationships/hyperlink" Target="https://www.fool.com/investing/2026/09/18/why-gemini-space-station-stock-jumped-312-today/" TargetMode="External" Id="rId18" /><Relationship Type="http://schemas.openxmlformats.org/officeDocument/2006/relationships/hyperlink" Target="https://www.tradingview.com/chart/Q1c5VWwD/?symbol=amex%3Aumac" TargetMode="External" Id="rId19" /><Relationship Type="http://schemas.openxmlformats.org/officeDocument/2006/relationships/hyperlink" Target="https://www.fool.com/investing/2026/05/28/why-unusual-machines-stock-is-having-a-massive-bul/" TargetMode="External" Id="rId20" /><Relationship Type="http://schemas.openxmlformats.org/officeDocument/2006/relationships/hyperlink" Target="https://www.tradingview.com/chart/Q1c5VWwD/?symbol=nasdaq%3Apurr" TargetMode="External" Id="rId21" /><Relationship Type="http://schemas.openxmlformats.org/officeDocument/2006/relationships/hyperlink" Target="https://www.gurufocus.com/news/9096248/hyperliquid-strategies-inc-purr-shows-mixed-signals-amid-rising-options-optimism" TargetMode="External" Id="rId22" /><Relationship Type="http://schemas.openxmlformats.org/officeDocument/2006/relationships/hyperlink" Target="https://www.tradingview.com/chart/Q1c5VWwD/?symbol=nasdaq%3Autmd" TargetMode="External" Id="rId23" /><Relationship Type="http://schemas.openxmlformats.org/officeDocument/2006/relationships/hyperlink" Target="https://www.macrotrends.net/stocks/charts/UTMD/utah-medical-products/stock-price-history" TargetMode="External" Id="rId24" /><Relationship Type="http://schemas.openxmlformats.org/officeDocument/2006/relationships/hyperlink" Target="https://www.tradingview.com/chart/Q1c5VWwD/?symbol=nyse%3Arng" TargetMode="External" Id="rId25" /><Relationship Type="http://schemas.openxmlformats.org/officeDocument/2006/relationships/hyperlink" Target="https://www.tikr.com/blog/rng-ringcentral-nyse-stock-skyrockets-after-reporting-strong-cash-flow-and-artificial-intelligence-momentum" TargetMode="External" Id="rId26" /><Relationship Type="http://schemas.openxmlformats.org/officeDocument/2006/relationships/hyperlink" Target="https://www.tradingview.com/chart/Q1c5VWwD/?symbol=nasdaq%3Aaso" TargetMode="External" Id="rId27" /><Relationship Type="http://schemas.openxmlformats.org/officeDocument/2006/relationships/hyperlink" Target="https://www.investing.com/news/company-news/academy-sports-q2-2026-slides-eps-beats-on-margin-gains-shares-jump-93CH-4894101" TargetMode="External" Id="rId28" /><Relationship Type="http://schemas.openxmlformats.org/officeDocument/2006/relationships/hyperlink" Target="https://www.tradingview.com/chart/Q1c5VWwD/?symbol=nasdaq%3Abvs" TargetMode="External" Id="rId29" /><Relationship Type="http://schemas.openxmlformats.org/officeDocument/2006/relationships/hyperlink" Target="https://simplywall.st/stocks/us/healthcare/nasdaq-bvs/bioventus/news/bioventus-bvs-stock-jumps-on-profit-strength-as-growth-risks/amp" TargetMode="External" Id="rId30" /><Relationship Type="http://schemas.openxmlformats.org/officeDocument/2006/relationships/hyperlink" Target="https://www.tradingview.com/chart/Q1c5VWwD/?symbol=nasdaq%3Aplse" TargetMode="External" Id="rId31" /><Relationship Type="http://schemas.openxmlformats.org/officeDocument/2006/relationships/hyperlink" Target="https://www.stocktitan.net/overview/PLSE/" TargetMode="External" Id="rId32" /><Relationship Type="http://schemas.openxmlformats.org/officeDocument/2006/relationships/hyperlink" Target="https://www.tradingview.com/chart/Q1c5VWwD/?symbol=nasdaq%3Abbnx" TargetMode="External" Id="rId33" /><Relationship Type="http://schemas.openxmlformats.org/officeDocument/2006/relationships/hyperlink" Target="https://finance.yahoo.com/markets/stocks/articles/beta-bionics-inc-bbnx-surges-102100393.html" TargetMode="External" Id="rId34" /><Relationship Type="http://schemas.openxmlformats.org/officeDocument/2006/relationships/hyperlink" Target="https://www.tradingview.com/chart/Q1c5VWwD/?symbol=nasdaq%3Apkoh" TargetMode="External" Id="rId35" /><Relationship Type="http://schemas.openxmlformats.org/officeDocument/2006/relationships/hyperlink" Target="https://www.sec.gov/Archives/edgar/data/0000076282/000007628226000025/pkoh20260630-ex991earnings.htm" TargetMode="External" Id="rId36" /><Relationship Type="http://schemas.openxmlformats.org/officeDocument/2006/relationships/hyperlink" Target="https://www.tradingview.com/chart/Q1c5VWwD/?symbol=nyse%3Akn" TargetMode="External" Id="rId37" /><Relationship Type="http://schemas.openxmlformats.org/officeDocument/2006/relationships/hyperlink" Target="https://www.marketbeat.com/instant-alerts/knowles-nysekn-releases-earnings-results-beats-estimates-by-003-eps-2026-07-23/" TargetMode="External" Id="rId38" /><Relationship Type="http://schemas.openxmlformats.org/officeDocument/2006/relationships/hyperlink" Target="https://www.tradingview.com/chart/Q1c5VWwD/?symbol=nasdaq%3Aflxs" TargetMode="External" Id="rId39" /><Relationship Type="http://schemas.openxmlformats.org/officeDocument/2006/relationships/hyperlink" Target="https://simplywall.st/stocks/us/consumer-durables/nasdaq-flxs/flexsteel-industries/news/flexsteel-flxs-stock-jumps-as-margin-gains-outrun-cautious-o" TargetMode="External" Id="rId40" /><Relationship Type="http://schemas.openxmlformats.org/officeDocument/2006/relationships/hyperlink" Target="https://www.tradingview.com/chart/Q1c5VWwD/?symbol=nyse%3Aavtr" TargetMode="External" Id="rId41" /><Relationship Type="http://schemas.openxmlformats.org/officeDocument/2006/relationships/hyperlink" Target="https://www.investing.com/news/company-news/avantor-q2-2026-presentation-vwr-returns-to-growth-shares-surge-93CH-4820448" TargetMode="External" Id="rId42" /><Relationship Type="http://schemas.openxmlformats.org/officeDocument/2006/relationships/hyperlink" Target="https://www.tradingview.com/chart/Q1c5VWwD/?symbol=nasdaq%3Aamba" TargetMode="External" Id="rId43" /><Relationship Type="http://schemas.openxmlformats.org/officeDocument/2006/relationships/hyperlink" Target="https://www.gurufocus.com/news/8939101/ambarella-amba-sees-significant-228-surge-in-stock-price?mobile=true" TargetMode="External" Id="rId44" /><Relationship Type="http://schemas.openxmlformats.org/officeDocument/2006/relationships/hyperlink" Target="https://krmg.com/2026/09/29/how-major-us-stock-indexes-fared-tuesday-9-29-2026/" TargetMode="External" Id="rId45" /><Relationship Type="http://schemas.openxmlformats.org/officeDocument/2006/relationships/hyperlink" Target="https://www.cnbc.com/2026/09/28/stock-market-today-live-updates.html" TargetMode="External" Id="rId46" /><Relationship Type="http://schemas.openxmlformats.org/officeDocument/2006/relationships/hyperlink" Target="https://krmg.com/2026/09/30/how-major-us-stock-indexes-fared-wednesday-9-30-2026/" TargetMode="External" Id="rId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R23.00 更新重點</t>
        </is>
      </c>
    </row>
    <row r="3" ht="45" customHeight="1">
      <c r="A3" s="2" t="n">
        <v>1</v>
      </c>
      <c r="B3" s="3" t="inlineStr">
        <is>
          <t>篩選條件按你嘅四點更新：① 有熱錢及消息驅動（高位前 60 日內有一日 ≥+8% 或跳空 ≥+5%、成交量 ≥3× 50 日均量；升浪期成交額 ≥ 前 60 日 2 倍）② 曾有 10MA 上升（近 30 日內通過 R1–R20 嘅 10MA 測試：10 日升 ≥5%、最後三值遞升、10 步升 ≥7 步）③ 回落到 20MA（MA20 向上、高位 2–25 日前、回調 3–30%、高位時高過 MA20 ≥8%、收市喺 MA20 ±3% 兼近 3 日觸及）④ 波幅減低（ATR5 ≤ 0.9× ATR20 兼 ≤ 0.7× 升浪期 ATR）。細節見「篩選規則」頁。</t>
        </is>
      </c>
    </row>
    <row r="4" ht="18" customHeight="1">
      <c r="A4" s="2" t="n">
        <v>2</v>
      </c>
      <c r="B4" s="3" t="inlineStr">
        <is>
          <t>數據更新至 2026-09-30 收市（254 個交易日，2025-09-26 起）。</t>
        </is>
      </c>
    </row>
    <row r="5" ht="18" customHeight="1">
      <c r="A5" s="2" t="n">
        <v>3</v>
      </c>
      <c r="B5" s="3" t="inlineStr">
        <is>
          <t>合資格 2,762 隻 → 第一梯隊 3 隻（RLGT、CSR、BSVN）；每個門檻放寬一級嘅第二梯隊 19 隻。分頁改為 大型／中型／小型。</t>
        </is>
      </c>
    </row>
    <row r="6" ht="18" customHeight="1">
      <c r="A6" s="2" t="n">
        <v>4</v>
      </c>
      <c r="B6" s="3" t="inlineStr">
        <is>
          <t>評分改為 熱錢分數 0.25 + 10MA分數 0.20 + 回調質素 0.30 + 波幅收窄 0.25（每項 0–100，公式喺總表）。</t>
        </is>
      </c>
    </row>
    <row r="7" ht="18" customHeight="1">
      <c r="A7" s="2" t="n">
        <v>5</v>
      </c>
      <c r="B7" s="3" t="inlineStr">
        <is>
          <t>R22 向前測試（2 日）：中位數 +0.69%，大市 -1.02%；2 隻 R22 股喺新條件下仍上榜。</t>
        </is>
      </c>
    </row>
    <row r="8" ht="18" customHeight="1">
      <c r="A8" s="2" t="n">
        <v>6</v>
      </c>
      <c r="B8" s="3" t="inlineStr">
        <is>
          <t>逐隻查咗事件日當日嘅新聞（催化劑頁有來源）：CSR 係全換股併購目標；3 隻係加密貨幣庫存股；UMAC 係傳聞；AMBA 係分析員推介。</t>
        </is>
      </c>
    </row>
    <row r="9" ht="18" customHeight="1">
      <c r="A9" s="2" t="n">
        <v>7</v>
      </c>
      <c r="B9" s="3" t="inlineStr">
        <is>
          <t>容器重設令 Nasdaq 序列檔消失：上市日期改由保存嘅審計檔提供，加 SPAC 空殼期偵測；兩源核對只剩收市後快照。</t>
        </is>
      </c>
    </row>
    <row r="10" ht="18" customHeight="1">
      <c r="A10" s="2" t="n">
        <v>8</v>
      </c>
      <c r="B10" s="3" t="inlineStr">
        <is>
          <t>獨立重寫嘅篩選程式對兩個梯隊共 22 隻 0 差異。所有代號連 TradingView；可推導欄位全部係公式。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8" customWidth="1" min="3" max="3"/>
    <col width="26" customWidth="1" min="4" max="4"/>
    <col width="7" customWidth="1" min="5" max="5"/>
    <col width="9" customWidth="1" min="6" max="6"/>
    <col width="24" customWidth="1" min="7" max="7"/>
    <col width="9" customWidth="1" min="8" max="8"/>
    <col width="6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7" customWidth="1" min="17" max="17"/>
    <col width="9" customWidth="1" min="18" max="18"/>
    <col width="9" customWidth="1" min="19" max="19"/>
    <col width="7" customWidth="1" min="20" max="20"/>
    <col width="9" customWidth="1" min="21" max="21"/>
    <col width="10" customWidth="1" min="22" max="22"/>
    <col width="7" customWidth="1" min="23" max="23"/>
    <col width="7" customWidth="1" min="24" max="24"/>
    <col width="10" customWidth="1" min="25" max="25"/>
    <col width="6" customWidth="1" min="26" max="26"/>
    <col width="7" customWidth="1" min="27" max="27"/>
    <col width="8" customWidth="1" min="28" max="28"/>
    <col width="8" customWidth="1" min="29" max="29"/>
    <col width="10" customWidth="1" min="30" max="30"/>
    <col width="7" customWidth="1" min="31" max="31"/>
    <col width="7" customWidth="1" min="32" max="32"/>
    <col width="8" customWidth="1" min="33" max="33"/>
    <col width="6" customWidth="1" min="34" max="34"/>
    <col width="11" customWidth="1" min="35" max="35"/>
    <col width="11" customWidth="1" min="36" max="36"/>
    <col width="7" customWidth="1" min="37" max="37"/>
    <col width="10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7" customWidth="1" min="59" max="59"/>
    <col width="7" customWidth="1" min="60" max="60"/>
    <col width="7" customWidth="1" min="61" max="61"/>
    <col width="7" customWidth="1" min="62" max="62"/>
    <col width="8" customWidth="1" min="63" max="63"/>
    <col width="22" customWidth="1" min="64" max="64"/>
    <col width="7" customWidth="1" min="65" max="65"/>
    <col width="8" customWidth="1" min="66" max="66"/>
    <col width="40" customWidth="1" min="67" max="67"/>
    <col width="8" customWidth="1" min="68" max="68"/>
  </cols>
  <sheetData>
    <row r="1" ht="42" customHeight="1">
      <c r="A1" s="4" t="inlineStr">
        <is>
          <t>梯隊</t>
        </is>
      </c>
      <c r="B1" s="4" t="inlineStr">
        <is>
          <t>排名</t>
        </is>
      </c>
      <c r="C1" s="4" t="inlineStr">
        <is>
          <t>代號</t>
        </is>
      </c>
      <c r="D1" s="4" t="inlineStr">
        <is>
          <t>公司</t>
        </is>
      </c>
      <c r="E1" s="4" t="inlineStr">
        <is>
          <t>交易所</t>
        </is>
      </c>
      <c r="F1" s="4" t="inlineStr">
        <is>
          <t>板塊</t>
        </is>
      </c>
      <c r="G1" s="4" t="inlineStr">
        <is>
          <t>行業</t>
        </is>
      </c>
      <c r="H1" s="4" t="inlineStr">
        <is>
          <t>市值(十億美元)</t>
        </is>
      </c>
      <c r="I1" s="4" t="inlineStr">
        <is>
          <t>市值組</t>
        </is>
      </c>
      <c r="J1" s="4" t="inlineStr">
        <is>
          <t>收市價</t>
        </is>
      </c>
      <c r="K1" s="4" t="inlineStr">
        <is>
          <t>前收</t>
        </is>
      </c>
      <c r="L1" s="4" t="inlineStr">
        <is>
          <t>當日%</t>
        </is>
      </c>
      <c r="M1" s="4" t="inlineStr">
        <is>
          <t>當日高</t>
        </is>
      </c>
      <c r="N1" s="4" t="inlineStr">
        <is>
          <t>當日低</t>
        </is>
      </c>
      <c r="O1" s="4" t="inlineStr">
        <is>
          <t>MA10</t>
        </is>
      </c>
      <c r="P1" s="4" t="inlineStr">
        <is>
          <t>MA20</t>
        </is>
      </c>
      <c r="Q1" s="4" t="inlineStr">
        <is>
          <t>距MA20%</t>
        </is>
      </c>
      <c r="R1" s="4" t="inlineStr">
        <is>
          <t>MA50</t>
        </is>
      </c>
      <c r="S1" s="4" t="inlineStr">
        <is>
          <t>MA20（5日前）</t>
        </is>
      </c>
      <c r="T1" s="4" t="inlineStr">
        <is>
          <t>MA20 5日斜率%</t>
        </is>
      </c>
      <c r="U1" s="4" t="inlineStr">
        <is>
          <t>63日最高收市</t>
        </is>
      </c>
      <c r="V1" s="4" t="inlineStr">
        <is>
          <t>高位日期</t>
        </is>
      </c>
      <c r="W1" s="4" t="inlineStr">
        <is>
          <t>高位至今（交易日）</t>
        </is>
      </c>
      <c r="X1" s="4" t="inlineStr">
        <is>
          <t>距高位%</t>
        </is>
      </c>
      <c r="Y1" s="4" t="inlineStr">
        <is>
          <t>升浪起點</t>
        </is>
      </c>
      <c r="Z1" s="4" t="inlineStr">
        <is>
          <t>升浪日數</t>
        </is>
      </c>
      <c r="AA1" s="4" t="inlineStr">
        <is>
          <t>升浪幅度%</t>
        </is>
      </c>
      <c r="AB1" s="4" t="inlineStr">
        <is>
          <t>高位時高過MA20%</t>
        </is>
      </c>
      <c r="AC1" s="4" t="inlineStr">
        <is>
          <t>近3日最低價距MA20%</t>
        </is>
      </c>
      <c r="AD1" s="4" t="inlineStr">
        <is>
          <t>事件日</t>
        </is>
      </c>
      <c r="AE1" s="4" t="inlineStr">
        <is>
          <t>事件日升幅</t>
        </is>
      </c>
      <c r="AF1" s="4" t="inlineStr">
        <is>
          <t>事件日跳空</t>
        </is>
      </c>
      <c r="AG1" s="4" t="inlineStr">
        <is>
          <t>事件日量比（×50日均量）</t>
        </is>
      </c>
      <c r="AH1" s="4" t="inlineStr">
        <is>
          <t>事件日數目</t>
        </is>
      </c>
      <c r="AI1" s="4" t="inlineStr">
        <is>
          <t>升浪成交額（日均）</t>
        </is>
      </c>
      <c r="AJ1" s="4" t="inlineStr">
        <is>
          <t>升浪前60日成交額（日均）</t>
        </is>
      </c>
      <c r="AK1" s="4" t="inlineStr">
        <is>
          <t>升浪成交額比</t>
        </is>
      </c>
      <c r="AL1" s="4" t="inlineStr">
        <is>
          <t>10MA上升日期</t>
        </is>
      </c>
      <c r="AM1" s="4" t="inlineStr">
        <is>
          <t>MA10 10日升幅</t>
        </is>
      </c>
      <c r="AN1" s="4" t="inlineStr">
        <is>
          <t>MA10上升步比例</t>
        </is>
      </c>
      <c r="AO1" s="4" t="inlineStr">
        <is>
          <t>回調量比</t>
        </is>
      </c>
      <c r="AP1" s="4" t="inlineStr">
        <is>
          <t>ATR5%</t>
        </is>
      </c>
      <c r="AQ1" s="4" t="inlineStr">
        <is>
          <t>ATR20%</t>
        </is>
      </c>
      <c r="AR1" s="4" t="inlineStr">
        <is>
          <t>升浪期ATR%</t>
        </is>
      </c>
      <c r="AS1" s="4" t="inlineStr">
        <is>
          <t>ATR5/ATR20</t>
        </is>
      </c>
      <c r="AT1" s="4" t="inlineStr">
        <is>
          <t>ATR5/升浪ATR</t>
        </is>
      </c>
      <c r="AU1" s="4" t="inlineStr">
        <is>
          <t>成交額分</t>
        </is>
      </c>
      <c r="AV1" s="4" t="inlineStr">
        <is>
          <t>事件量分</t>
        </is>
      </c>
      <c r="AW1" s="4" t="inlineStr">
        <is>
          <t>升浪分</t>
        </is>
      </c>
      <c r="AX1" s="4" t="inlineStr">
        <is>
          <t>10MA升幅分</t>
        </is>
      </c>
      <c r="AY1" s="4" t="inlineStr">
        <is>
          <t>10MA步分</t>
        </is>
      </c>
      <c r="AZ1" s="4" t="inlineStr">
        <is>
          <t>量縮</t>
        </is>
      </c>
      <c r="BA1" s="4" t="inlineStr">
        <is>
          <t>貼近MA20</t>
        </is>
      </c>
      <c r="BB1" s="4" t="inlineStr">
        <is>
          <t>MA20斜率分</t>
        </is>
      </c>
      <c r="BC1" s="4" t="inlineStr">
        <is>
          <t>回調深度分</t>
        </is>
      </c>
      <c r="BD1" s="4" t="inlineStr">
        <is>
          <t>企穩</t>
        </is>
      </c>
      <c r="BE1" s="4" t="inlineStr">
        <is>
          <t>短期收窄</t>
        </is>
      </c>
      <c r="BF1" s="4" t="inlineStr">
        <is>
          <t>對升浪收窄</t>
        </is>
      </c>
      <c r="BG1" s="4" t="inlineStr">
        <is>
          <t>熱錢分數</t>
        </is>
      </c>
      <c r="BH1" s="4" t="inlineStr">
        <is>
          <t>10MA分數</t>
        </is>
      </c>
      <c r="BI1" s="4" t="inlineStr">
        <is>
          <t>回調質素</t>
        </is>
      </c>
      <c r="BJ1" s="4" t="inlineStr">
        <is>
          <t>波幅收窄</t>
        </is>
      </c>
      <c r="BK1" s="4" t="inlineStr">
        <is>
          <t>綜合分數</t>
        </is>
      </c>
      <c r="BL1" s="4" t="inlineStr">
        <is>
          <t>唔過嘅條件（梯隊2）</t>
        </is>
      </c>
      <c r="BM1" s="4" t="inlineStr">
        <is>
          <t>R22 排名</t>
        </is>
      </c>
      <c r="BN1" s="4" t="inlineStr">
        <is>
          <t>門檻測試留低</t>
        </is>
      </c>
      <c r="BO1" s="4" t="inlineStr">
        <is>
          <t>審視標記</t>
        </is>
      </c>
      <c r="BP1" s="4" t="inlineStr">
        <is>
          <t>兩源最大差%</t>
        </is>
      </c>
    </row>
    <row r="2">
      <c r="A2" s="5" t="n">
        <v>1</v>
      </c>
      <c r="B2" s="6">
        <f>COUNTIFS($A$2:$A$23,A2,$BK$2:$BK$23,"&gt;"&amp;BK2)+1</f>
        <v/>
      </c>
      <c r="C2" s="7" t="inlineStr">
        <is>
          <t>RLGT</t>
        </is>
      </c>
      <c r="D2" s="8" t="inlineStr">
        <is>
          <t>Radiant Logistics Inc.</t>
        </is>
      </c>
      <c r="E2" s="2" t="inlineStr">
        <is>
          <t>AMEX</t>
        </is>
      </c>
      <c r="F2" s="2" t="inlineStr">
        <is>
          <t>工業</t>
        </is>
      </c>
      <c r="G2" s="2" t="inlineStr">
        <is>
          <t>Integrated Freight &amp; Logistics</t>
        </is>
      </c>
      <c r="H2" s="9" t="n">
        <v>0.412</v>
      </c>
      <c r="I2" s="2" t="inlineStr">
        <is>
          <t>小型</t>
        </is>
      </c>
      <c r="J2" s="10" t="n">
        <v>8.69</v>
      </c>
      <c r="K2" s="10" t="n">
        <v>8.779999999999999</v>
      </c>
      <c r="L2" s="11">
        <f>J2/K2-1</f>
        <v/>
      </c>
      <c r="M2" s="10" t="n">
        <v>8.85</v>
      </c>
      <c r="N2" s="10" t="n">
        <v>8.65</v>
      </c>
      <c r="O2" s="10" t="n">
        <v>8.689000000000011</v>
      </c>
      <c r="P2" s="10" t="n">
        <v>8.599500000000011</v>
      </c>
      <c r="Q2" s="11">
        <f>J2/P2-1</f>
        <v/>
      </c>
      <c r="R2" s="10" t="n">
        <v>8.585000000000004</v>
      </c>
      <c r="S2" s="10" t="n">
        <v>8.571500000000015</v>
      </c>
      <c r="T2" s="11">
        <f>P2/S2-1</f>
        <v/>
      </c>
      <c r="U2" s="10" t="n">
        <v>9.81</v>
      </c>
      <c r="V2" s="2" t="inlineStr">
        <is>
          <t>2026-09-15</t>
        </is>
      </c>
      <c r="W2" s="12" t="n">
        <v>11</v>
      </c>
      <c r="X2" s="13">
        <f>J2/U2-1</f>
        <v/>
      </c>
      <c r="Y2" s="2" t="inlineStr">
        <is>
          <t>2026-09-11</t>
        </is>
      </c>
      <c r="Z2" s="12" t="n">
        <v>2</v>
      </c>
      <c r="AA2" s="14" t="n">
        <v>0.2066420664206641</v>
      </c>
      <c r="AB2" s="15" t="n">
        <v>0.1517464044614005</v>
      </c>
      <c r="AC2" s="16" t="n">
        <v>-0.009045812664138397</v>
      </c>
      <c r="AD2" s="2" t="inlineStr">
        <is>
          <t>2026-09-15</t>
        </is>
      </c>
      <c r="AE2" s="15" t="n">
        <v>0.194884287454324</v>
      </c>
      <c r="AF2" s="15" t="n">
        <v>0.1510353227771009</v>
      </c>
      <c r="AG2" s="17" t="n">
        <v>23.12534487265124</v>
      </c>
      <c r="AH2" s="12" t="n">
        <v>1</v>
      </c>
      <c r="AI2" s="18" t="n">
        <v>8238108.6</v>
      </c>
      <c r="AJ2" s="18" t="n">
        <v>1211309.466666667</v>
      </c>
      <c r="AK2" s="19">
        <f>AI2/AJ2</f>
        <v/>
      </c>
      <c r="AL2" s="2" t="inlineStr">
        <is>
          <t>2026-09-28</t>
        </is>
      </c>
      <c r="AM2" s="15" t="n">
        <v>0.06396049144784044</v>
      </c>
      <c r="AN2" s="14" t="n">
        <v>1</v>
      </c>
      <c r="AO2" s="9" t="n">
        <v>0.8807384464411665</v>
      </c>
      <c r="AP2" s="16" t="n">
        <v>0.02217462740179011</v>
      </c>
      <c r="AQ2" s="16" t="n">
        <v>0.0415438908383195</v>
      </c>
      <c r="AR2" s="16" t="n">
        <v>0.06895232359709531</v>
      </c>
      <c r="AS2" s="19">
        <f>AP2/AQ2</f>
        <v/>
      </c>
      <c r="AT2" s="19">
        <f>AP2/AR2</f>
        <v/>
      </c>
      <c r="AU2" s="19">
        <f>MAX(0,MIN(1,(AK2-2)/4))</f>
        <v/>
      </c>
      <c r="AV2" s="19">
        <f>MAX(0,MIN(1,(AG2-3)/7))</f>
        <v/>
      </c>
      <c r="AW2" s="19">
        <f>MAX(0,MIN(1,(AA2-0.25)/0.75))</f>
        <v/>
      </c>
      <c r="AX2" s="19">
        <f>MAX(0,MIN(1,(AM2-0.05)/0.2))</f>
        <v/>
      </c>
      <c r="AY2" s="19">
        <f>MAX(0,MIN(1,(AN2-0.7)/0.3))</f>
        <v/>
      </c>
      <c r="AZ2" s="19">
        <f>MAX(0,MIN(1,(AO2-1.2)/(0.6-1.2)))</f>
        <v/>
      </c>
      <c r="BA2" s="19">
        <f>MAX(0,MIN(1,(ABS(Q2)-0.03)/(0-0.03)))</f>
        <v/>
      </c>
      <c r="BB2" s="19">
        <f>MAX(0,MIN(1,T2/0.03))</f>
        <v/>
      </c>
      <c r="BC2" s="19">
        <f>MAX(0,MIN(1,(-X2-0.3)/(0.15-0.3)))</f>
        <v/>
      </c>
      <c r="BD2" s="19">
        <f>0.5*IF(M2&gt;N2,(J2-N2)/(M2-N2),0.5)+0.5*(J2&gt;=P2)</f>
        <v/>
      </c>
      <c r="BE2" s="19">
        <f>MAX(0,MIN(1,(AS2-0.9)/(0.5-0.9)))</f>
        <v/>
      </c>
      <c r="BF2" s="19">
        <f>MAX(0,MIN(1,(AT2-0.7)/(0.3-0.7)))</f>
        <v/>
      </c>
      <c r="BG2" s="20">
        <f>100*(0.4*AU2+0.3*AV2+0.3*AW2)</f>
        <v/>
      </c>
      <c r="BH2" s="20">
        <f>100*(0.5*AX2+0.5*AY2)</f>
        <v/>
      </c>
      <c r="BI2" s="20">
        <f>100*(0.3*AZ2+0.25*BA2+0.2*BB2+0.1*BC2+0.15*BD2)</f>
        <v/>
      </c>
      <c r="BJ2" s="20">
        <f>100*(0.5*BE2+0.5*BF2)</f>
        <v/>
      </c>
      <c r="BK2" s="21">
        <f>0.25*BG2+0.2*BH2+0.3*BI2+0.25*BJ2</f>
        <v/>
      </c>
      <c r="BL2" s="3" t="inlineStr"/>
      <c r="BM2" s="6" t="n"/>
      <c r="BN2" s="2" t="inlineStr">
        <is>
          <t>25/26</t>
        </is>
      </c>
      <c r="BO2" s="22" t="inlineStr">
        <is>
          <t>20 日成交額中位數只有 $1.7M（股票池下限 $1M），入市出市都會有滑價</t>
        </is>
      </c>
      <c r="BP2" s="23" t="n">
        <v>0</v>
      </c>
    </row>
    <row r="3">
      <c r="A3" s="5" t="n">
        <v>1</v>
      </c>
      <c r="B3" s="6">
        <f>COUNTIFS($A$2:$A$23,A3,$BK$2:$BK$23,"&gt;"&amp;BK3)+1</f>
        <v/>
      </c>
      <c r="C3" s="7" t="inlineStr">
        <is>
          <t>CSR</t>
        </is>
      </c>
      <c r="D3" s="8" t="inlineStr">
        <is>
          <t>D/B/A Centerspace</t>
        </is>
      </c>
      <c r="E3" s="2" t="inlineStr">
        <is>
          <t>NYSE</t>
        </is>
      </c>
      <c r="F3" s="2" t="inlineStr">
        <is>
          <t>房地產</t>
        </is>
      </c>
      <c r="G3" s="2" t="inlineStr">
        <is>
          <t>Real Estate Investment Trusts</t>
        </is>
      </c>
      <c r="H3" s="9" t="n">
        <v>0.926</v>
      </c>
      <c r="I3" s="2" t="inlineStr">
        <is>
          <t>小型</t>
        </is>
      </c>
      <c r="J3" s="10" t="n">
        <v>54.4</v>
      </c>
      <c r="K3" s="10" t="n">
        <v>55.13</v>
      </c>
      <c r="L3" s="11">
        <f>J3/K3-1</f>
        <v/>
      </c>
      <c r="M3" s="10" t="n">
        <v>55.06</v>
      </c>
      <c r="N3" s="10" t="n">
        <v>54.36</v>
      </c>
      <c r="O3" s="10" t="n">
        <v>55.48900000000013</v>
      </c>
      <c r="P3" s="10" t="n">
        <v>55.61650000000018</v>
      </c>
      <c r="Q3" s="11">
        <f>J3/P3-1</f>
        <v/>
      </c>
      <c r="R3" s="10" t="n">
        <v>55.1482</v>
      </c>
      <c r="S3" s="10" t="n">
        <v>55.00000000000009</v>
      </c>
      <c r="T3" s="11">
        <f>P3/S3-1</f>
        <v/>
      </c>
      <c r="U3" s="10" t="n">
        <v>58.62</v>
      </c>
      <c r="V3" s="2" t="inlineStr">
        <is>
          <t>2026-09-14</t>
        </is>
      </c>
      <c r="W3" s="12" t="n">
        <v>12</v>
      </c>
      <c r="X3" s="13">
        <f>J3/U3-1</f>
        <v/>
      </c>
      <c r="Y3" s="2" t="inlineStr">
        <is>
          <t>2026-09-01</t>
        </is>
      </c>
      <c r="Z3" s="12" t="n">
        <v>8</v>
      </c>
      <c r="AA3" s="14" t="n">
        <v>0.1189158236304637</v>
      </c>
      <c r="AB3" s="15" t="n">
        <v>0.08082195569404593</v>
      </c>
      <c r="AC3" s="16" t="n">
        <v>-0.02259221633867969</v>
      </c>
      <c r="AD3" s="2" t="inlineStr">
        <is>
          <t>2026-09-09</t>
        </is>
      </c>
      <c r="AE3" s="15" t="n">
        <v>0.0882185543540126</v>
      </c>
      <c r="AF3" s="15" t="n">
        <v>0.09732498577120086</v>
      </c>
      <c r="AG3" s="17" t="n">
        <v>15.21883927117716</v>
      </c>
      <c r="AH3" s="12" t="n">
        <v>1</v>
      </c>
      <c r="AI3" s="18" t="n">
        <v>27747487.11111111</v>
      </c>
      <c r="AJ3" s="18" t="n">
        <v>9206314.800000001</v>
      </c>
      <c r="AK3" s="19">
        <f>AI3/AJ3</f>
        <v/>
      </c>
      <c r="AL3" s="2" t="inlineStr">
        <is>
          <t>2026-09-22</t>
        </is>
      </c>
      <c r="AM3" s="15" t="n">
        <v>0.0810590708509471</v>
      </c>
      <c r="AN3" s="14" t="n">
        <v>1</v>
      </c>
      <c r="AO3" s="9" t="n">
        <v>1.197838736492103</v>
      </c>
      <c r="AP3" s="16" t="n">
        <v>0.01759974634691274</v>
      </c>
      <c r="AQ3" s="16" t="n">
        <v>0.02478994659478438</v>
      </c>
      <c r="AR3" s="16" t="n">
        <v>0.0348556504209173</v>
      </c>
      <c r="AS3" s="19">
        <f>AP3/AQ3</f>
        <v/>
      </c>
      <c r="AT3" s="19">
        <f>AP3/AR3</f>
        <v/>
      </c>
      <c r="AU3" s="19">
        <f>MAX(0,MIN(1,(AK3-2)/4))</f>
        <v/>
      </c>
      <c r="AV3" s="19">
        <f>MAX(0,MIN(1,(AG3-3)/7))</f>
        <v/>
      </c>
      <c r="AW3" s="19">
        <f>MAX(0,MIN(1,(AA3-0.25)/0.75))</f>
        <v/>
      </c>
      <c r="AX3" s="19">
        <f>MAX(0,MIN(1,(AM3-0.05)/0.2))</f>
        <v/>
      </c>
      <c r="AY3" s="19">
        <f>MAX(0,MIN(1,(AN3-0.7)/0.3))</f>
        <v/>
      </c>
      <c r="AZ3" s="19">
        <f>MAX(0,MIN(1,(AO3-1.2)/(0.6-1.2)))</f>
        <v/>
      </c>
      <c r="BA3" s="19">
        <f>MAX(0,MIN(1,(ABS(Q3)-0.03)/(0-0.03)))</f>
        <v/>
      </c>
      <c r="BB3" s="19">
        <f>MAX(0,MIN(1,T3/0.03))</f>
        <v/>
      </c>
      <c r="BC3" s="19">
        <f>MAX(0,MIN(1,(-X3-0.3)/(0.15-0.3)))</f>
        <v/>
      </c>
      <c r="BD3" s="19">
        <f>0.5*IF(M3&gt;N3,(J3-N3)/(M3-N3),0.5)+0.5*(J3&gt;=P3)</f>
        <v/>
      </c>
      <c r="BE3" s="19">
        <f>MAX(0,MIN(1,(AS3-0.9)/(0.5-0.9)))</f>
        <v/>
      </c>
      <c r="BF3" s="19">
        <f>MAX(0,MIN(1,(AT3-0.7)/(0.3-0.7)))</f>
        <v/>
      </c>
      <c r="BG3" s="20">
        <f>100*(0.4*AU3+0.3*AV3+0.3*AW3)</f>
        <v/>
      </c>
      <c r="BH3" s="20">
        <f>100*(0.5*AX3+0.5*AY3)</f>
        <v/>
      </c>
      <c r="BI3" s="20">
        <f>100*(0.3*AZ3+0.25*BA3+0.2*BB3+0.1*BC3+0.15*BD3)</f>
        <v/>
      </c>
      <c r="BJ3" s="20">
        <f>100*(0.5*BE3+0.5*BF3)</f>
        <v/>
      </c>
      <c r="BK3" s="21">
        <f>0.25*BG3+0.2*BH3+0.3*BI3+0.25*BJ3</f>
        <v/>
      </c>
      <c r="BL3" s="3" t="inlineStr"/>
      <c r="BM3" s="6" t="n"/>
      <c r="BN3" s="2" t="inlineStr">
        <is>
          <t>24/26</t>
        </is>
      </c>
      <c r="BO3" s="22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BP3" s="23" t="n">
        <v>0</v>
      </c>
    </row>
    <row r="4">
      <c r="A4" s="5" t="n">
        <v>1</v>
      </c>
      <c r="B4" s="6">
        <f>COUNTIFS($A$2:$A$23,A4,$BK$2:$BK$23,"&gt;"&amp;BK4)+1</f>
        <v/>
      </c>
      <c r="C4" s="7" t="inlineStr">
        <is>
          <t>BSVN</t>
        </is>
      </c>
      <c r="D4" s="8" t="inlineStr">
        <is>
          <t>Bank7 Corp. Common stock</t>
        </is>
      </c>
      <c r="E4" s="2" t="inlineStr">
        <is>
          <t>NASDAQ</t>
        </is>
      </c>
      <c r="F4" s="2" t="inlineStr">
        <is>
          <t>金融</t>
        </is>
      </c>
      <c r="G4" s="2" t="inlineStr">
        <is>
          <t>Major Banks</t>
        </is>
      </c>
      <c r="H4" s="9" t="n">
        <v>0.527</v>
      </c>
      <c r="I4" s="2" t="inlineStr">
        <is>
          <t>小型</t>
        </is>
      </c>
      <c r="J4" s="10" t="n">
        <v>54.53</v>
      </c>
      <c r="K4" s="10" t="n">
        <v>55.28</v>
      </c>
      <c r="L4" s="11">
        <f>J4/K4-1</f>
        <v/>
      </c>
      <c r="M4" s="10" t="n">
        <v>55.62</v>
      </c>
      <c r="N4" s="10" t="n">
        <v>54.53</v>
      </c>
      <c r="O4" s="10" t="n">
        <v>54.92600000000039</v>
      </c>
      <c r="P4" s="10" t="n">
        <v>54.74950000000017</v>
      </c>
      <c r="Q4" s="11">
        <f>J4/P4-1</f>
        <v/>
      </c>
      <c r="R4" s="10" t="n">
        <v>52.52680000000012</v>
      </c>
      <c r="S4" s="10" t="n">
        <v>53.85700000000006</v>
      </c>
      <c r="T4" s="11">
        <f>P4/S4-1</f>
        <v/>
      </c>
      <c r="U4" s="10" t="n">
        <v>57.43</v>
      </c>
      <c r="V4" s="2" t="inlineStr">
        <is>
          <t>2026-09-04</t>
        </is>
      </c>
      <c r="W4" s="12" t="n">
        <v>17</v>
      </c>
      <c r="X4" s="13">
        <f>J4/U4-1</f>
        <v/>
      </c>
      <c r="Y4" s="2" t="inlineStr">
        <is>
          <t>2026-06-08</t>
        </is>
      </c>
      <c r="Z4" s="12" t="n">
        <v>62</v>
      </c>
      <c r="AA4" s="14" t="n">
        <v>0.2773576512455516</v>
      </c>
      <c r="AB4" s="15" t="n">
        <v>0.1015526848308705</v>
      </c>
      <c r="AC4" s="16" t="n">
        <v>-0.004009169033510229</v>
      </c>
      <c r="AD4" s="2" t="inlineStr">
        <is>
          <t>2026-09-04</t>
        </is>
      </c>
      <c r="AE4" s="15" t="n">
        <v>0.09494756911344138</v>
      </c>
      <c r="AF4" s="15" t="n">
        <v>0.03431839847473772</v>
      </c>
      <c r="AG4" s="17" t="n">
        <v>3.087071240105541</v>
      </c>
      <c r="AH4" s="12" t="n">
        <v>1</v>
      </c>
      <c r="AI4" s="18" t="n">
        <v>1750458.492063492</v>
      </c>
      <c r="AJ4" s="18" t="n">
        <v>510658.9666666667</v>
      </c>
      <c r="AK4" s="19">
        <f>AI4/AJ4</f>
        <v/>
      </c>
      <c r="AL4" s="2" t="inlineStr">
        <is>
          <t>2026-09-18</t>
        </is>
      </c>
      <c r="AM4" s="15" t="n">
        <v>0.0577811129069441</v>
      </c>
      <c r="AN4" s="14" t="n">
        <v>1</v>
      </c>
      <c r="AO4" s="9" t="n">
        <v>1.284517814695733</v>
      </c>
      <c r="AP4" s="16" t="n">
        <v>0.01863658394283519</v>
      </c>
      <c r="AQ4" s="16" t="n">
        <v>0.02881882684919911</v>
      </c>
      <c r="AR4" s="16" t="n">
        <v>0.02979592880132571</v>
      </c>
      <c r="AS4" s="19">
        <f>AP4/AQ4</f>
        <v/>
      </c>
      <c r="AT4" s="19">
        <f>AP4/AR4</f>
        <v/>
      </c>
      <c r="AU4" s="19">
        <f>MAX(0,MIN(1,(AK4-2)/4))</f>
        <v/>
      </c>
      <c r="AV4" s="19">
        <f>MAX(0,MIN(1,(AG4-3)/7))</f>
        <v/>
      </c>
      <c r="AW4" s="19">
        <f>MAX(0,MIN(1,(AA4-0.25)/0.75))</f>
        <v/>
      </c>
      <c r="AX4" s="19">
        <f>MAX(0,MIN(1,(AM4-0.05)/0.2))</f>
        <v/>
      </c>
      <c r="AY4" s="19">
        <f>MAX(0,MIN(1,(AN4-0.7)/0.3))</f>
        <v/>
      </c>
      <c r="AZ4" s="19">
        <f>MAX(0,MIN(1,(AO4-1.2)/(0.6-1.2)))</f>
        <v/>
      </c>
      <c r="BA4" s="19">
        <f>MAX(0,MIN(1,(ABS(Q4)-0.03)/(0-0.03)))</f>
        <v/>
      </c>
      <c r="BB4" s="19">
        <f>MAX(0,MIN(1,T4/0.03))</f>
        <v/>
      </c>
      <c r="BC4" s="19">
        <f>MAX(0,MIN(1,(-X4-0.3)/(0.15-0.3)))</f>
        <v/>
      </c>
      <c r="BD4" s="19">
        <f>0.5*IF(M4&gt;N4,(J4-N4)/(M4-N4),0.5)+0.5*(J4&gt;=P4)</f>
        <v/>
      </c>
      <c r="BE4" s="19">
        <f>MAX(0,MIN(1,(AS4-0.9)/(0.5-0.9)))</f>
        <v/>
      </c>
      <c r="BF4" s="19">
        <f>MAX(0,MIN(1,(AT4-0.7)/(0.3-0.7)))</f>
        <v/>
      </c>
      <c r="BG4" s="20">
        <f>100*(0.4*AU4+0.3*AV4+0.3*AW4)</f>
        <v/>
      </c>
      <c r="BH4" s="20">
        <f>100*(0.5*AX4+0.5*AY4)</f>
        <v/>
      </c>
      <c r="BI4" s="20">
        <f>100*(0.3*AZ4+0.25*BA4+0.2*BB4+0.1*BC4+0.15*BD4)</f>
        <v/>
      </c>
      <c r="BJ4" s="20">
        <f>100*(0.5*BE4+0.5*BF4)</f>
        <v/>
      </c>
      <c r="BK4" s="21">
        <f>0.25*BG4+0.2*BH4+0.3*BI4+0.25*BJ4</f>
        <v/>
      </c>
      <c r="BL4" s="3" t="inlineStr"/>
      <c r="BM4" s="6" t="n"/>
      <c r="BN4" s="2" t="inlineStr">
        <is>
          <t>22/26</t>
        </is>
      </c>
      <c r="BO4" s="22" t="inlineStr">
        <is>
          <t>今日放量（2.1× 50日均量）收喺 20MA 下面；20 日成交額中位數只有 $2.6M（股票池下限 $1M），入市出市都會有滑價</t>
        </is>
      </c>
      <c r="BP4" s="23" t="n">
        <v>0</v>
      </c>
    </row>
    <row r="5">
      <c r="A5" s="24" t="n">
        <v>2</v>
      </c>
      <c r="B5" s="25">
        <f>COUNTIFS($A$2:$A$23,A5,$BK$2:$BK$23,"&gt;"&amp;BK5)+1</f>
        <v/>
      </c>
      <c r="C5" s="7" t="inlineStr">
        <is>
          <t>CRSR</t>
        </is>
      </c>
      <c r="D5" s="8" t="inlineStr">
        <is>
          <t>Corsair Gaming Inc.</t>
        </is>
      </c>
      <c r="E5" s="2" t="inlineStr">
        <is>
          <t>NASDAQ</t>
        </is>
      </c>
      <c r="F5" s="2" t="inlineStr">
        <is>
          <t>科技</t>
        </is>
      </c>
      <c r="G5" s="2" t="inlineStr">
        <is>
          <t>Computer peripheral equipment</t>
        </is>
      </c>
      <c r="H5" s="9" t="n">
        <v>1.456</v>
      </c>
      <c r="I5" s="2" t="inlineStr">
        <is>
          <t>小型</t>
        </is>
      </c>
      <c r="J5" s="10" t="n">
        <v>13.5</v>
      </c>
      <c r="K5" s="10" t="n">
        <v>13.46</v>
      </c>
      <c r="L5" s="11">
        <f>J5/K5-1</f>
        <v/>
      </c>
      <c r="M5" s="10" t="n">
        <v>13.72</v>
      </c>
      <c r="N5" s="10" t="n">
        <v>13.38</v>
      </c>
      <c r="O5" s="10" t="n">
        <v>13.51800000000001</v>
      </c>
      <c r="P5" s="10" t="n">
        <v>13.15099999999999</v>
      </c>
      <c r="Q5" s="11">
        <f>J5/P5-1</f>
        <v/>
      </c>
      <c r="R5" s="10" t="n">
        <v>12.20529999999999</v>
      </c>
      <c r="S5" s="10" t="n">
        <v>12.74699999999998</v>
      </c>
      <c r="T5" s="11">
        <f>P5/S5-1</f>
        <v/>
      </c>
      <c r="U5" s="10" t="n">
        <v>14.35</v>
      </c>
      <c r="V5" s="2" t="inlineStr">
        <is>
          <t>2026-08-07</t>
        </is>
      </c>
      <c r="W5" s="12" t="n">
        <v>37</v>
      </c>
      <c r="X5" s="13">
        <f>J5/U5-1</f>
        <v/>
      </c>
      <c r="Y5" s="2" t="inlineStr">
        <is>
          <t>2026-05-19</t>
        </is>
      </c>
      <c r="Z5" s="12" t="n">
        <v>55</v>
      </c>
      <c r="AA5" s="14" t="n">
        <v>1.13859910581222</v>
      </c>
      <c r="AB5" s="15" t="n">
        <v>0.375278529841629</v>
      </c>
      <c r="AC5" s="16" t="n">
        <v>0.01720355617134395</v>
      </c>
      <c r="AD5" s="2" t="inlineStr">
        <is>
          <t>2026-05-28</t>
        </is>
      </c>
      <c r="AE5" s="15" t="n">
        <v>0.2169042769857432</v>
      </c>
      <c r="AF5" s="15" t="n">
        <v>0.1293279022403258</v>
      </c>
      <c r="AG5" s="17" t="n">
        <v>18.56118700794942</v>
      </c>
      <c r="AH5" s="12" t="n">
        <v>3</v>
      </c>
      <c r="AI5" s="18" t="n">
        <v>30175268.3125</v>
      </c>
      <c r="AJ5" s="18" t="n">
        <v>8025177.166666667</v>
      </c>
      <c r="AK5" s="19">
        <f>AI5/AJ5</f>
        <v/>
      </c>
      <c r="AL5" s="2" t="inlineStr">
        <is>
          <t>2026-08-18</t>
        </is>
      </c>
      <c r="AM5" s="15" t="n">
        <v>0.1966630326586758</v>
      </c>
      <c r="AN5" s="14" t="n">
        <v>1</v>
      </c>
      <c r="AO5" s="9" t="n">
        <v>0.6939661186265677</v>
      </c>
      <c r="AP5" s="16" t="n">
        <v>0.03365525061032916</v>
      </c>
      <c r="AQ5" s="16" t="n">
        <v>0.04398502169099392</v>
      </c>
      <c r="AR5" s="16" t="n">
        <v>0.08428015090827487</v>
      </c>
      <c r="AS5" s="19">
        <f>AP5/AQ5</f>
        <v/>
      </c>
      <c r="AT5" s="19">
        <f>AP5/AR5</f>
        <v/>
      </c>
      <c r="AU5" s="19">
        <f>MAX(0,MIN(1,(AK5-2)/4))</f>
        <v/>
      </c>
      <c r="AV5" s="19">
        <f>MAX(0,MIN(1,(AG5-3)/7))</f>
        <v/>
      </c>
      <c r="AW5" s="19">
        <f>MAX(0,MIN(1,(AA5-0.25)/0.75))</f>
        <v/>
      </c>
      <c r="AX5" s="19">
        <f>MAX(0,MIN(1,(AM5-0.05)/0.2))</f>
        <v/>
      </c>
      <c r="AY5" s="19">
        <f>MAX(0,MIN(1,(AN5-0.7)/0.3))</f>
        <v/>
      </c>
      <c r="AZ5" s="19">
        <f>MAX(0,MIN(1,(AO5-1.2)/(0.6-1.2)))</f>
        <v/>
      </c>
      <c r="BA5" s="19">
        <f>MAX(0,MIN(1,(ABS(Q5)-0.03)/(0-0.03)))</f>
        <v/>
      </c>
      <c r="BB5" s="19">
        <f>MAX(0,MIN(1,T5/0.03))</f>
        <v/>
      </c>
      <c r="BC5" s="19">
        <f>MAX(0,MIN(1,(-X5-0.3)/(0.15-0.3)))</f>
        <v/>
      </c>
      <c r="BD5" s="19">
        <f>0.5*IF(M5&gt;N5,(J5-N5)/(M5-N5),0.5)+0.5*(J5&gt;=P5)</f>
        <v/>
      </c>
      <c r="BE5" s="19">
        <f>MAX(0,MIN(1,(AS5-0.9)/(0.5-0.9)))</f>
        <v/>
      </c>
      <c r="BF5" s="19">
        <f>MAX(0,MIN(1,(AT5-0.7)/(0.3-0.7)))</f>
        <v/>
      </c>
      <c r="BG5" s="20">
        <f>100*(0.4*AU5+0.3*AV5+0.3*AW5)</f>
        <v/>
      </c>
      <c r="BH5" s="20">
        <f>100*(0.5*AX5+0.5*AY5)</f>
        <v/>
      </c>
      <c r="BI5" s="20">
        <f>100*(0.3*AZ5+0.25*BA5+0.2*BB5+0.1*BC5+0.15*BD5)</f>
        <v/>
      </c>
      <c r="BJ5" s="20">
        <f>100*(0.5*BE5+0.5*BF5)</f>
        <v/>
      </c>
      <c r="BK5" s="21">
        <f>0.25*BG5+0.2*BH5+0.3*BI5+0.25*BJ5</f>
        <v/>
      </c>
      <c r="BL5" s="3" t="inlineStr">
        <is>
          <t>C3 回落20MA：高位喺 37 日前；近 3 日最低價距 MA20 +1.7%</t>
        </is>
      </c>
      <c r="BM5" s="6" t="n"/>
      <c r="BN5" s="2" t="inlineStr"/>
      <c r="BO5" s="22" t="inlineStr">
        <is>
          <t>疑似釘價：10 日收市區間只有 2.1%，之前有單日 +35%</t>
        </is>
      </c>
      <c r="BP5" s="23" t="n">
        <v>0</v>
      </c>
    </row>
    <row r="6">
      <c r="A6" s="24" t="n">
        <v>2</v>
      </c>
      <c r="B6" s="25">
        <f>COUNTIFS($A$2:$A$23,A6,$BK$2:$BK$23,"&gt;"&amp;BK6)+1</f>
        <v/>
      </c>
      <c r="C6" s="7" t="inlineStr">
        <is>
          <t>CMRC</t>
        </is>
      </c>
      <c r="D6" s="8" t="inlineStr">
        <is>
          <t>Commerce.com Inc. Series 1</t>
        </is>
      </c>
      <c r="E6" s="2" t="inlineStr">
        <is>
          <t>NASDAQ</t>
        </is>
      </c>
      <c r="F6" s="2" t="inlineStr">
        <is>
          <t>科技</t>
        </is>
      </c>
      <c r="G6" s="2" t="inlineStr">
        <is>
          <t>Computer Software: Prepackaged Software</t>
        </is>
      </c>
      <c r="H6" s="9" t="n">
        <v>0.258</v>
      </c>
      <c r="I6" s="2" t="inlineStr">
        <is>
          <t>小型</t>
        </is>
      </c>
      <c r="J6" s="10" t="n">
        <v>3.16</v>
      </c>
      <c r="K6" s="10" t="n">
        <v>3.11</v>
      </c>
      <c r="L6" s="11">
        <f>J6/K6-1</f>
        <v/>
      </c>
      <c r="M6" s="10" t="n">
        <v>3.235</v>
      </c>
      <c r="N6" s="10" t="n">
        <v>3.08</v>
      </c>
      <c r="O6" s="10" t="n">
        <v>3.252499999999998</v>
      </c>
      <c r="P6" s="10" t="n">
        <v>3.124000000000001</v>
      </c>
      <c r="Q6" s="11">
        <f>J6/P6-1</f>
        <v/>
      </c>
      <c r="R6" s="10" t="n">
        <v>2.773300000000004</v>
      </c>
      <c r="S6" s="10" t="n">
        <v>2.925750000000005</v>
      </c>
      <c r="T6" s="11">
        <f>P6/S6-1</f>
        <v/>
      </c>
      <c r="U6" s="10" t="n">
        <v>3.64</v>
      </c>
      <c r="V6" s="2" t="inlineStr">
        <is>
          <t>2026-09-14</t>
        </is>
      </c>
      <c r="W6" s="12" t="n">
        <v>12</v>
      </c>
      <c r="X6" s="13">
        <f>J6/U6-1</f>
        <v/>
      </c>
      <c r="Y6" s="2" t="inlineStr">
        <is>
          <t>2026-08-17</t>
        </is>
      </c>
      <c r="Z6" s="12" t="n">
        <v>19</v>
      </c>
      <c r="AA6" s="14" t="n">
        <v>0.766990291262136</v>
      </c>
      <c r="AB6" s="15" t="n">
        <v>0.4515003489183507</v>
      </c>
      <c r="AC6" s="16" t="n">
        <v>-0.01408450704225384</v>
      </c>
      <c r="AD6" s="2" t="inlineStr">
        <is>
          <t>2026-09-10</t>
        </is>
      </c>
      <c r="AE6" s="15" t="n">
        <v>0.1846153846153846</v>
      </c>
      <c r="AF6" s="15" t="n">
        <v>0.1153846153846154</v>
      </c>
      <c r="AG6" s="17" t="n">
        <v>4.404051401859772</v>
      </c>
      <c r="AH6" s="12" t="n">
        <v>3</v>
      </c>
      <c r="AI6" s="18" t="n">
        <v>3783023.125</v>
      </c>
      <c r="AJ6" s="18" t="n">
        <v>2192366.491666667</v>
      </c>
      <c r="AK6" s="19">
        <f>AI6/AJ6</f>
        <v/>
      </c>
      <c r="AL6" s="2" t="inlineStr">
        <is>
          <t>2026-09-23</t>
        </is>
      </c>
      <c r="AM6" s="15" t="n">
        <v>0.3786585365853679</v>
      </c>
      <c r="AN6" s="14" t="n">
        <v>1</v>
      </c>
      <c r="AO6" s="9" t="n">
        <v>0.483463961727096</v>
      </c>
      <c r="AP6" s="16" t="n">
        <v>0.04419818754019612</v>
      </c>
      <c r="AQ6" s="16" t="n">
        <v>0.06897978181577276</v>
      </c>
      <c r="AR6" s="16" t="n">
        <v>0.085745533085497</v>
      </c>
      <c r="AS6" s="19">
        <f>AP6/AQ6</f>
        <v/>
      </c>
      <c r="AT6" s="19">
        <f>AP6/AR6</f>
        <v/>
      </c>
      <c r="AU6" s="19">
        <f>MAX(0,MIN(1,(AK6-2)/4))</f>
        <v/>
      </c>
      <c r="AV6" s="19">
        <f>MAX(0,MIN(1,(AG6-3)/7))</f>
        <v/>
      </c>
      <c r="AW6" s="19">
        <f>MAX(0,MIN(1,(AA6-0.25)/0.75))</f>
        <v/>
      </c>
      <c r="AX6" s="19">
        <f>MAX(0,MIN(1,(AM6-0.05)/0.2))</f>
        <v/>
      </c>
      <c r="AY6" s="19">
        <f>MAX(0,MIN(1,(AN6-0.7)/0.3))</f>
        <v/>
      </c>
      <c r="AZ6" s="19">
        <f>MAX(0,MIN(1,(AO6-1.2)/(0.6-1.2)))</f>
        <v/>
      </c>
      <c r="BA6" s="19">
        <f>MAX(0,MIN(1,(ABS(Q6)-0.03)/(0-0.03)))</f>
        <v/>
      </c>
      <c r="BB6" s="19">
        <f>MAX(0,MIN(1,T6/0.03))</f>
        <v/>
      </c>
      <c r="BC6" s="19">
        <f>MAX(0,MIN(1,(-X6-0.3)/(0.15-0.3)))</f>
        <v/>
      </c>
      <c r="BD6" s="19">
        <f>0.5*IF(M6&gt;N6,(J6-N6)/(M6-N6),0.5)+0.5*(J6&gt;=P6)</f>
        <v/>
      </c>
      <c r="BE6" s="19">
        <f>MAX(0,MIN(1,(AS6-0.9)/(0.5-0.9)))</f>
        <v/>
      </c>
      <c r="BF6" s="19">
        <f>MAX(0,MIN(1,(AT6-0.7)/(0.3-0.7)))</f>
        <v/>
      </c>
      <c r="BG6" s="20">
        <f>100*(0.4*AU6+0.3*AV6+0.3*AW6)</f>
        <v/>
      </c>
      <c r="BH6" s="20">
        <f>100*(0.5*AX6+0.5*AY6)</f>
        <v/>
      </c>
      <c r="BI6" s="20">
        <f>100*(0.3*AZ6+0.25*BA6+0.2*BB6+0.1*BC6+0.15*BD6)</f>
        <v/>
      </c>
      <c r="BJ6" s="20">
        <f>100*(0.5*BE6+0.5*BF6)</f>
        <v/>
      </c>
      <c r="BK6" s="21">
        <f>0.25*BG6+0.2*BH6+0.3*BI6+0.25*BJ6</f>
        <v/>
      </c>
      <c r="BL6" s="3" t="inlineStr">
        <is>
          <t>C1b 熱錢：升浪成交額係之前 60 日嘅 1.73×（要 ≥2.0×）</t>
        </is>
      </c>
      <c r="BM6" s="6" t="n"/>
      <c r="BN6" s="2" t="inlineStr"/>
      <c r="BO6" s="22" t="inlineStr">
        <is>
          <t>20 日成交額中位數只有 $2.2M（股票池下限 $1M），入市出市都會有滑價</t>
        </is>
      </c>
      <c r="BP6" s="23" t="n">
        <v>0</v>
      </c>
    </row>
    <row r="7">
      <c r="A7" s="24" t="n">
        <v>2</v>
      </c>
      <c r="B7" s="25">
        <f>COUNTIFS($A$2:$A$23,A7,$BK$2:$BK$23,"&gt;"&amp;BK7)+1</f>
        <v/>
      </c>
      <c r="C7" s="26" t="inlineStr">
        <is>
          <t>OMER</t>
        </is>
      </c>
      <c r="D7" s="8" t="inlineStr">
        <is>
          <t>Omeros Corporation</t>
        </is>
      </c>
      <c r="E7" s="2" t="inlineStr">
        <is>
          <t>NASDAQ</t>
        </is>
      </c>
      <c r="F7" s="2" t="inlineStr">
        <is>
          <t>醫療保健</t>
        </is>
      </c>
      <c r="G7" s="2" t="inlineStr">
        <is>
          <t>Biotechnology: Pharmaceutical Preparations</t>
        </is>
      </c>
      <c r="H7" s="9" t="n">
        <v>1.393</v>
      </c>
      <c r="I7" s="2" t="inlineStr">
        <is>
          <t>小型</t>
        </is>
      </c>
      <c r="J7" s="10" t="n">
        <v>19.04</v>
      </c>
      <c r="K7" s="10" t="n">
        <v>19.25</v>
      </c>
      <c r="L7" s="11">
        <f>J7/K7-1</f>
        <v/>
      </c>
      <c r="M7" s="10" t="n">
        <v>19.4</v>
      </c>
      <c r="N7" s="10" t="n">
        <v>19.02</v>
      </c>
      <c r="O7" s="10" t="n">
        <v>19.45299999999993</v>
      </c>
      <c r="P7" s="10" t="n">
        <v>18.93999999999999</v>
      </c>
      <c r="Q7" s="11">
        <f>J7/P7-1</f>
        <v/>
      </c>
      <c r="R7" s="10" t="n">
        <v>16.59700000000002</v>
      </c>
      <c r="S7" s="10" t="n">
        <v>18.72449999999999</v>
      </c>
      <c r="T7" s="11">
        <f>P7/S7-1</f>
        <v/>
      </c>
      <c r="U7" s="10" t="n">
        <v>21.05</v>
      </c>
      <c r="V7" s="2" t="inlineStr">
        <is>
          <t>2026-09-22</t>
        </is>
      </c>
      <c r="W7" s="12" t="n">
        <v>6</v>
      </c>
      <c r="X7" s="13">
        <f>J7/U7-1</f>
        <v/>
      </c>
      <c r="Y7" s="2" t="inlineStr">
        <is>
          <t>2026-06-26</t>
        </is>
      </c>
      <c r="Z7" s="12" t="n">
        <v>60</v>
      </c>
      <c r="AA7" s="14" t="n">
        <v>1.427912341407151</v>
      </c>
      <c r="AB7" s="15" t="n">
        <v>0.1285955553172662</v>
      </c>
      <c r="AC7" s="16" t="n">
        <v>0.003936487807456146</v>
      </c>
      <c r="AD7" s="2" t="inlineStr">
        <is>
          <t>2026-08-13</t>
        </is>
      </c>
      <c r="AE7" s="15" t="n">
        <v>0.2654996353026988</v>
      </c>
      <c r="AF7" s="15" t="n">
        <v>0.2144420131291027</v>
      </c>
      <c r="AG7" s="17" t="n">
        <v>7.071050479385224</v>
      </c>
      <c r="AH7" s="12" t="n">
        <v>2</v>
      </c>
      <c r="AI7" s="18" t="n">
        <v>29218303.70491803</v>
      </c>
      <c r="AJ7" s="18" t="n">
        <v>18980137.8</v>
      </c>
      <c r="AK7" s="19">
        <f>AI7/AJ7</f>
        <v/>
      </c>
      <c r="AL7" s="2" t="inlineStr">
        <is>
          <t>2026-08-26</t>
        </is>
      </c>
      <c r="AM7" s="15" t="n">
        <v>0.4096711798839479</v>
      </c>
      <c r="AN7" s="14" t="n">
        <v>1</v>
      </c>
      <c r="AO7" s="9" t="n">
        <v>0.6626025805813723</v>
      </c>
      <c r="AP7" s="16" t="n">
        <v>0.03528929271145591</v>
      </c>
      <c r="AQ7" s="16" t="n">
        <v>0.04698834581134253</v>
      </c>
      <c r="AR7" s="16" t="n">
        <v>0.06307939361808405</v>
      </c>
      <c r="AS7" s="19">
        <f>AP7/AQ7</f>
        <v/>
      </c>
      <c r="AT7" s="19">
        <f>AP7/AR7</f>
        <v/>
      </c>
      <c r="AU7" s="19">
        <f>MAX(0,MIN(1,(AK7-2)/4))</f>
        <v/>
      </c>
      <c r="AV7" s="19">
        <f>MAX(0,MIN(1,(AG7-3)/7))</f>
        <v/>
      </c>
      <c r="AW7" s="19">
        <f>MAX(0,MIN(1,(AA7-0.25)/0.75))</f>
        <v/>
      </c>
      <c r="AX7" s="19">
        <f>MAX(0,MIN(1,(AM7-0.05)/0.2))</f>
        <v/>
      </c>
      <c r="AY7" s="19">
        <f>MAX(0,MIN(1,(AN7-0.7)/0.3))</f>
        <v/>
      </c>
      <c r="AZ7" s="19">
        <f>MAX(0,MIN(1,(AO7-1.2)/(0.6-1.2)))</f>
        <v/>
      </c>
      <c r="BA7" s="19">
        <f>MAX(0,MIN(1,(ABS(Q7)-0.03)/(0-0.03)))</f>
        <v/>
      </c>
      <c r="BB7" s="19">
        <f>MAX(0,MIN(1,T7/0.03))</f>
        <v/>
      </c>
      <c r="BC7" s="19">
        <f>MAX(0,MIN(1,(-X7-0.3)/(0.15-0.3)))</f>
        <v/>
      </c>
      <c r="BD7" s="19">
        <f>0.5*IF(M7&gt;N7,(J7-N7)/(M7-N7),0.5)+0.5*(J7&gt;=P7)</f>
        <v/>
      </c>
      <c r="BE7" s="19">
        <f>MAX(0,MIN(1,(AS7-0.9)/(0.5-0.9)))</f>
        <v/>
      </c>
      <c r="BF7" s="19">
        <f>MAX(0,MIN(1,(AT7-0.7)/(0.3-0.7)))</f>
        <v/>
      </c>
      <c r="BG7" s="20">
        <f>100*(0.4*AU7+0.3*AV7+0.3*AW7)</f>
        <v/>
      </c>
      <c r="BH7" s="20">
        <f>100*(0.5*AX7+0.5*AY7)</f>
        <v/>
      </c>
      <c r="BI7" s="20">
        <f>100*(0.3*AZ7+0.25*BA7+0.2*BB7+0.1*BC7+0.15*BD7)</f>
        <v/>
      </c>
      <c r="BJ7" s="20">
        <f>100*(0.5*BE7+0.5*BF7)</f>
        <v/>
      </c>
      <c r="BK7" s="21">
        <f>0.25*BG7+0.2*BH7+0.3*BI7+0.25*BJ7</f>
        <v/>
      </c>
      <c r="BL7" s="3" t="inlineStr">
        <is>
          <t>C1b 熱錢：升浪成交額係之前 60 日嘅 1.54×（要 ≥2.0×）</t>
        </is>
      </c>
      <c r="BM7" s="6" t="n"/>
      <c r="BN7" s="2" t="inlineStr"/>
      <c r="BO7" s="3" t="inlineStr"/>
      <c r="BP7" s="23" t="n">
        <v>0</v>
      </c>
    </row>
    <row r="8">
      <c r="A8" s="24" t="n">
        <v>2</v>
      </c>
      <c r="B8" s="25">
        <f>COUNTIFS($A$2:$A$23,A8,$BK$2:$BK$23,"&gt;"&amp;BK8)+1</f>
        <v/>
      </c>
      <c r="C8" s="26" t="inlineStr">
        <is>
          <t>HAE</t>
        </is>
      </c>
      <c r="D8" s="8" t="inlineStr">
        <is>
          <t>Haemonetics Corporation</t>
        </is>
      </c>
      <c r="E8" s="2" t="inlineStr">
        <is>
          <t>NYSE</t>
        </is>
      </c>
      <c r="F8" s="2" t="inlineStr">
        <is>
          <t>醫療保健</t>
        </is>
      </c>
      <c r="G8" s="2" t="inlineStr">
        <is>
          <t>Medical/Dental Instruments</t>
        </is>
      </c>
      <c r="H8" s="9" t="n">
        <v>4.814</v>
      </c>
      <c r="I8" s="2" t="inlineStr">
        <is>
          <t>中型</t>
        </is>
      </c>
      <c r="J8" s="10" t="n">
        <v>105.3</v>
      </c>
      <c r="K8" s="10" t="n">
        <v>105.8</v>
      </c>
      <c r="L8" s="11">
        <f>J8/K8-1</f>
        <v/>
      </c>
      <c r="M8" s="10" t="n">
        <v>105.78</v>
      </c>
      <c r="N8" s="10" t="n">
        <v>103.54</v>
      </c>
      <c r="O8" s="10" t="n">
        <v>106.8259999999998</v>
      </c>
      <c r="P8" s="10" t="n">
        <v>105.2725</v>
      </c>
      <c r="Q8" s="11">
        <f>J8/P8-1</f>
        <v/>
      </c>
      <c r="R8" s="10" t="n">
        <v>97.81039999999997</v>
      </c>
      <c r="S8" s="10" t="n">
        <v>104.892</v>
      </c>
      <c r="T8" s="11">
        <f>P8/S8-1</f>
        <v/>
      </c>
      <c r="U8" s="10" t="n">
        <v>108.8</v>
      </c>
      <c r="V8" s="2" t="inlineStr">
        <is>
          <t>2026-08-21</t>
        </is>
      </c>
      <c r="W8" s="12" t="n">
        <v>27</v>
      </c>
      <c r="X8" s="13">
        <f>J8/U8-1</f>
        <v/>
      </c>
      <c r="Y8" s="2" t="inlineStr">
        <is>
          <t>2026-05-21</t>
        </is>
      </c>
      <c r="Z8" s="12" t="n">
        <v>63</v>
      </c>
      <c r="AA8" s="14" t="n">
        <v>0.7565385857281239</v>
      </c>
      <c r="AB8" s="15" t="n">
        <v>0.1998500187476568</v>
      </c>
      <c r="AC8" s="16" t="n">
        <v>-0.0164572894155639</v>
      </c>
      <c r="AD8" s="2" t="inlineStr">
        <is>
          <t>2026-08-18</t>
        </is>
      </c>
      <c r="AE8" s="15" t="n">
        <v>0.1592998781433479</v>
      </c>
      <c r="AF8" s="15" t="n">
        <v>0.1354824415641964</v>
      </c>
      <c r="AG8" s="17" t="n">
        <v>2.78259987783119</v>
      </c>
      <c r="AH8" s="12" t="n">
        <v>1</v>
      </c>
      <c r="AI8" s="18" t="n">
        <v>70451531.640625</v>
      </c>
      <c r="AJ8" s="18" t="n">
        <v>45639026.76666667</v>
      </c>
      <c r="AK8" s="19">
        <f>AI8/AJ8</f>
        <v/>
      </c>
      <c r="AL8" s="2" t="inlineStr">
        <is>
          <t>2026-08-31</t>
        </is>
      </c>
      <c r="AM8" s="15" t="n">
        <v>0.2128383762493427</v>
      </c>
      <c r="AN8" s="14" t="n">
        <v>1</v>
      </c>
      <c r="AO8" s="9" t="n">
        <v>0.6360850446038062</v>
      </c>
      <c r="AP8" s="16" t="n">
        <v>0.01911747268840414</v>
      </c>
      <c r="AQ8" s="16" t="n">
        <v>0.0244226881191562</v>
      </c>
      <c r="AR8" s="16" t="n">
        <v>0.03970502263212945</v>
      </c>
      <c r="AS8" s="19">
        <f>AP8/AQ8</f>
        <v/>
      </c>
      <c r="AT8" s="19">
        <f>AP8/AR8</f>
        <v/>
      </c>
      <c r="AU8" s="19">
        <f>MAX(0,MIN(1,(AK8-2)/4))</f>
        <v/>
      </c>
      <c r="AV8" s="19">
        <f>MAX(0,MIN(1,(AG8-3)/7))</f>
        <v/>
      </c>
      <c r="AW8" s="19">
        <f>MAX(0,MIN(1,(AA8-0.25)/0.75))</f>
        <v/>
      </c>
      <c r="AX8" s="19">
        <f>MAX(0,MIN(1,(AM8-0.05)/0.2))</f>
        <v/>
      </c>
      <c r="AY8" s="19">
        <f>MAX(0,MIN(1,(AN8-0.7)/0.3))</f>
        <v/>
      </c>
      <c r="AZ8" s="19">
        <f>MAX(0,MIN(1,(AO8-1.2)/(0.6-1.2)))</f>
        <v/>
      </c>
      <c r="BA8" s="19">
        <f>MAX(0,MIN(1,(ABS(Q8)-0.03)/(0-0.03)))</f>
        <v/>
      </c>
      <c r="BB8" s="19">
        <f>MAX(0,MIN(1,T8/0.03))</f>
        <v/>
      </c>
      <c r="BC8" s="19">
        <f>MAX(0,MIN(1,(-X8-0.3)/(0.15-0.3)))</f>
        <v/>
      </c>
      <c r="BD8" s="19">
        <f>0.5*IF(M8&gt;N8,(J8-N8)/(M8-N8),0.5)+0.5*(J8&gt;=P8)</f>
        <v/>
      </c>
      <c r="BE8" s="19">
        <f>MAX(0,MIN(1,(AS8-0.9)/(0.5-0.9)))</f>
        <v/>
      </c>
      <c r="BF8" s="19">
        <f>MAX(0,MIN(1,(AT8-0.7)/(0.3-0.7)))</f>
        <v/>
      </c>
      <c r="BG8" s="20">
        <f>100*(0.4*AU8+0.3*AV8+0.3*AW8)</f>
        <v/>
      </c>
      <c r="BH8" s="20">
        <f>100*(0.5*AX8+0.5*AY8)</f>
        <v/>
      </c>
      <c r="BI8" s="20">
        <f>100*(0.3*AZ8+0.25*BA8+0.2*BB8+0.1*BC8+0.15*BD8)</f>
        <v/>
      </c>
      <c r="BJ8" s="20">
        <f>100*(0.5*BE8+0.5*BF8)</f>
        <v/>
      </c>
      <c r="BK8" s="21">
        <f>0.25*BG8+0.2*BH8+0.3*BI8+0.25*BJ8</f>
        <v/>
      </c>
      <c r="BL8" s="3" t="inlineStr">
        <is>
          <t>C1a 事件日：高位前 60 日最大量日只有 2.8× 50日均量（當日 +15.9%）；要 ≥3× 兼當日 ≥+8% 或開市跳空 ≥+5%；C1b 熱錢：升浪成交額係之前 60 日嘅 1.54×（要 ≥2.0×）；C3 回落20MA：高位喺 27 日前</t>
        </is>
      </c>
      <c r="BM8" s="6" t="n"/>
      <c r="BN8" s="2" t="inlineStr"/>
      <c r="BO8" s="3" t="inlineStr"/>
      <c r="BP8" s="23" t="n">
        <v>0</v>
      </c>
    </row>
    <row r="9">
      <c r="A9" s="24" t="n">
        <v>2</v>
      </c>
      <c r="B9" s="25">
        <f>COUNTIFS($A$2:$A$23,A9,$BK$2:$BK$23,"&gt;"&amp;BK9)+1</f>
        <v/>
      </c>
      <c r="C9" s="7" t="inlineStr">
        <is>
          <t>ASST</t>
        </is>
      </c>
      <c r="D9" s="8" t="inlineStr">
        <is>
          <t>Strive Inc. Class A</t>
        </is>
      </c>
      <c r="E9" s="2" t="inlineStr">
        <is>
          <t>NASDAQ</t>
        </is>
      </c>
      <c r="F9" s="2" t="inlineStr">
        <is>
          <t>金融</t>
        </is>
      </c>
      <c r="G9" s="2" t="inlineStr">
        <is>
          <t>Finance: Consumer Services</t>
        </is>
      </c>
      <c r="H9" s="9" t="n">
        <v>2.843</v>
      </c>
      <c r="I9" s="2" t="inlineStr">
        <is>
          <t>中型</t>
        </is>
      </c>
      <c r="J9" s="10" t="n">
        <v>29.41</v>
      </c>
      <c r="K9" s="10" t="n">
        <v>29.31</v>
      </c>
      <c r="L9" s="11">
        <f>J9/K9-1</f>
        <v/>
      </c>
      <c r="M9" s="10" t="n">
        <v>30.54</v>
      </c>
      <c r="N9" s="10" t="n">
        <v>28.96</v>
      </c>
      <c r="O9" s="10" t="n">
        <v>29.41399999999994</v>
      </c>
      <c r="P9" s="10" t="n">
        <v>28.23999999999992</v>
      </c>
      <c r="Q9" s="11">
        <f>J9/P9-1</f>
        <v/>
      </c>
      <c r="R9" s="10" t="n">
        <v>20.27829999999996</v>
      </c>
      <c r="S9" s="10" t="n">
        <v>26.61399999999992</v>
      </c>
      <c r="T9" s="11">
        <f>P9/S9-1</f>
        <v/>
      </c>
      <c r="U9" s="10" t="n">
        <v>30.33</v>
      </c>
      <c r="V9" s="2" t="inlineStr">
        <is>
          <t>2026-09-21</t>
        </is>
      </c>
      <c r="W9" s="12" t="n">
        <v>7</v>
      </c>
      <c r="X9" s="13">
        <f>J9/U9-1</f>
        <v/>
      </c>
      <c r="Y9" s="2" t="inlineStr">
        <is>
          <t>2026-06-30</t>
        </is>
      </c>
      <c r="Z9" s="12" t="n">
        <v>57</v>
      </c>
      <c r="AA9" s="14" t="n">
        <v>1.780018331805683</v>
      </c>
      <c r="AB9" s="15" t="n">
        <v>0.1777268667728074</v>
      </c>
      <c r="AC9" s="16" t="n">
        <v>0.02468760614240795</v>
      </c>
      <c r="AD9" s="2" t="inlineStr">
        <is>
          <t>2026-08-21</t>
        </is>
      </c>
      <c r="AE9" s="15" t="n">
        <v>0.12957222566646</v>
      </c>
      <c r="AF9" s="15" t="n">
        <v>0.09485430874147549</v>
      </c>
      <c r="AG9" s="17" t="n">
        <v>3.942673274728376</v>
      </c>
      <c r="AH9" s="12" t="n">
        <v>10</v>
      </c>
      <c r="AI9" s="18" t="n">
        <v>133646979.2672414</v>
      </c>
      <c r="AJ9" s="18" t="n">
        <v>67550215.075</v>
      </c>
      <c r="AK9" s="19">
        <f>AI9/AJ9</f>
        <v/>
      </c>
      <c r="AL9" s="2" t="inlineStr">
        <is>
          <t>2026-09-03</t>
        </is>
      </c>
      <c r="AM9" s="15" t="n">
        <v>0.7090784827429062</v>
      </c>
      <c r="AN9" s="14" t="n">
        <v>1</v>
      </c>
      <c r="AO9" s="9" t="n">
        <v>0.5241383109620757</v>
      </c>
      <c r="AP9" s="16" t="n">
        <v>0.05299096319390406</v>
      </c>
      <c r="AQ9" s="16" t="n">
        <v>0.07220347071117508</v>
      </c>
      <c r="AR9" s="16" t="n">
        <v>0.08177565375914107</v>
      </c>
      <c r="AS9" s="19">
        <f>AP9/AQ9</f>
        <v/>
      </c>
      <c r="AT9" s="19">
        <f>AP9/AR9</f>
        <v/>
      </c>
      <c r="AU9" s="19">
        <f>MAX(0,MIN(1,(AK9-2)/4))</f>
        <v/>
      </c>
      <c r="AV9" s="19">
        <f>MAX(0,MIN(1,(AG9-3)/7))</f>
        <v/>
      </c>
      <c r="AW9" s="19">
        <f>MAX(0,MIN(1,(AA9-0.25)/0.75))</f>
        <v/>
      </c>
      <c r="AX9" s="19">
        <f>MAX(0,MIN(1,(AM9-0.05)/0.2))</f>
        <v/>
      </c>
      <c r="AY9" s="19">
        <f>MAX(0,MIN(1,(AN9-0.7)/0.3))</f>
        <v/>
      </c>
      <c r="AZ9" s="19">
        <f>MAX(0,MIN(1,(AO9-1.2)/(0.6-1.2)))</f>
        <v/>
      </c>
      <c r="BA9" s="19">
        <f>MAX(0,MIN(1,(ABS(Q9)-0.03)/(0-0.03)))</f>
        <v/>
      </c>
      <c r="BB9" s="19">
        <f>MAX(0,MIN(1,T9/0.03))</f>
        <v/>
      </c>
      <c r="BC9" s="19">
        <f>MAX(0,MIN(1,(-X9-0.3)/(0.15-0.3)))</f>
        <v/>
      </c>
      <c r="BD9" s="19">
        <f>0.5*IF(M9&gt;N9,(J9-N9)/(M9-N9),0.5)+0.5*(J9&gt;=P9)</f>
        <v/>
      </c>
      <c r="BE9" s="19">
        <f>MAX(0,MIN(1,(AS9-0.9)/(0.5-0.9)))</f>
        <v/>
      </c>
      <c r="BF9" s="19">
        <f>MAX(0,MIN(1,(AT9-0.7)/(0.3-0.7)))</f>
        <v/>
      </c>
      <c r="BG9" s="20">
        <f>100*(0.4*AU9+0.3*AV9+0.3*AW9)</f>
        <v/>
      </c>
      <c r="BH9" s="20">
        <f>100*(0.5*AX9+0.5*AY9)</f>
        <v/>
      </c>
      <c r="BI9" s="20">
        <f>100*(0.3*AZ9+0.25*BA9+0.2*BB9+0.1*BC9+0.15*BD9)</f>
        <v/>
      </c>
      <c r="BJ9" s="20">
        <f>100*(0.5*BE9+0.5*BF9)</f>
        <v/>
      </c>
      <c r="BK9" s="21">
        <f>0.25*BG9+0.2*BH9+0.3*BI9+0.25*BJ9</f>
        <v/>
      </c>
      <c r="BL9" s="3" t="inlineStr">
        <is>
          <t>C1b 熱錢：升浪成交額係之前 60 日嘅 1.98×（要 ≥2.0×）；C3 回落20MA：收市距 MA20 +4.1%；近 3 日最低價距 MA20 +2.5%</t>
        </is>
      </c>
      <c r="BM9" s="6" t="n"/>
      <c r="BN9" s="2" t="inlineStr"/>
      <c r="BO9" s="22" t="inlineStr">
        <is>
          <t>比特幣庫存公司，股價跟比特幣走；同名單入面 GEMI、PURR 同向（21 日相關系數中位數 +0.66，名單其餘 +0.08）：當一個交易睇</t>
        </is>
      </c>
      <c r="BP9" s="23" t="n">
        <v>0</v>
      </c>
    </row>
    <row r="10">
      <c r="A10" s="24" t="n">
        <v>2</v>
      </c>
      <c r="B10" s="25">
        <f>COUNTIFS($A$2:$A$23,A10,$BK$2:$BK$23,"&gt;"&amp;BK10)+1</f>
        <v/>
      </c>
      <c r="C10" s="7" t="inlineStr">
        <is>
          <t>GEMI</t>
        </is>
      </c>
      <c r="D10" s="8" t="inlineStr">
        <is>
          <t>Gemini Space Station Inc. Class A</t>
        </is>
      </c>
      <c r="E10" s="2" t="inlineStr">
        <is>
          <t>NASDAQ</t>
        </is>
      </c>
      <c r="F10" s="2" t="inlineStr">
        <is>
          <t>金融</t>
        </is>
      </c>
      <c r="G10" s="2" t="inlineStr">
        <is>
          <t>Finance: Consumer Services</t>
        </is>
      </c>
      <c r="H10" s="9" t="n">
        <v>0.6860000000000001</v>
      </c>
      <c r="I10" s="2" t="inlineStr">
        <is>
          <t>小型</t>
        </is>
      </c>
      <c r="J10" s="10" t="n">
        <v>5.16</v>
      </c>
      <c r="K10" s="10" t="n">
        <v>5.29</v>
      </c>
      <c r="L10" s="11">
        <f>J10/K10-1</f>
        <v/>
      </c>
      <c r="M10" s="10" t="n">
        <v>5.548</v>
      </c>
      <c r="N10" s="10" t="n">
        <v>5.12</v>
      </c>
      <c r="O10" s="10" t="n">
        <v>5.464999999999918</v>
      </c>
      <c r="P10" s="10" t="n">
        <v>4.989249999999936</v>
      </c>
      <c r="Q10" s="11">
        <f>J10/P10-1</f>
        <v/>
      </c>
      <c r="R10" s="10" t="n">
        <v>4.50699999999998</v>
      </c>
      <c r="S10" s="10" t="n">
        <v>4.757749999999954</v>
      </c>
      <c r="T10" s="11">
        <f>P10/S10-1</f>
        <v/>
      </c>
      <c r="U10" s="10" t="n">
        <v>5.99</v>
      </c>
      <c r="V10" s="2" t="inlineStr">
        <is>
          <t>2026-09-21</t>
        </is>
      </c>
      <c r="W10" s="12" t="n">
        <v>7</v>
      </c>
      <c r="X10" s="13">
        <f>J10/U10-1</f>
        <v/>
      </c>
      <c r="Y10" s="2" t="inlineStr">
        <is>
          <t>2026-08-18</t>
        </is>
      </c>
      <c r="Z10" s="12" t="n">
        <v>23</v>
      </c>
      <c r="AA10" s="14" t="n">
        <v>0.692090395480226</v>
      </c>
      <c r="AB10" s="15" t="n">
        <v>0.2961860968352821</v>
      </c>
      <c r="AC10" s="16" t="n">
        <v>0.02620634363883667</v>
      </c>
      <c r="AD10" s="2" t="inlineStr">
        <is>
          <t>2026-09-18</t>
        </is>
      </c>
      <c r="AE10" s="15" t="n">
        <v>0.3115124153498872</v>
      </c>
      <c r="AF10" s="15" t="n">
        <v>0.03160270880361193</v>
      </c>
      <c r="AG10" s="17" t="n">
        <v>7.809492096329839</v>
      </c>
      <c r="AH10" s="12" t="n">
        <v>5</v>
      </c>
      <c r="AI10" s="18" t="n">
        <v>16181145.29166667</v>
      </c>
      <c r="AJ10" s="18" t="n">
        <v>7145468.7</v>
      </c>
      <c r="AK10" s="19">
        <f>AI10/AJ10</f>
        <v/>
      </c>
      <c r="AL10" s="2" t="inlineStr">
        <is>
          <t>2026-09-29</t>
        </is>
      </c>
      <c r="AM10" s="15" t="n">
        <v>0.1896265100299106</v>
      </c>
      <c r="AN10" s="14" t="n">
        <v>1</v>
      </c>
      <c r="AO10" s="9" t="n">
        <v>0.7414882810237212</v>
      </c>
      <c r="AP10" s="16" t="n">
        <v>0.06728011425860636</v>
      </c>
      <c r="AQ10" s="16" t="n">
        <v>0.09396709083321229</v>
      </c>
      <c r="AR10" s="16" t="n">
        <v>0.1098987973215118</v>
      </c>
      <c r="AS10" s="19">
        <f>AP10/AQ10</f>
        <v/>
      </c>
      <c r="AT10" s="19">
        <f>AP10/AR10</f>
        <v/>
      </c>
      <c r="AU10" s="19">
        <f>MAX(0,MIN(1,(AK10-2)/4))</f>
        <v/>
      </c>
      <c r="AV10" s="19">
        <f>MAX(0,MIN(1,(AG10-3)/7))</f>
        <v/>
      </c>
      <c r="AW10" s="19">
        <f>MAX(0,MIN(1,(AA10-0.25)/0.75))</f>
        <v/>
      </c>
      <c r="AX10" s="19">
        <f>MAX(0,MIN(1,(AM10-0.05)/0.2))</f>
        <v/>
      </c>
      <c r="AY10" s="19">
        <f>MAX(0,MIN(1,(AN10-0.7)/0.3))</f>
        <v/>
      </c>
      <c r="AZ10" s="19">
        <f>MAX(0,MIN(1,(AO10-1.2)/(0.6-1.2)))</f>
        <v/>
      </c>
      <c r="BA10" s="19">
        <f>MAX(0,MIN(1,(ABS(Q10)-0.03)/(0-0.03)))</f>
        <v/>
      </c>
      <c r="BB10" s="19">
        <f>MAX(0,MIN(1,T10/0.03))</f>
        <v/>
      </c>
      <c r="BC10" s="19">
        <f>MAX(0,MIN(1,(-X10-0.3)/(0.15-0.3)))</f>
        <v/>
      </c>
      <c r="BD10" s="19">
        <f>0.5*IF(M10&gt;N10,(J10-N10)/(M10-N10),0.5)+0.5*(J10&gt;=P10)</f>
        <v/>
      </c>
      <c r="BE10" s="19">
        <f>MAX(0,MIN(1,(AS10-0.9)/(0.5-0.9)))</f>
        <v/>
      </c>
      <c r="BF10" s="19">
        <f>MAX(0,MIN(1,(AT10-0.7)/(0.3-0.7)))</f>
        <v/>
      </c>
      <c r="BG10" s="20">
        <f>100*(0.4*AU10+0.3*AV10+0.3*AW10)</f>
        <v/>
      </c>
      <c r="BH10" s="20">
        <f>100*(0.5*AX10+0.5*AY10)</f>
        <v/>
      </c>
      <c r="BI10" s="20">
        <f>100*(0.3*AZ10+0.25*BA10+0.2*BB10+0.1*BC10+0.15*BD10)</f>
        <v/>
      </c>
      <c r="BJ10" s="20">
        <f>100*(0.5*BE10+0.5*BF10)</f>
        <v/>
      </c>
      <c r="BK10" s="21">
        <f>0.25*BG10+0.2*BH10+0.3*BI10+0.25*BJ10</f>
        <v/>
      </c>
      <c r="BL10" s="3" t="inlineStr">
        <is>
          <t>C3 回落20MA：收市距 MA20 +3.4%；近 3 日最低價距 MA20 +2.6%</t>
        </is>
      </c>
      <c r="BM10" s="6" t="n"/>
      <c r="BN10" s="2" t="inlineStr"/>
      <c r="BO10" s="22" t="inlineStr">
        <is>
          <t>09-18 +31% 係加密板塊因 SEC 代幣化豁免同升；一年跌 76%，升浪係低位反彈而非趨勢；同名單入面 ASST、PURR 同向（21 日相關系數中位數 +0.66，名單其餘 +0.08）：當一個交易睇</t>
        </is>
      </c>
      <c r="BP10" s="23" t="n">
        <v>0</v>
      </c>
    </row>
    <row r="11">
      <c r="A11" s="24" t="n">
        <v>2</v>
      </c>
      <c r="B11" s="25">
        <f>COUNTIFS($A$2:$A$23,A11,$BK$2:$BK$23,"&gt;"&amp;BK11)+1</f>
        <v/>
      </c>
      <c r="C11" s="7" t="inlineStr">
        <is>
          <t>UMAC</t>
        </is>
      </c>
      <c r="D11" s="8" t="inlineStr">
        <is>
          <t>Unusual Machines Inc.</t>
        </is>
      </c>
      <c r="E11" s="2" t="inlineStr">
        <is>
          <t>AMEX</t>
        </is>
      </c>
      <c r="F11" s="2" t="inlineStr">
        <is>
          <t>科技</t>
        </is>
      </c>
      <c r="G11" s="2" t="inlineStr">
        <is>
          <t>Radio And Television Broadcasting And Communications Equipment</t>
        </is>
      </c>
      <c r="H11" s="9" t="n">
        <v>1.246</v>
      </c>
      <c r="I11" s="2" t="inlineStr">
        <is>
          <t>小型</t>
        </is>
      </c>
      <c r="J11" s="10" t="n">
        <v>24.48</v>
      </c>
      <c r="K11" s="10" t="n">
        <v>24.94</v>
      </c>
      <c r="L11" s="11">
        <f>J11/K11-1</f>
        <v/>
      </c>
      <c r="M11" s="10" t="n">
        <v>25.78</v>
      </c>
      <c r="N11" s="10" t="n">
        <v>24.471</v>
      </c>
      <c r="O11" s="10" t="n">
        <v>23.93899999999994</v>
      </c>
      <c r="P11" s="10" t="n">
        <v>23.7845</v>
      </c>
      <c r="Q11" s="11">
        <f>J11/P11-1</f>
        <v/>
      </c>
      <c r="R11" s="10" t="n">
        <v>24.29600000000001</v>
      </c>
      <c r="S11" s="10" t="n">
        <v>23.74100000000003</v>
      </c>
      <c r="T11" s="11">
        <f>P11/S11-1</f>
        <v/>
      </c>
      <c r="U11" s="10" t="n">
        <v>34.06</v>
      </c>
      <c r="V11" s="2" t="inlineStr">
        <is>
          <t>2026-08-14</t>
        </is>
      </c>
      <c r="W11" s="12" t="n">
        <v>32</v>
      </c>
      <c r="X11" s="13">
        <f>J11/U11-1</f>
        <v/>
      </c>
      <c r="Y11" s="2" t="inlineStr">
        <is>
          <t>2026-05-19</t>
        </is>
      </c>
      <c r="Z11" s="12" t="n">
        <v>60</v>
      </c>
      <c r="AA11" s="14" t="n">
        <v>1.493411420204978</v>
      </c>
      <c r="AB11" s="15" t="n">
        <v>0.467565762543894</v>
      </c>
      <c r="AC11" s="16" t="n">
        <v>-0.01225163460928302</v>
      </c>
      <c r="AD11" s="2" t="inlineStr">
        <is>
          <t>2026-05-28</t>
        </is>
      </c>
      <c r="AE11" s="15" t="n">
        <v>0.5719596388741373</v>
      </c>
      <c r="AF11" s="15" t="n">
        <v>0.3276686139139673</v>
      </c>
      <c r="AG11" s="17" t="n">
        <v>10.64185418718781</v>
      </c>
      <c r="AH11" s="12" t="n">
        <v>4</v>
      </c>
      <c r="AI11" s="18" t="n">
        <v>153044859.8196721</v>
      </c>
      <c r="AJ11" s="18" t="n">
        <v>71336481.5</v>
      </c>
      <c r="AK11" s="19">
        <f>AI11/AJ11</f>
        <v/>
      </c>
      <c r="AL11" s="2" t="inlineStr">
        <is>
          <t>2026-08-18</t>
        </is>
      </c>
      <c r="AM11" s="15" t="n">
        <v>0.3265315852204966</v>
      </c>
      <c r="AN11" s="14" t="n">
        <v>1</v>
      </c>
      <c r="AO11" s="9" t="n">
        <v>0.7360685906917547</v>
      </c>
      <c r="AP11" s="16" t="n">
        <v>0.0622173299712617</v>
      </c>
      <c r="AQ11" s="16" t="n">
        <v>0.06876610531348318</v>
      </c>
      <c r="AR11" s="16" t="n">
        <v>0.1346293512250986</v>
      </c>
      <c r="AS11" s="19">
        <f>AP11/AQ11</f>
        <v/>
      </c>
      <c r="AT11" s="19">
        <f>AP11/AR11</f>
        <v/>
      </c>
      <c r="AU11" s="19">
        <f>MAX(0,MIN(1,(AK11-2)/4))</f>
        <v/>
      </c>
      <c r="AV11" s="19">
        <f>MAX(0,MIN(1,(AG11-3)/7))</f>
        <v/>
      </c>
      <c r="AW11" s="19">
        <f>MAX(0,MIN(1,(AA11-0.25)/0.75))</f>
        <v/>
      </c>
      <c r="AX11" s="19">
        <f>MAX(0,MIN(1,(AM11-0.05)/0.2))</f>
        <v/>
      </c>
      <c r="AY11" s="19">
        <f>MAX(0,MIN(1,(AN11-0.7)/0.3))</f>
        <v/>
      </c>
      <c r="AZ11" s="19">
        <f>MAX(0,MIN(1,(AO11-1.2)/(0.6-1.2)))</f>
        <v/>
      </c>
      <c r="BA11" s="19">
        <f>MAX(0,MIN(1,(ABS(Q11)-0.03)/(0-0.03)))</f>
        <v/>
      </c>
      <c r="BB11" s="19">
        <f>MAX(0,MIN(1,T11/0.03))</f>
        <v/>
      </c>
      <c r="BC11" s="19">
        <f>MAX(0,MIN(1,(-X11-0.3)/(0.15-0.3)))</f>
        <v/>
      </c>
      <c r="BD11" s="19">
        <f>0.5*IF(M11&gt;N11,(J11-N11)/(M11-N11),0.5)+0.5*(J11&gt;=P11)</f>
        <v/>
      </c>
      <c r="BE11" s="19">
        <f>MAX(0,MIN(1,(AS11-0.9)/(0.5-0.9)))</f>
        <v/>
      </c>
      <c r="BF11" s="19">
        <f>MAX(0,MIN(1,(AT11-0.7)/(0.3-0.7)))</f>
        <v/>
      </c>
      <c r="BG11" s="20">
        <f>100*(0.4*AU11+0.3*AV11+0.3*AW11)</f>
        <v/>
      </c>
      <c r="BH11" s="20">
        <f>100*(0.5*AX11+0.5*AY11)</f>
        <v/>
      </c>
      <c r="BI11" s="20">
        <f>100*(0.3*AZ11+0.25*BA11+0.2*BB11+0.1*BC11+0.15*BD11)</f>
        <v/>
      </c>
      <c r="BJ11" s="20">
        <f>100*(0.5*BE11+0.5*BF11)</f>
        <v/>
      </c>
      <c r="BK11" s="21">
        <f>0.25*BG11+0.2*BH11+0.3*BI11+0.25*BJ11</f>
        <v/>
      </c>
      <c r="BL11" s="3" t="inlineStr">
        <is>
          <t>C3 回落20MA：高位喺 32 日前；C4 波幅減低：ATR5/ATR20 0.90（要 ≤0.9）；ATR5 係升浪期 ATR 嘅 0.46×（要 ≤0.7）</t>
        </is>
      </c>
      <c r="BM11" s="6" t="n"/>
      <c r="BN11" s="2" t="inlineStr"/>
      <c r="BO11" s="22" t="inlineStr">
        <is>
          <t>回調唔係有序回落：期內有一日跌 -11.5%；05-28 +57% 係 WSJ 傳聞（政府資助無人機公司）帶動；距高位 −28%</t>
        </is>
      </c>
      <c r="BP11" s="23" t="n">
        <v>0</v>
      </c>
    </row>
    <row r="12">
      <c r="A12" s="24" t="n">
        <v>2</v>
      </c>
      <c r="B12" s="25">
        <f>COUNTIFS($A$2:$A$23,A12,$BK$2:$BK$23,"&gt;"&amp;BK12)+1</f>
        <v/>
      </c>
      <c r="C12" s="7" t="inlineStr">
        <is>
          <t>PURR</t>
        </is>
      </c>
      <c r="D12" s="2" t="inlineStr">
        <is>
          <t>Hyperliquid Strategies Inc</t>
        </is>
      </c>
      <c r="E12" s="2" t="inlineStr">
        <is>
          <t>NASDAQ</t>
        </is>
      </c>
      <c r="F12" s="2" t="inlineStr">
        <is>
          <t>金融</t>
        </is>
      </c>
      <c r="G12" s="2" t="inlineStr">
        <is>
          <t>Finance: Consumer Services</t>
        </is>
      </c>
      <c r="H12" s="9" t="n">
        <v>2.836</v>
      </c>
      <c r="I12" s="2" t="inlineStr">
        <is>
          <t>中型</t>
        </is>
      </c>
      <c r="J12" s="10" t="n">
        <v>12.27</v>
      </c>
      <c r="K12" s="10" t="n">
        <v>11.92</v>
      </c>
      <c r="L12" s="11">
        <f>J12/K12-1</f>
        <v/>
      </c>
      <c r="M12" s="10" t="n">
        <v>12.545</v>
      </c>
      <c r="N12" s="10" t="n">
        <v>11.983</v>
      </c>
      <c r="O12" s="10" t="n">
        <v>13.15699999999997</v>
      </c>
      <c r="P12" s="10" t="n">
        <v>12.44549999999998</v>
      </c>
      <c r="Q12" s="11">
        <f>J12/P12-1</f>
        <v/>
      </c>
      <c r="R12" s="10" t="n">
        <v>9.861299999999993</v>
      </c>
      <c r="S12" s="10" t="n">
        <v>12.26524999999998</v>
      </c>
      <c r="T12" s="11">
        <f>P12/S12-1</f>
        <v/>
      </c>
      <c r="U12" s="10" t="n">
        <v>14.09</v>
      </c>
      <c r="V12" s="2" t="inlineStr">
        <is>
          <t>2026-09-24</t>
        </is>
      </c>
      <c r="W12" s="12" t="n">
        <v>4</v>
      </c>
      <c r="X12" s="13">
        <f>J12/U12-1</f>
        <v/>
      </c>
      <c r="Y12" s="2" t="inlineStr">
        <is>
          <t>2026-07-29</t>
        </is>
      </c>
      <c r="Z12" s="12" t="n">
        <v>40</v>
      </c>
      <c r="AA12" s="14" t="n">
        <v>1.360134003350084</v>
      </c>
      <c r="AB12" s="15" t="n">
        <v>0.137046825508909</v>
      </c>
      <c r="AC12" s="16" t="n">
        <v>-0.04594850702635001</v>
      </c>
      <c r="AD12" s="2" t="inlineStr">
        <is>
          <t>2026-08-19</t>
        </is>
      </c>
      <c r="AE12" s="15" t="n">
        <v>0.3041666666666667</v>
      </c>
      <c r="AF12" s="15" t="n">
        <v>0.008333333333333304</v>
      </c>
      <c r="AG12" s="17" t="n">
        <v>5.658375746814334</v>
      </c>
      <c r="AH12" s="12" t="n">
        <v>6</v>
      </c>
      <c r="AI12" s="18" t="n">
        <v>242680775.8902439</v>
      </c>
      <c r="AJ12" s="18" t="n">
        <v>121030127.2833333</v>
      </c>
      <c r="AK12" s="19">
        <f>AI12/AJ12</f>
        <v/>
      </c>
      <c r="AL12" s="2" t="inlineStr">
        <is>
          <t>2026-09-01</t>
        </is>
      </c>
      <c r="AM12" s="15" t="n">
        <v>0.6477890406933959</v>
      </c>
      <c r="AN12" s="14" t="n">
        <v>1</v>
      </c>
      <c r="AO12" s="9" t="n">
        <v>0.7240024341915169</v>
      </c>
      <c r="AP12" s="16" t="n">
        <v>0.07310252274462888</v>
      </c>
      <c r="AQ12" s="16" t="n">
        <v>0.0912420953301287</v>
      </c>
      <c r="AR12" s="16" t="n">
        <v>0.09662873718076127</v>
      </c>
      <c r="AS12" s="19">
        <f>AP12/AQ12</f>
        <v/>
      </c>
      <c r="AT12" s="19">
        <f>AP12/AR12</f>
        <v/>
      </c>
      <c r="AU12" s="19">
        <f>MAX(0,MIN(1,(AK12-2)/4))</f>
        <v/>
      </c>
      <c r="AV12" s="19">
        <f>MAX(0,MIN(1,(AG12-3)/7))</f>
        <v/>
      </c>
      <c r="AW12" s="19">
        <f>MAX(0,MIN(1,(AA12-0.25)/0.75))</f>
        <v/>
      </c>
      <c r="AX12" s="19">
        <f>MAX(0,MIN(1,(AM12-0.05)/0.2))</f>
        <v/>
      </c>
      <c r="AY12" s="19">
        <f>MAX(0,MIN(1,(AN12-0.7)/0.3))</f>
        <v/>
      </c>
      <c r="AZ12" s="19">
        <f>MAX(0,MIN(1,(AO12-1.2)/(0.6-1.2)))</f>
        <v/>
      </c>
      <c r="BA12" s="19">
        <f>MAX(0,MIN(1,(ABS(Q12)-0.03)/(0-0.03)))</f>
        <v/>
      </c>
      <c r="BB12" s="19">
        <f>MAX(0,MIN(1,T12/0.03))</f>
        <v/>
      </c>
      <c r="BC12" s="19">
        <f>MAX(0,MIN(1,(-X12-0.3)/(0.15-0.3)))</f>
        <v/>
      </c>
      <c r="BD12" s="19">
        <f>0.5*IF(M12&gt;N12,(J12-N12)/(M12-N12),0.5)+0.5*(J12&gt;=P12)</f>
        <v/>
      </c>
      <c r="BE12" s="19">
        <f>MAX(0,MIN(1,(AS12-0.9)/(0.5-0.9)))</f>
        <v/>
      </c>
      <c r="BF12" s="19">
        <f>MAX(0,MIN(1,(AT12-0.7)/(0.3-0.7)))</f>
        <v/>
      </c>
      <c r="BG12" s="20">
        <f>100*(0.4*AU12+0.3*AV12+0.3*AW12)</f>
        <v/>
      </c>
      <c r="BH12" s="20">
        <f>100*(0.5*AX12+0.5*AY12)</f>
        <v/>
      </c>
      <c r="BI12" s="20">
        <f>100*(0.3*AZ12+0.25*BA12+0.2*BB12+0.1*BC12+0.15*BD12)</f>
        <v/>
      </c>
      <c r="BJ12" s="20">
        <f>100*(0.5*BE12+0.5*BF12)</f>
        <v/>
      </c>
      <c r="BK12" s="21">
        <f>0.25*BG12+0.2*BH12+0.3*BI12+0.25*BJ12</f>
        <v/>
      </c>
      <c r="BL12" s="3" t="inlineStr">
        <is>
          <t>C4 波幅減低：ATR5/ATR20 0.80（要 ≤0.9）；ATR5 係升浪期 ATR 嘅 0.76×（要 ≤0.7）</t>
        </is>
      </c>
      <c r="BM12" s="6" t="n">
        <v>10</v>
      </c>
      <c r="BN12" s="2" t="inlineStr"/>
      <c r="BO12" s="22" t="inlineStr">
        <is>
          <t>回調唔係有序回落：期內有一日跌 -8.8%；加密貨幣（HYPE 代幣）庫存公司，股價跟代幣走；09-25 監管負面消息；同名單入面 ASST、GEMI 同向（21 日相關系數中位數 +0.66，名單其餘 +0.08）：當一個交易睇</t>
        </is>
      </c>
      <c r="BP12" s="23" t="n">
        <v>0</v>
      </c>
    </row>
    <row r="13">
      <c r="A13" s="24" t="n">
        <v>2</v>
      </c>
      <c r="B13" s="25">
        <f>COUNTIFS($A$2:$A$23,A13,$BK$2:$BK$23,"&gt;"&amp;BK13)+1</f>
        <v/>
      </c>
      <c r="C13" s="7" t="inlineStr">
        <is>
          <t>UTMD</t>
        </is>
      </c>
      <c r="D13" s="8" t="inlineStr">
        <is>
          <t>Utah Medical Products Inc.</t>
        </is>
      </c>
      <c r="E13" s="2" t="inlineStr">
        <is>
          <t>NASDAQ</t>
        </is>
      </c>
      <c r="F13" s="2" t="inlineStr">
        <is>
          <t>醫療保健</t>
        </is>
      </c>
      <c r="G13" s="2" t="inlineStr">
        <is>
          <t>Medical/Dental Instruments</t>
        </is>
      </c>
      <c r="H13" s="9" t="n">
        <v>0.239</v>
      </c>
      <c r="I13" s="2" t="inlineStr">
        <is>
          <t>小型</t>
        </is>
      </c>
      <c r="J13" s="10" t="n">
        <v>74.05</v>
      </c>
      <c r="K13" s="10" t="n">
        <v>74.95</v>
      </c>
      <c r="L13" s="11">
        <f>J13/K13-1</f>
        <v/>
      </c>
      <c r="M13" s="10" t="n">
        <v>74.95</v>
      </c>
      <c r="N13" s="10" t="n">
        <v>74.04000000000001</v>
      </c>
      <c r="O13" s="10" t="n">
        <v>74.67200000000011</v>
      </c>
      <c r="P13" s="10" t="n">
        <v>72.88799999999983</v>
      </c>
      <c r="Q13" s="11">
        <f>J13/P13-1</f>
        <v/>
      </c>
      <c r="R13" s="10" t="n">
        <v>71.66299999999984</v>
      </c>
      <c r="S13" s="10" t="n">
        <v>72.18449999999966</v>
      </c>
      <c r="T13" s="11">
        <f>P13/S13-1</f>
        <v/>
      </c>
      <c r="U13" s="10" t="n">
        <v>76.66</v>
      </c>
      <c r="V13" s="2" t="inlineStr">
        <is>
          <t>2026-09-22</t>
        </is>
      </c>
      <c r="W13" s="12" t="n">
        <v>6</v>
      </c>
      <c r="X13" s="13">
        <f>J13/U13-1</f>
        <v/>
      </c>
      <c r="Y13" s="2" t="inlineStr">
        <is>
          <t>2026-07-23</t>
        </is>
      </c>
      <c r="Z13" s="12" t="n">
        <v>42</v>
      </c>
      <c r="AA13" s="14" t="n">
        <v>0.1944531006544092</v>
      </c>
      <c r="AB13" s="15" t="n">
        <v>0.06498846933956304</v>
      </c>
      <c r="AC13" s="16" t="n">
        <v>0.01580507079354865</v>
      </c>
      <c r="AD13" s="2" t="inlineStr">
        <is>
          <t>2026-06-26</t>
        </is>
      </c>
      <c r="AE13" s="15" t="n">
        <v>0.1061761627037534</v>
      </c>
      <c r="AF13" s="15" t="n">
        <v>0.03589053387169128</v>
      </c>
      <c r="AG13" s="17" t="n">
        <v>7.840236686390533</v>
      </c>
      <c r="AH13" s="12" t="n">
        <v>1</v>
      </c>
      <c r="AI13" s="18" t="n">
        <v>2595277.976744186</v>
      </c>
      <c r="AJ13" s="18" t="n">
        <v>988995.4666666667</v>
      </c>
      <c r="AK13" s="19">
        <f>AI13/AJ13</f>
        <v/>
      </c>
      <c r="AL13" s="2" t="inlineStr">
        <is>
          <t>2026-09-28</t>
        </is>
      </c>
      <c r="AM13" s="15" t="n">
        <v>0.05837729000057013</v>
      </c>
      <c r="AN13" s="14" t="n">
        <v>1</v>
      </c>
      <c r="AO13" s="9" t="n">
        <v>0.8686194895591647</v>
      </c>
      <c r="AP13" s="16" t="n">
        <v>0.01145619427208788</v>
      </c>
      <c r="AQ13" s="16" t="n">
        <v>0.01917648018998088</v>
      </c>
      <c r="AR13" s="16" t="n">
        <v>0.02777194606809373</v>
      </c>
      <c r="AS13" s="19">
        <f>AP13/AQ13</f>
        <v/>
      </c>
      <c r="AT13" s="19">
        <f>AP13/AR13</f>
        <v/>
      </c>
      <c r="AU13" s="19">
        <f>MAX(0,MIN(1,(AK13-2)/4))</f>
        <v/>
      </c>
      <c r="AV13" s="19">
        <f>MAX(0,MIN(1,(AG13-3)/7))</f>
        <v/>
      </c>
      <c r="AW13" s="19">
        <f>MAX(0,MIN(1,(AA13-0.25)/0.75))</f>
        <v/>
      </c>
      <c r="AX13" s="19">
        <f>MAX(0,MIN(1,(AM13-0.05)/0.2))</f>
        <v/>
      </c>
      <c r="AY13" s="19">
        <f>MAX(0,MIN(1,(AN13-0.7)/0.3))</f>
        <v/>
      </c>
      <c r="AZ13" s="19">
        <f>MAX(0,MIN(1,(AO13-1.2)/(0.6-1.2)))</f>
        <v/>
      </c>
      <c r="BA13" s="19">
        <f>MAX(0,MIN(1,(ABS(Q13)-0.03)/(0-0.03)))</f>
        <v/>
      </c>
      <c r="BB13" s="19">
        <f>MAX(0,MIN(1,T13/0.03))</f>
        <v/>
      </c>
      <c r="BC13" s="19">
        <f>MAX(0,MIN(1,(-X13-0.3)/(0.15-0.3)))</f>
        <v/>
      </c>
      <c r="BD13" s="19">
        <f>0.5*IF(M13&gt;N13,(J13-N13)/(M13-N13),0.5)+0.5*(J13&gt;=P13)</f>
        <v/>
      </c>
      <c r="BE13" s="19">
        <f>MAX(0,MIN(1,(AS13-0.9)/(0.5-0.9)))</f>
        <v/>
      </c>
      <c r="BF13" s="19">
        <f>MAX(0,MIN(1,(AT13-0.7)/(0.3-0.7)))</f>
        <v/>
      </c>
      <c r="BG13" s="20">
        <f>100*(0.4*AU13+0.3*AV13+0.3*AW13)</f>
        <v/>
      </c>
      <c r="BH13" s="20">
        <f>100*(0.5*AX13+0.5*AY13)</f>
        <v/>
      </c>
      <c r="BI13" s="20">
        <f>100*(0.3*AZ13+0.25*BA13+0.2*BB13+0.1*BC13+0.15*BD13)</f>
        <v/>
      </c>
      <c r="BJ13" s="20">
        <f>100*(0.5*BE13+0.5*BF13)</f>
        <v/>
      </c>
      <c r="BK13" s="21">
        <f>0.25*BG13+0.2*BH13+0.3*BI13+0.25*BJ13</f>
        <v/>
      </c>
      <c r="BL13" s="3" t="inlineStr">
        <is>
          <t>C3 回落20MA：高位時只高過 MA20 6.5%；近 3 日最低價距 MA20 +1.6%</t>
        </is>
      </c>
      <c r="BM13" s="6" t="n"/>
      <c r="BN13" s="2" t="inlineStr"/>
      <c r="BO13" s="22" t="inlineStr">
        <is>
          <t>事件日升幅：媒體 +6.6% vs 我哋數據 +10.6%，未對得上；20 日成交額中位數只有 $2.2M（股票池下限 $1M），入市出市都會有滑價</t>
        </is>
      </c>
      <c r="BP13" s="23" t="n">
        <v>0</v>
      </c>
    </row>
    <row r="14">
      <c r="A14" s="24" t="n">
        <v>2</v>
      </c>
      <c r="B14" s="25">
        <f>COUNTIFS($A$2:$A$23,A14,$BK$2:$BK$23,"&gt;"&amp;BK14)+1</f>
        <v/>
      </c>
      <c r="C14" s="26" t="inlineStr">
        <is>
          <t>RNG</t>
        </is>
      </c>
      <c r="D14" s="8" t="inlineStr">
        <is>
          <t>RingCentral Inc. Class A</t>
        </is>
      </c>
      <c r="E14" s="2" t="inlineStr">
        <is>
          <t>NYSE</t>
        </is>
      </c>
      <c r="F14" s="2" t="inlineStr">
        <is>
          <t>科技</t>
        </is>
      </c>
      <c r="G14" s="2" t="inlineStr">
        <is>
          <t>EDP Services</t>
        </is>
      </c>
      <c r="H14" s="9" t="n">
        <v>6.215</v>
      </c>
      <c r="I14" s="2" t="inlineStr">
        <is>
          <t>中型</t>
        </is>
      </c>
      <c r="J14" s="10" t="n">
        <v>74.7</v>
      </c>
      <c r="K14" s="10" t="n">
        <v>74.43000000000001</v>
      </c>
      <c r="L14" s="11">
        <f>J14/K14-1</f>
        <v/>
      </c>
      <c r="M14" s="10" t="n">
        <v>76.34999999999999</v>
      </c>
      <c r="N14" s="10" t="n">
        <v>73.98999999999999</v>
      </c>
      <c r="O14" s="10" t="n">
        <v>76.41399999999994</v>
      </c>
      <c r="P14" s="10" t="n">
        <v>74.12750000000005</v>
      </c>
      <c r="Q14" s="11">
        <f>J14/P14-1</f>
        <v/>
      </c>
      <c r="R14" s="10" t="n">
        <v>66.3254</v>
      </c>
      <c r="S14" s="10" t="n">
        <v>72.28350000000009</v>
      </c>
      <c r="T14" s="11">
        <f>P14/S14-1</f>
        <v/>
      </c>
      <c r="U14" s="10" t="n">
        <v>79.81999999999999</v>
      </c>
      <c r="V14" s="2" t="inlineStr">
        <is>
          <t>2026-09-24</t>
        </is>
      </c>
      <c r="W14" s="12" t="n">
        <v>4</v>
      </c>
      <c r="X14" s="13">
        <f>J14/U14-1</f>
        <v/>
      </c>
      <c r="Y14" s="2" t="inlineStr">
        <is>
          <t>2026-06-25</t>
        </is>
      </c>
      <c r="Z14" s="12" t="n">
        <v>63</v>
      </c>
      <c r="AA14" s="14" t="n">
        <v>1.303607503607504</v>
      </c>
      <c r="AB14" s="15" t="n">
        <v>0.09385170922894392</v>
      </c>
      <c r="AC14" s="16" t="n">
        <v>-0.02219637229308458</v>
      </c>
      <c r="AD14" s="2" t="inlineStr">
        <is>
          <t>2026-07-24</t>
        </is>
      </c>
      <c r="AE14" s="15" t="n">
        <v>0.2509062661833248</v>
      </c>
      <c r="AF14" s="15" t="n">
        <v>0.0486794407042983</v>
      </c>
      <c r="AG14" s="17" t="n">
        <v>5.348641484506222</v>
      </c>
      <c r="AH14" s="12" t="n">
        <v>2</v>
      </c>
      <c r="AI14" s="18" t="n">
        <v>108165473.4375</v>
      </c>
      <c r="AJ14" s="18" t="n">
        <v>68510315.98333333</v>
      </c>
      <c r="AK14" s="19">
        <f>AI14/AJ14</f>
        <v/>
      </c>
      <c r="AL14" s="2" t="inlineStr">
        <is>
          <t>2026-08-18</t>
        </is>
      </c>
      <c r="AM14" s="15" t="n">
        <v>0.2277492450035563</v>
      </c>
      <c r="AN14" s="14" t="n">
        <v>1</v>
      </c>
      <c r="AO14" s="9" t="n">
        <v>0.9278521616121507</v>
      </c>
      <c r="AP14" s="16" t="n">
        <v>0.04070204618809787</v>
      </c>
      <c r="AQ14" s="16" t="n">
        <v>0.04710444018021474</v>
      </c>
      <c r="AR14" s="16" t="n">
        <v>0.05525751277960014</v>
      </c>
      <c r="AS14" s="19">
        <f>AP14/AQ14</f>
        <v/>
      </c>
      <c r="AT14" s="19">
        <f>AP14/AR14</f>
        <v/>
      </c>
      <c r="AU14" s="19">
        <f>MAX(0,MIN(1,(AK14-2)/4))</f>
        <v/>
      </c>
      <c r="AV14" s="19">
        <f>MAX(0,MIN(1,(AG14-3)/7))</f>
        <v/>
      </c>
      <c r="AW14" s="19">
        <f>MAX(0,MIN(1,(AA14-0.25)/0.75))</f>
        <v/>
      </c>
      <c r="AX14" s="19">
        <f>MAX(0,MIN(1,(AM14-0.05)/0.2))</f>
        <v/>
      </c>
      <c r="AY14" s="19">
        <f>MAX(0,MIN(1,(AN14-0.7)/0.3))</f>
        <v/>
      </c>
      <c r="AZ14" s="19">
        <f>MAX(0,MIN(1,(AO14-1.2)/(0.6-1.2)))</f>
        <v/>
      </c>
      <c r="BA14" s="19">
        <f>MAX(0,MIN(1,(ABS(Q14)-0.03)/(0-0.03)))</f>
        <v/>
      </c>
      <c r="BB14" s="19">
        <f>MAX(0,MIN(1,T14/0.03))</f>
        <v/>
      </c>
      <c r="BC14" s="19">
        <f>MAX(0,MIN(1,(-X14-0.3)/(0.15-0.3)))</f>
        <v/>
      </c>
      <c r="BD14" s="19">
        <f>0.5*IF(M14&gt;N14,(J14-N14)/(M14-N14),0.5)+0.5*(J14&gt;=P14)</f>
        <v/>
      </c>
      <c r="BE14" s="19">
        <f>MAX(0,MIN(1,(AS14-0.9)/(0.5-0.9)))</f>
        <v/>
      </c>
      <c r="BF14" s="19">
        <f>MAX(0,MIN(1,(AT14-0.7)/(0.3-0.7)))</f>
        <v/>
      </c>
      <c r="BG14" s="20">
        <f>100*(0.4*AU14+0.3*AV14+0.3*AW14)</f>
        <v/>
      </c>
      <c r="BH14" s="20">
        <f>100*(0.5*AX14+0.5*AY14)</f>
        <v/>
      </c>
      <c r="BI14" s="20">
        <f>100*(0.3*AZ14+0.25*BA14+0.2*BB14+0.1*BC14+0.15*BD14)</f>
        <v/>
      </c>
      <c r="BJ14" s="20">
        <f>100*(0.5*BE14+0.5*BF14)</f>
        <v/>
      </c>
      <c r="BK14" s="21">
        <f>0.25*BG14+0.2*BH14+0.3*BI14+0.25*BJ14</f>
        <v/>
      </c>
      <c r="BL14" s="3" t="inlineStr">
        <is>
          <t>C1b 熱錢：升浪成交額係之前 60 日嘅 1.58×（要 ≥2.0×）；C4 波幅減低：ATR5/ATR20 0.86（要 ≤0.9）；ATR5 係升浪期 ATR 嘅 0.74×（要 ≤0.7）</t>
        </is>
      </c>
      <c r="BM14" s="6" t="n"/>
      <c r="BN14" s="2" t="inlineStr"/>
      <c r="BO14" s="3" t="inlineStr"/>
      <c r="BP14" s="23" t="n">
        <v>0</v>
      </c>
    </row>
    <row r="15">
      <c r="A15" s="24" t="n">
        <v>2</v>
      </c>
      <c r="B15" s="25">
        <f>COUNTIFS($A$2:$A$23,A15,$BK$2:$BK$23,"&gt;"&amp;BK15)+1</f>
        <v/>
      </c>
      <c r="C15" s="26" t="inlineStr">
        <is>
          <t>ASO</t>
        </is>
      </c>
      <c r="D15" s="8" t="inlineStr">
        <is>
          <t>Academy Sports and Outdoors Inc.</t>
        </is>
      </c>
      <c r="E15" s="2" t="inlineStr">
        <is>
          <t>NASDAQ</t>
        </is>
      </c>
      <c r="F15" s="2" t="inlineStr">
        <is>
          <t>非必需消費</t>
        </is>
      </c>
      <c r="G15" s="2" t="inlineStr">
        <is>
          <t>Other Specialty Stores</t>
        </is>
      </c>
      <c r="H15" s="9" t="n">
        <v>2.949</v>
      </c>
      <c r="I15" s="2" t="inlineStr">
        <is>
          <t>中型</t>
        </is>
      </c>
      <c r="J15" s="10" t="n">
        <v>48.09</v>
      </c>
      <c r="K15" s="10" t="n">
        <v>47.89</v>
      </c>
      <c r="L15" s="11">
        <f>J15/K15-1</f>
        <v/>
      </c>
      <c r="M15" s="10" t="n">
        <v>48.605</v>
      </c>
      <c r="N15" s="10" t="n">
        <v>47.5</v>
      </c>
      <c r="O15" s="10" t="n">
        <v>48.61299999999992</v>
      </c>
      <c r="P15" s="10" t="n">
        <v>48.94475000000002</v>
      </c>
      <c r="Q15" s="11">
        <f>J15/P15-1</f>
        <v/>
      </c>
      <c r="R15" s="10" t="n">
        <v>47.79869999999992</v>
      </c>
      <c r="S15" s="10" t="n">
        <v>47.62424999999994</v>
      </c>
      <c r="T15" s="11">
        <f>P15/S15-1</f>
        <v/>
      </c>
      <c r="U15" s="10" t="n">
        <v>55.36</v>
      </c>
      <c r="V15" s="2" t="inlineStr">
        <is>
          <t>2026-09-11</t>
        </is>
      </c>
      <c r="W15" s="12" t="n">
        <v>13</v>
      </c>
      <c r="X15" s="13">
        <f>J15/U15-1</f>
        <v/>
      </c>
      <c r="Y15" s="2" t="inlineStr">
        <is>
          <t>2026-08-27</t>
        </is>
      </c>
      <c r="Z15" s="12" t="n">
        <v>10</v>
      </c>
      <c r="AA15" s="14" t="n">
        <v>0.2986159981233871</v>
      </c>
      <c r="AB15" s="15" t="n">
        <v>0.199872123455054</v>
      </c>
      <c r="AC15" s="16" t="n">
        <v>-0.02951797690252822</v>
      </c>
      <c r="AD15" s="2" t="inlineStr">
        <is>
          <t>2026-09-09</t>
        </is>
      </c>
      <c r="AE15" s="15" t="n">
        <v>0.1440393647953477</v>
      </c>
      <c r="AF15" s="15" t="n">
        <v>0.06777007380899125</v>
      </c>
      <c r="AG15" s="17" t="n">
        <v>3.981220595319006</v>
      </c>
      <c r="AH15" s="12" t="n">
        <v>1</v>
      </c>
      <c r="AI15" s="18" t="n">
        <v>120844840.2272727</v>
      </c>
      <c r="AJ15" s="18" t="n">
        <v>76894564</v>
      </c>
      <c r="AK15" s="19">
        <f>AI15/AJ15</f>
        <v/>
      </c>
      <c r="AL15" s="2" t="inlineStr">
        <is>
          <t>2026-09-22</t>
        </is>
      </c>
      <c r="AM15" s="15" t="n">
        <v>0.1742322561402405</v>
      </c>
      <c r="AN15" s="14" t="n">
        <v>1</v>
      </c>
      <c r="AO15" s="9" t="n">
        <v>0.7433721412999802</v>
      </c>
      <c r="AP15" s="16" t="n">
        <v>0.02888029409037548</v>
      </c>
      <c r="AQ15" s="16" t="n">
        <v>0.04395518952343919</v>
      </c>
      <c r="AR15" s="16" t="n">
        <v>0.04899483383841444</v>
      </c>
      <c r="AS15" s="19">
        <f>AP15/AQ15</f>
        <v/>
      </c>
      <c r="AT15" s="19">
        <f>AP15/AR15</f>
        <v/>
      </c>
      <c r="AU15" s="19">
        <f>MAX(0,MIN(1,(AK15-2)/4))</f>
        <v/>
      </c>
      <c r="AV15" s="19">
        <f>MAX(0,MIN(1,(AG15-3)/7))</f>
        <v/>
      </c>
      <c r="AW15" s="19">
        <f>MAX(0,MIN(1,(AA15-0.25)/0.75))</f>
        <v/>
      </c>
      <c r="AX15" s="19">
        <f>MAX(0,MIN(1,(AM15-0.05)/0.2))</f>
        <v/>
      </c>
      <c r="AY15" s="19">
        <f>MAX(0,MIN(1,(AN15-0.7)/0.3))</f>
        <v/>
      </c>
      <c r="AZ15" s="19">
        <f>MAX(0,MIN(1,(AO15-1.2)/(0.6-1.2)))</f>
        <v/>
      </c>
      <c r="BA15" s="19">
        <f>MAX(0,MIN(1,(ABS(Q15)-0.03)/(0-0.03)))</f>
        <v/>
      </c>
      <c r="BB15" s="19">
        <f>MAX(0,MIN(1,T15/0.03))</f>
        <v/>
      </c>
      <c r="BC15" s="19">
        <f>MAX(0,MIN(1,(-X15-0.3)/(0.15-0.3)))</f>
        <v/>
      </c>
      <c r="BD15" s="19">
        <f>0.5*IF(M15&gt;N15,(J15-N15)/(M15-N15),0.5)+0.5*(J15&gt;=P15)</f>
        <v/>
      </c>
      <c r="BE15" s="19">
        <f>MAX(0,MIN(1,(AS15-0.9)/(0.5-0.9)))</f>
        <v/>
      </c>
      <c r="BF15" s="19">
        <f>MAX(0,MIN(1,(AT15-0.7)/(0.3-0.7)))</f>
        <v/>
      </c>
      <c r="BG15" s="20">
        <f>100*(0.4*AU15+0.3*AV15+0.3*AW15)</f>
        <v/>
      </c>
      <c r="BH15" s="20">
        <f>100*(0.5*AX15+0.5*AY15)</f>
        <v/>
      </c>
      <c r="BI15" s="20">
        <f>100*(0.3*AZ15+0.25*BA15+0.2*BB15+0.1*BC15+0.15*BD15)</f>
        <v/>
      </c>
      <c r="BJ15" s="20">
        <f>100*(0.5*BE15+0.5*BF15)</f>
        <v/>
      </c>
      <c r="BK15" s="21">
        <f>0.25*BG15+0.2*BH15+0.3*BI15+0.25*BJ15</f>
        <v/>
      </c>
      <c r="BL15" s="3" t="inlineStr">
        <is>
          <t>C1b 熱錢：升浪成交額係之前 60 日嘅 1.57×（要 ≥2.0×）</t>
        </is>
      </c>
      <c r="BM15" s="6" t="n"/>
      <c r="BN15" s="2" t="inlineStr"/>
      <c r="BO15" s="3" t="inlineStr"/>
      <c r="BP15" s="23" t="n">
        <v>0</v>
      </c>
    </row>
    <row r="16">
      <c r="A16" s="24" t="n">
        <v>2</v>
      </c>
      <c r="B16" s="25">
        <f>COUNTIFS($A$2:$A$23,A16,$BK$2:$BK$23,"&gt;"&amp;BK16)+1</f>
        <v/>
      </c>
      <c r="C16" s="7" t="inlineStr">
        <is>
          <t>BVS</t>
        </is>
      </c>
      <c r="D16" s="8" t="inlineStr">
        <is>
          <t>Bioventus Inc. Class A</t>
        </is>
      </c>
      <c r="E16" s="2" t="inlineStr">
        <is>
          <t>NASDAQ</t>
        </is>
      </c>
      <c r="F16" s="2" t="inlineStr">
        <is>
          <t>醫療保健</t>
        </is>
      </c>
      <c r="G16" s="2" t="inlineStr">
        <is>
          <t>Medical/Dental Instruments</t>
        </is>
      </c>
      <c r="H16" s="9" t="n">
        <v>1.177</v>
      </c>
      <c r="I16" s="2" t="inlineStr">
        <is>
          <t>小型</t>
        </is>
      </c>
      <c r="J16" s="10" t="n">
        <v>13.63</v>
      </c>
      <c r="K16" s="10" t="n">
        <v>14</v>
      </c>
      <c r="L16" s="11">
        <f>J16/K16-1</f>
        <v/>
      </c>
      <c r="M16" s="10" t="n">
        <v>14.01</v>
      </c>
      <c r="N16" s="10" t="n">
        <v>13.57</v>
      </c>
      <c r="O16" s="10" t="n">
        <v>13.50900000000001</v>
      </c>
      <c r="P16" s="10" t="n">
        <v>13.5375</v>
      </c>
      <c r="Q16" s="11">
        <f>J16/P16-1</f>
        <v/>
      </c>
      <c r="R16" s="10" t="n">
        <v>13.5902</v>
      </c>
      <c r="S16" s="10" t="n">
        <v>13.5345</v>
      </c>
      <c r="T16" s="11">
        <f>P16/S16-1</f>
        <v/>
      </c>
      <c r="U16" s="10" t="n">
        <v>15.26</v>
      </c>
      <c r="V16" s="2" t="inlineStr">
        <is>
          <t>2026-08-05</t>
        </is>
      </c>
      <c r="W16" s="12" t="n">
        <v>39</v>
      </c>
      <c r="X16" s="13">
        <f>J16/U16-1</f>
        <v/>
      </c>
      <c r="Y16" s="2" t="inlineStr">
        <is>
          <t>2026-06-01</t>
        </is>
      </c>
      <c r="Z16" s="12" t="n">
        <v>45</v>
      </c>
      <c r="AA16" s="14" t="n">
        <v>0.9243379571248425</v>
      </c>
      <c r="AB16" s="15" t="n">
        <v>0.2215818123599085</v>
      </c>
      <c r="AC16" s="16" t="n">
        <v>0.002400738688827397</v>
      </c>
      <c r="AD16" s="2" t="inlineStr">
        <is>
          <t>2026-08-05</t>
        </is>
      </c>
      <c r="AE16" s="15" t="n">
        <v>0.1371087928464978</v>
      </c>
      <c r="AF16" s="15" t="n">
        <v>-0.05439642324888228</v>
      </c>
      <c r="AG16" s="17" t="n">
        <v>3.479643835917981</v>
      </c>
      <c r="AH16" s="12" t="n">
        <v>2</v>
      </c>
      <c r="AI16" s="18" t="n">
        <v>8406014.195652174</v>
      </c>
      <c r="AJ16" s="18" t="n">
        <v>5016077.083333333</v>
      </c>
      <c r="AK16" s="19">
        <f>AI16/AJ16</f>
        <v/>
      </c>
      <c r="AL16" s="2" t="inlineStr">
        <is>
          <t>2026-08-18</t>
        </is>
      </c>
      <c r="AM16" s="15" t="n">
        <v>0.1141574095958382</v>
      </c>
      <c r="AN16" s="14" t="n">
        <v>1</v>
      </c>
      <c r="AO16" s="9" t="n">
        <v>0.7417457848218708</v>
      </c>
      <c r="AP16" s="16" t="n">
        <v>0.03003157224381247</v>
      </c>
      <c r="AQ16" s="16" t="n">
        <v>0.03710247431559612</v>
      </c>
      <c r="AR16" s="16" t="n">
        <v>0.05492090043144874</v>
      </c>
      <c r="AS16" s="19">
        <f>AP16/AQ16</f>
        <v/>
      </c>
      <c r="AT16" s="19">
        <f>AP16/AR16</f>
        <v/>
      </c>
      <c r="AU16" s="19">
        <f>MAX(0,MIN(1,(AK16-2)/4))</f>
        <v/>
      </c>
      <c r="AV16" s="19">
        <f>MAX(0,MIN(1,(AG16-3)/7))</f>
        <v/>
      </c>
      <c r="AW16" s="19">
        <f>MAX(0,MIN(1,(AA16-0.25)/0.75))</f>
        <v/>
      </c>
      <c r="AX16" s="19">
        <f>MAX(0,MIN(1,(AM16-0.05)/0.2))</f>
        <v/>
      </c>
      <c r="AY16" s="19">
        <f>MAX(0,MIN(1,(AN16-0.7)/0.3))</f>
        <v/>
      </c>
      <c r="AZ16" s="19">
        <f>MAX(0,MIN(1,(AO16-1.2)/(0.6-1.2)))</f>
        <v/>
      </c>
      <c r="BA16" s="19">
        <f>MAX(0,MIN(1,(ABS(Q16)-0.03)/(0-0.03)))</f>
        <v/>
      </c>
      <c r="BB16" s="19">
        <f>MAX(0,MIN(1,T16/0.03))</f>
        <v/>
      </c>
      <c r="BC16" s="19">
        <f>MAX(0,MIN(1,(-X16-0.3)/(0.15-0.3)))</f>
        <v/>
      </c>
      <c r="BD16" s="19">
        <f>0.5*IF(M16&gt;N16,(J16-N16)/(M16-N16),0.5)+0.5*(J16&gt;=P16)</f>
        <v/>
      </c>
      <c r="BE16" s="19">
        <f>MAX(0,MIN(1,(AS16-0.9)/(0.5-0.9)))</f>
        <v/>
      </c>
      <c r="BF16" s="19">
        <f>MAX(0,MIN(1,(AT16-0.7)/(0.3-0.7)))</f>
        <v/>
      </c>
      <c r="BG16" s="20">
        <f>100*(0.4*AU16+0.3*AV16+0.3*AW16)</f>
        <v/>
      </c>
      <c r="BH16" s="20">
        <f>100*(0.5*AX16+0.5*AY16)</f>
        <v/>
      </c>
      <c r="BI16" s="20">
        <f>100*(0.3*AZ16+0.25*BA16+0.2*BB16+0.1*BC16+0.15*BD16)</f>
        <v/>
      </c>
      <c r="BJ16" s="20">
        <f>100*(0.5*BE16+0.5*BF16)</f>
        <v/>
      </c>
      <c r="BK16" s="21">
        <f>0.25*BG16+0.2*BH16+0.3*BI16+0.25*BJ16</f>
        <v/>
      </c>
      <c r="BL16" s="3" t="inlineStr">
        <is>
          <t>C1b 熱錢：升浪成交額係之前 60 日嘅 1.68×（要 ≥2.0×）；C3 回落20MA：高位喺 39 日前</t>
        </is>
      </c>
      <c r="BM16" s="6" t="n"/>
      <c r="BN16" s="2" t="inlineStr"/>
      <c r="BO16" s="22" t="inlineStr">
        <is>
          <t>回調唔係有序回落：期內有一日跌 -8.4%</t>
        </is>
      </c>
      <c r="BP16" s="23" t="n">
        <v>0</v>
      </c>
    </row>
    <row r="17">
      <c r="A17" s="24" t="n">
        <v>2</v>
      </c>
      <c r="B17" s="25">
        <f>COUNTIFS($A$2:$A$23,A17,$BK$2:$BK$23,"&gt;"&amp;BK17)+1</f>
        <v/>
      </c>
      <c r="C17" s="7" t="inlineStr">
        <is>
          <t>PLSE</t>
        </is>
      </c>
      <c r="D17" s="2" t="inlineStr">
        <is>
          <t>Pulse Biosciences Inc</t>
        </is>
      </c>
      <c r="E17" s="2" t="inlineStr">
        <is>
          <t>NASDAQ</t>
        </is>
      </c>
      <c r="F17" s="2" t="inlineStr">
        <is>
          <t>醫療保健</t>
        </is>
      </c>
      <c r="G17" s="2" t="inlineStr">
        <is>
          <t>Medical/Dental Instruments</t>
        </is>
      </c>
      <c r="H17" s="9" t="n">
        <v>3.63</v>
      </c>
      <c r="I17" s="2" t="inlineStr">
        <is>
          <t>中型</t>
        </is>
      </c>
      <c r="J17" s="10" t="n">
        <v>49.92</v>
      </c>
      <c r="K17" s="10" t="n">
        <v>50.89</v>
      </c>
      <c r="L17" s="11">
        <f>J17/K17-1</f>
        <v/>
      </c>
      <c r="M17" s="10" t="n">
        <v>51.27</v>
      </c>
      <c r="N17" s="10" t="n">
        <v>49.17</v>
      </c>
      <c r="O17" s="10" t="n">
        <v>51.90499999999993</v>
      </c>
      <c r="P17" s="10" t="n">
        <v>52.39999999999996</v>
      </c>
      <c r="Q17" s="11">
        <f>J17/P17-1</f>
        <v/>
      </c>
      <c r="R17" s="10" t="n">
        <v>46.21339999999999</v>
      </c>
      <c r="S17" s="10" t="n">
        <v>51.90299999999998</v>
      </c>
      <c r="T17" s="11">
        <f>P17/S17-1</f>
        <v/>
      </c>
      <c r="U17" s="10" t="n">
        <v>55.2</v>
      </c>
      <c r="V17" s="2" t="inlineStr">
        <is>
          <t>2026-09-15</t>
        </is>
      </c>
      <c r="W17" s="12" t="n">
        <v>11</v>
      </c>
      <c r="X17" s="13">
        <f>J17/U17-1</f>
        <v/>
      </c>
      <c r="Y17" s="2" t="inlineStr">
        <is>
          <t>2026-06-16</t>
        </is>
      </c>
      <c r="Z17" s="12" t="n">
        <v>62</v>
      </c>
      <c r="AA17" s="14" t="n">
        <v>1.198327359617682</v>
      </c>
      <c r="AB17" s="15" t="n">
        <v>0.0872455461340722</v>
      </c>
      <c r="AC17" s="16" t="n">
        <v>-0.06834131616785766</v>
      </c>
      <c r="AD17" s="2" t="inlineStr">
        <is>
          <t>2026-09-09</t>
        </is>
      </c>
      <c r="AE17" s="15" t="n">
        <v>0.08567329370772692</v>
      </c>
      <c r="AF17" s="15" t="n">
        <v>0.01988112318097968</v>
      </c>
      <c r="AG17" s="17" t="n">
        <v>3.661930844797402</v>
      </c>
      <c r="AH17" s="12" t="n">
        <v>3</v>
      </c>
      <c r="AI17" s="18" t="n">
        <v>18850485.56349206</v>
      </c>
      <c r="AJ17" s="18" t="n">
        <v>7163912.583333333</v>
      </c>
      <c r="AK17" s="19">
        <f>AI17/AJ17</f>
        <v/>
      </c>
      <c r="AL17" s="2" t="inlineStr">
        <is>
          <t>2026-08-20</t>
        </is>
      </c>
      <c r="AM17" s="15" t="n">
        <v>0.2642907451753813</v>
      </c>
      <c r="AN17" s="14" t="n">
        <v>1</v>
      </c>
      <c r="AO17" s="9" t="n">
        <v>0.9997049634230295</v>
      </c>
      <c r="AP17" s="16" t="n">
        <v>0.05255188308845384</v>
      </c>
      <c r="AQ17" s="16" t="n">
        <v>0.07756844888397192</v>
      </c>
      <c r="AR17" s="16" t="n">
        <v>0.07391852113624578</v>
      </c>
      <c r="AS17" s="19">
        <f>AP17/AQ17</f>
        <v/>
      </c>
      <c r="AT17" s="19">
        <f>AP17/AR17</f>
        <v/>
      </c>
      <c r="AU17" s="19">
        <f>MAX(0,MIN(1,(AK17-2)/4))</f>
        <v/>
      </c>
      <c r="AV17" s="19">
        <f>MAX(0,MIN(1,(AG17-3)/7))</f>
        <v/>
      </c>
      <c r="AW17" s="19">
        <f>MAX(0,MIN(1,(AA17-0.25)/0.75))</f>
        <v/>
      </c>
      <c r="AX17" s="19">
        <f>MAX(0,MIN(1,(AM17-0.05)/0.2))</f>
        <v/>
      </c>
      <c r="AY17" s="19">
        <f>MAX(0,MIN(1,(AN17-0.7)/0.3))</f>
        <v/>
      </c>
      <c r="AZ17" s="19">
        <f>MAX(0,MIN(1,(AO17-1.2)/(0.6-1.2)))</f>
        <v/>
      </c>
      <c r="BA17" s="19">
        <f>MAX(0,MIN(1,(ABS(Q17)-0.03)/(0-0.03)))</f>
        <v/>
      </c>
      <c r="BB17" s="19">
        <f>MAX(0,MIN(1,T17/0.03))</f>
        <v/>
      </c>
      <c r="BC17" s="19">
        <f>MAX(0,MIN(1,(-X17-0.3)/(0.15-0.3)))</f>
        <v/>
      </c>
      <c r="BD17" s="19">
        <f>0.5*IF(M17&gt;N17,(J17-N17)/(M17-N17),0.5)+0.5*(J17&gt;=P17)</f>
        <v/>
      </c>
      <c r="BE17" s="19">
        <f>MAX(0,MIN(1,(AS17-0.9)/(0.5-0.9)))</f>
        <v/>
      </c>
      <c r="BF17" s="19">
        <f>MAX(0,MIN(1,(AT17-0.7)/(0.3-0.7)))</f>
        <v/>
      </c>
      <c r="BG17" s="20">
        <f>100*(0.4*AU17+0.3*AV17+0.3*AW17)</f>
        <v/>
      </c>
      <c r="BH17" s="20">
        <f>100*(0.5*AX17+0.5*AY17)</f>
        <v/>
      </c>
      <c r="BI17" s="20">
        <f>100*(0.3*AZ17+0.25*BA17+0.2*BB17+0.1*BC17+0.15*BD17)</f>
        <v/>
      </c>
      <c r="BJ17" s="20">
        <f>100*(0.5*BE17+0.5*BF17)</f>
        <v/>
      </c>
      <c r="BK17" s="21">
        <f>0.25*BG17+0.2*BH17+0.3*BI17+0.25*BJ17</f>
        <v/>
      </c>
      <c r="BL17" s="3" t="inlineStr">
        <is>
          <t>C3 回落20MA：收市距 MA20 -4.7%；C4 波幅減低：ATR5/ATR20 0.68（要 ≤0.9）；ATR5 係升浪期 ATR 嘅 0.71×（要 ≤0.7）</t>
        </is>
      </c>
      <c r="BM17" s="6" t="n">
        <v>4</v>
      </c>
      <c r="BN17" s="2" t="inlineStr"/>
      <c r="BO17" s="22" t="inlineStr">
        <is>
          <t>回調唔係有序回落：期內有一日跌 -10.1%</t>
        </is>
      </c>
      <c r="BP17" s="23" t="n">
        <v>0</v>
      </c>
    </row>
    <row r="18">
      <c r="A18" s="24" t="n">
        <v>2</v>
      </c>
      <c r="B18" s="25">
        <f>COUNTIFS($A$2:$A$23,A18,$BK$2:$BK$23,"&gt;"&amp;BK18)+1</f>
        <v/>
      </c>
      <c r="C18" s="7" t="inlineStr">
        <is>
          <t>BBNX</t>
        </is>
      </c>
      <c r="D18" s="8" t="inlineStr">
        <is>
          <t>Beta Bionics Inc.</t>
        </is>
      </c>
      <c r="E18" s="2" t="inlineStr">
        <is>
          <t>NASDAQ</t>
        </is>
      </c>
      <c r="F18" s="2" t="inlineStr">
        <is>
          <t>醫療保健</t>
        </is>
      </c>
      <c r="G18" s="2" t="inlineStr">
        <is>
          <t>Medical/Dental Instruments</t>
        </is>
      </c>
      <c r="H18" s="9" t="n">
        <v>1.022</v>
      </c>
      <c r="I18" s="2" t="inlineStr">
        <is>
          <t>小型</t>
        </is>
      </c>
      <c r="J18" s="10" t="n">
        <v>18.98</v>
      </c>
      <c r="K18" s="10" t="n">
        <v>19.41</v>
      </c>
      <c r="L18" s="11">
        <f>J18/K18-1</f>
        <v/>
      </c>
      <c r="M18" s="10" t="n">
        <v>19.52</v>
      </c>
      <c r="N18" s="10" t="n">
        <v>18.45</v>
      </c>
      <c r="O18" s="10" t="n">
        <v>21.25400000000009</v>
      </c>
      <c r="P18" s="10" t="n">
        <v>19.96725000000001</v>
      </c>
      <c r="Q18" s="11">
        <f>J18/P18-1</f>
        <v/>
      </c>
      <c r="R18" s="10" t="n">
        <v>18.24690000000001</v>
      </c>
      <c r="S18" s="10" t="n">
        <v>19.73924999999999</v>
      </c>
      <c r="T18" s="11">
        <f>P18/S18-1</f>
        <v/>
      </c>
      <c r="U18" s="10" t="n">
        <v>22.81</v>
      </c>
      <c r="V18" s="2" t="inlineStr">
        <is>
          <t>2026-09-22</t>
        </is>
      </c>
      <c r="W18" s="12" t="n">
        <v>6</v>
      </c>
      <c r="X18" s="13">
        <f>J18/U18-1</f>
        <v/>
      </c>
      <c r="Y18" s="2" t="inlineStr">
        <is>
          <t>2026-07-31</t>
        </is>
      </c>
      <c r="Z18" s="12" t="n">
        <v>36</v>
      </c>
      <c r="AA18" s="14" t="n">
        <v>0.7778643803585346</v>
      </c>
      <c r="AB18" s="15" t="n">
        <v>0.1639685151874659</v>
      </c>
      <c r="AC18" s="16" t="n">
        <v>-0.07598692859557599</v>
      </c>
      <c r="AD18" s="2" t="inlineStr">
        <is>
          <t>2026-09-16</t>
        </is>
      </c>
      <c r="AE18" s="15" t="n">
        <v>0.1534061362454497</v>
      </c>
      <c r="AF18" s="15" t="n">
        <v>-0.03224128965158612</v>
      </c>
      <c r="AG18" s="17" t="n">
        <v>6.047843155724056</v>
      </c>
      <c r="AH18" s="12" t="n">
        <v>3</v>
      </c>
      <c r="AI18" s="18" t="n">
        <v>26116252.60810811</v>
      </c>
      <c r="AJ18" s="18" t="n">
        <v>14011812.71666667</v>
      </c>
      <c r="AK18" s="19">
        <f>AI18/AJ18</f>
        <v/>
      </c>
      <c r="AL18" s="2" t="inlineStr">
        <is>
          <t>2026-08-24</t>
        </is>
      </c>
      <c r="AM18" s="15" t="n">
        <v>0.2675141822158416</v>
      </c>
      <c r="AN18" s="14" t="n">
        <v>1</v>
      </c>
      <c r="AO18" s="9" t="n">
        <v>0.8760075095973326</v>
      </c>
      <c r="AP18" s="16" t="n">
        <v>0.05886501720758493</v>
      </c>
      <c r="AQ18" s="16" t="n">
        <v>0.07843161350945439</v>
      </c>
      <c r="AR18" s="16" t="n">
        <v>0.07552505810092845</v>
      </c>
      <c r="AS18" s="19">
        <f>AP18/AQ18</f>
        <v/>
      </c>
      <c r="AT18" s="19">
        <f>AP18/AR18</f>
        <v/>
      </c>
      <c r="AU18" s="19">
        <f>MAX(0,MIN(1,(AK18-2)/4))</f>
        <v/>
      </c>
      <c r="AV18" s="19">
        <f>MAX(0,MIN(1,(AG18-3)/7))</f>
        <v/>
      </c>
      <c r="AW18" s="19">
        <f>MAX(0,MIN(1,(AA18-0.25)/0.75))</f>
        <v/>
      </c>
      <c r="AX18" s="19">
        <f>MAX(0,MIN(1,(AM18-0.05)/0.2))</f>
        <v/>
      </c>
      <c r="AY18" s="19">
        <f>MAX(0,MIN(1,(AN18-0.7)/0.3))</f>
        <v/>
      </c>
      <c r="AZ18" s="19">
        <f>MAX(0,MIN(1,(AO18-1.2)/(0.6-1.2)))</f>
        <v/>
      </c>
      <c r="BA18" s="19">
        <f>MAX(0,MIN(1,(ABS(Q18)-0.03)/(0-0.03)))</f>
        <v/>
      </c>
      <c r="BB18" s="19">
        <f>MAX(0,MIN(1,T18/0.03))</f>
        <v/>
      </c>
      <c r="BC18" s="19">
        <f>MAX(0,MIN(1,(-X18-0.3)/(0.15-0.3)))</f>
        <v/>
      </c>
      <c r="BD18" s="19">
        <f>0.5*IF(M18&gt;N18,(J18-N18)/(M18-N18),0.5)+0.5*(J18&gt;=P18)</f>
        <v/>
      </c>
      <c r="BE18" s="19">
        <f>MAX(0,MIN(1,(AS18-0.9)/(0.5-0.9)))</f>
        <v/>
      </c>
      <c r="BF18" s="19">
        <f>MAX(0,MIN(1,(AT18-0.7)/(0.3-0.7)))</f>
        <v/>
      </c>
      <c r="BG18" s="20">
        <f>100*(0.4*AU18+0.3*AV18+0.3*AW18)</f>
        <v/>
      </c>
      <c r="BH18" s="20">
        <f>100*(0.5*AX18+0.5*AY18)</f>
        <v/>
      </c>
      <c r="BI18" s="20">
        <f>100*(0.3*AZ18+0.25*BA18+0.2*BB18+0.1*BC18+0.15*BD18)</f>
        <v/>
      </c>
      <c r="BJ18" s="20">
        <f>100*(0.5*BE18+0.5*BF18)</f>
        <v/>
      </c>
      <c r="BK18" s="21">
        <f>0.25*BG18+0.2*BH18+0.3*BI18+0.25*BJ18</f>
        <v/>
      </c>
      <c r="BL18" s="3" t="inlineStr">
        <is>
          <t>C1b 熱錢：升浪成交額係之前 60 日嘅 1.86×（要 ≥2.0×）；C3 回落20MA：收市距 MA20 -4.9%；C4 波幅減低：ATR5/ATR20 0.75（要 ≤0.9）；ATR5 係升浪期 ATR 嘅 0.78×（要 ≤0.7）</t>
        </is>
      </c>
      <c r="BM18" s="6" t="n"/>
      <c r="BN18" s="2" t="inlineStr"/>
      <c r="BO18" s="22" t="inlineStr">
        <is>
          <t>事件日同時宣布 $1.25 億配售（後定價 $1.5 億）；配售價係下面嘅參考位</t>
        </is>
      </c>
      <c r="BP18" s="23" t="n">
        <v>0</v>
      </c>
    </row>
    <row r="19">
      <c r="A19" s="24" t="n">
        <v>2</v>
      </c>
      <c r="B19" s="25">
        <f>COUNTIFS($A$2:$A$23,A19,$BK$2:$BK$23,"&gt;"&amp;BK19)+1</f>
        <v/>
      </c>
      <c r="C19" s="7" t="inlineStr">
        <is>
          <t>PKOH</t>
        </is>
      </c>
      <c r="D19" s="8" t="inlineStr">
        <is>
          <t>Park-Ohio Holdings Corp.</t>
        </is>
      </c>
      <c r="E19" s="2" t="inlineStr">
        <is>
          <t>NASDAQ</t>
        </is>
      </c>
      <c r="F19" s="2" t="inlineStr">
        <is>
          <t>工業</t>
        </is>
      </c>
      <c r="G19" s="2" t="inlineStr">
        <is>
          <t>Industrial Specialties</t>
        </is>
      </c>
      <c r="H19" s="9" t="n">
        <v>0.6830000000000001</v>
      </c>
      <c r="I19" s="2" t="inlineStr">
        <is>
          <t>小型</t>
        </is>
      </c>
      <c r="J19" s="10" t="n">
        <v>46.2</v>
      </c>
      <c r="K19" s="10" t="n">
        <v>47.16</v>
      </c>
      <c r="L19" s="11">
        <f>J19/K19-1</f>
        <v/>
      </c>
      <c r="M19" s="10" t="n">
        <v>47.3</v>
      </c>
      <c r="N19" s="10" t="n">
        <v>45.72</v>
      </c>
      <c r="O19" s="10" t="n">
        <v>46.83100000000004</v>
      </c>
      <c r="P19" s="10" t="n">
        <v>46.25349999999999</v>
      </c>
      <c r="Q19" s="11">
        <f>J19/P19-1</f>
        <v/>
      </c>
      <c r="R19" s="10" t="n">
        <v>45.08199999999997</v>
      </c>
      <c r="S19" s="10" t="n">
        <v>45.85850000000001</v>
      </c>
      <c r="T19" s="11">
        <f>P19/S19-1</f>
        <v/>
      </c>
      <c r="U19" s="10" t="n">
        <v>52.51</v>
      </c>
      <c r="V19" s="2" t="inlineStr">
        <is>
          <t>2026-08-07</t>
        </is>
      </c>
      <c r="W19" s="12" t="n">
        <v>37</v>
      </c>
      <c r="X19" s="13">
        <f>J19/U19-1</f>
        <v/>
      </c>
      <c r="Y19" s="2" t="inlineStr">
        <is>
          <t>2026-05-19</t>
        </is>
      </c>
      <c r="Z19" s="12" t="n">
        <v>55</v>
      </c>
      <c r="AA19" s="14" t="n">
        <v>0.8226310308920515</v>
      </c>
      <c r="AB19" s="15" t="n">
        <v>0.3174764467527236</v>
      </c>
      <c r="AC19" s="16" t="n">
        <v>-0.01153426227204402</v>
      </c>
      <c r="AD19" s="2" t="inlineStr">
        <is>
          <t>2026-08-07</t>
        </is>
      </c>
      <c r="AE19" s="15" t="n">
        <v>0.1290045151580306</v>
      </c>
      <c r="AF19" s="15" t="n">
        <v>0.01784562459686101</v>
      </c>
      <c r="AG19" s="17" t="n">
        <v>2.775722600374865</v>
      </c>
      <c r="AH19" s="12" t="n">
        <v>2</v>
      </c>
      <c r="AI19" s="18" t="n">
        <v>3185602.785714286</v>
      </c>
      <c r="AJ19" s="18" t="n">
        <v>1374158.6</v>
      </c>
      <c r="AK19" s="19">
        <f>AI19/AJ19</f>
        <v/>
      </c>
      <c r="AL19" s="2" t="inlineStr">
        <is>
          <t>2026-08-19</t>
        </is>
      </c>
      <c r="AM19" s="15" t="n">
        <v>0.2264365492495066</v>
      </c>
      <c r="AN19" s="14" t="n">
        <v>1</v>
      </c>
      <c r="AO19" s="9" t="n">
        <v>1.013099387092897</v>
      </c>
      <c r="AP19" s="16" t="n">
        <v>0.03310512800751299</v>
      </c>
      <c r="AQ19" s="16" t="n">
        <v>0.03367754888625911</v>
      </c>
      <c r="AR19" s="16" t="n">
        <v>0.04752894802776251</v>
      </c>
      <c r="AS19" s="19">
        <f>AP19/AQ19</f>
        <v/>
      </c>
      <c r="AT19" s="19">
        <f>AP19/AR19</f>
        <v/>
      </c>
      <c r="AU19" s="19">
        <f>MAX(0,MIN(1,(AK19-2)/4))</f>
        <v/>
      </c>
      <c r="AV19" s="19">
        <f>MAX(0,MIN(1,(AG19-3)/7))</f>
        <v/>
      </c>
      <c r="AW19" s="19">
        <f>MAX(0,MIN(1,(AA19-0.25)/0.75))</f>
        <v/>
      </c>
      <c r="AX19" s="19">
        <f>MAX(0,MIN(1,(AM19-0.05)/0.2))</f>
        <v/>
      </c>
      <c r="AY19" s="19">
        <f>MAX(0,MIN(1,(AN19-0.7)/0.3))</f>
        <v/>
      </c>
      <c r="AZ19" s="19">
        <f>MAX(0,MIN(1,(AO19-1.2)/(0.6-1.2)))</f>
        <v/>
      </c>
      <c r="BA19" s="19">
        <f>MAX(0,MIN(1,(ABS(Q19)-0.03)/(0-0.03)))</f>
        <v/>
      </c>
      <c r="BB19" s="19">
        <f>MAX(0,MIN(1,T19/0.03))</f>
        <v/>
      </c>
      <c r="BC19" s="19">
        <f>MAX(0,MIN(1,(-X19-0.3)/(0.15-0.3)))</f>
        <v/>
      </c>
      <c r="BD19" s="19">
        <f>0.5*IF(M19&gt;N19,(J19-N19)/(M19-N19),0.5)+0.5*(J19&gt;=P19)</f>
        <v/>
      </c>
      <c r="BE19" s="19">
        <f>MAX(0,MIN(1,(AS19-0.9)/(0.5-0.9)))</f>
        <v/>
      </c>
      <c r="BF19" s="19">
        <f>MAX(0,MIN(1,(AT19-0.7)/(0.3-0.7)))</f>
        <v/>
      </c>
      <c r="BG19" s="20">
        <f>100*(0.4*AU19+0.3*AV19+0.3*AW19)</f>
        <v/>
      </c>
      <c r="BH19" s="20">
        <f>100*(0.5*AX19+0.5*AY19)</f>
        <v/>
      </c>
      <c r="BI19" s="20">
        <f>100*(0.3*AZ19+0.25*BA19+0.2*BB19+0.1*BC19+0.15*BD19)</f>
        <v/>
      </c>
      <c r="BJ19" s="20">
        <f>100*(0.5*BE19+0.5*BF19)</f>
        <v/>
      </c>
      <c r="BK19" s="21">
        <f>0.25*BG19+0.2*BH19+0.3*BI19+0.25*BJ19</f>
        <v/>
      </c>
      <c r="BL19" s="3" t="inlineStr">
        <is>
          <t>C1a 事件日：高位前 60 日最大量日只有 4.6× 50日均量（當日 +2.0%）；要 ≥3× 兼當日 ≥+8% 或開市跳空 ≥+5%；C3 回落20MA：高位喺 37 日前；C4 波幅減低：ATR5/ATR20 0.98（要 ≤0.9）；ATR5 係升浪期 ATR 嘅 0.70×（要 ≤0.7）</t>
        </is>
      </c>
      <c r="BM19" s="6" t="n"/>
      <c r="BN19" s="2" t="inlineStr"/>
      <c r="BO19" s="22" t="inlineStr">
        <is>
          <t>回調唔係有序回落：期內有一日跌 -8.9%；最大升日 08-07 同業績日 08-05 差兩日，當日消息未查到；20 日成交額中位數只有 $2.8M（股票池下限 $1M），入市出市都會有滑價</t>
        </is>
      </c>
      <c r="BP19" s="23" t="n">
        <v>0</v>
      </c>
    </row>
    <row r="20">
      <c r="A20" s="24" t="n">
        <v>2</v>
      </c>
      <c r="B20" s="25">
        <f>COUNTIFS($A$2:$A$23,A20,$BK$2:$BK$23,"&gt;"&amp;BK20)+1</f>
        <v/>
      </c>
      <c r="C20" s="26" t="inlineStr">
        <is>
          <t>KN</t>
        </is>
      </c>
      <c r="D20" s="8" t="inlineStr">
        <is>
          <t>Knowles Corporation</t>
        </is>
      </c>
      <c r="E20" s="2" t="inlineStr">
        <is>
          <t>NYSE</t>
        </is>
      </c>
      <c r="F20" s="2" t="inlineStr">
        <is>
          <t>必需消費</t>
        </is>
      </c>
      <c r="G20" s="2" t="inlineStr">
        <is>
          <t>Consumer Electronics/Appliances</t>
        </is>
      </c>
      <c r="H20" s="9" t="n">
        <v>3.188</v>
      </c>
      <c r="I20" s="2" t="inlineStr">
        <is>
          <t>中型</t>
        </is>
      </c>
      <c r="J20" s="10" t="n">
        <v>37.15</v>
      </c>
      <c r="K20" s="10" t="n">
        <v>37.32</v>
      </c>
      <c r="L20" s="11">
        <f>J20/K20-1</f>
        <v/>
      </c>
      <c r="M20" s="10" t="n">
        <v>37.48</v>
      </c>
      <c r="N20" s="10" t="n">
        <v>36.95</v>
      </c>
      <c r="O20" s="10" t="n">
        <v>36.66299999999992</v>
      </c>
      <c r="P20" s="10" t="n">
        <v>35.98099999999995</v>
      </c>
      <c r="Q20" s="11">
        <f>J20/P20-1</f>
        <v/>
      </c>
      <c r="R20" s="10" t="n">
        <v>36.33619999999999</v>
      </c>
      <c r="S20" s="10" t="n">
        <v>35.29299999999999</v>
      </c>
      <c r="T20" s="11">
        <f>P20/S20-1</f>
        <v/>
      </c>
      <c r="U20" s="10" t="n">
        <v>40.4</v>
      </c>
      <c r="V20" s="2" t="inlineStr">
        <is>
          <t>2026-08-04</t>
        </is>
      </c>
      <c r="W20" s="12" t="n">
        <v>40</v>
      </c>
      <c r="X20" s="13">
        <f>J20/U20-1</f>
        <v/>
      </c>
      <c r="Y20" s="2" t="inlineStr">
        <is>
          <t>2026-05-04</t>
        </is>
      </c>
      <c r="Z20" s="12" t="n">
        <v>63</v>
      </c>
      <c r="AA20" s="14" t="n">
        <v>0.265267773253993</v>
      </c>
      <c r="AB20" s="15" t="n">
        <v>0.1028608866564789</v>
      </c>
      <c r="AC20" s="16" t="n">
        <v>0.0269308801867667</v>
      </c>
      <c r="AD20" s="2" t="inlineStr">
        <is>
          <t>2026-07-23</t>
        </is>
      </c>
      <c r="AE20" s="15" t="n">
        <v>0.06009287080032788</v>
      </c>
      <c r="AF20" s="15" t="n">
        <v>-0.008194482381862822</v>
      </c>
      <c r="AG20" s="17" t="n">
        <v>2.137823419728815</v>
      </c>
      <c r="AH20" s="12" t="n">
        <v>1</v>
      </c>
      <c r="AI20" s="18" t="n">
        <v>42168176.96875</v>
      </c>
      <c r="AJ20" s="18" t="n">
        <v>19798827.48333333</v>
      </c>
      <c r="AK20" s="19">
        <f>AI20/AJ20</f>
        <v/>
      </c>
      <c r="AL20" s="2" t="inlineStr">
        <is>
          <t>2026-09-18</t>
        </is>
      </c>
      <c r="AM20" s="15" t="n">
        <v>0.04020174178224512</v>
      </c>
      <c r="AN20" s="14" t="n">
        <v>1</v>
      </c>
      <c r="AO20" s="9" t="n">
        <v>0.6867002302468034</v>
      </c>
      <c r="AP20" s="16" t="n">
        <v>0.02572915366595069</v>
      </c>
      <c r="AQ20" s="16" t="n">
        <v>0.02991438149881503</v>
      </c>
      <c r="AR20" s="16" t="n">
        <v>0.04799787342264188</v>
      </c>
      <c r="AS20" s="19">
        <f>AP20/AQ20</f>
        <v/>
      </c>
      <c r="AT20" s="19">
        <f>AP20/AR20</f>
        <v/>
      </c>
      <c r="AU20" s="19">
        <f>MAX(0,MIN(1,(AK20-2)/4))</f>
        <v/>
      </c>
      <c r="AV20" s="19">
        <f>MAX(0,MIN(1,(AG20-3)/7))</f>
        <v/>
      </c>
      <c r="AW20" s="19">
        <f>MAX(0,MIN(1,(AA20-0.25)/0.75))</f>
        <v/>
      </c>
      <c r="AX20" s="19">
        <f>MAX(0,MIN(1,(AM20-0.05)/0.2))</f>
        <v/>
      </c>
      <c r="AY20" s="19">
        <f>MAX(0,MIN(1,(AN20-0.7)/0.3))</f>
        <v/>
      </c>
      <c r="AZ20" s="19">
        <f>MAX(0,MIN(1,(AO20-1.2)/(0.6-1.2)))</f>
        <v/>
      </c>
      <c r="BA20" s="19">
        <f>MAX(0,MIN(1,(ABS(Q20)-0.03)/(0-0.03)))</f>
        <v/>
      </c>
      <c r="BB20" s="19">
        <f>MAX(0,MIN(1,T20/0.03))</f>
        <v/>
      </c>
      <c r="BC20" s="19">
        <f>MAX(0,MIN(1,(-X20-0.3)/(0.15-0.3)))</f>
        <v/>
      </c>
      <c r="BD20" s="19">
        <f>0.5*IF(M20&gt;N20,(J20-N20)/(M20-N20),0.5)+0.5*(J20&gt;=P20)</f>
        <v/>
      </c>
      <c r="BE20" s="19">
        <f>MAX(0,MIN(1,(AS20-0.9)/(0.5-0.9)))</f>
        <v/>
      </c>
      <c r="BF20" s="19">
        <f>MAX(0,MIN(1,(AT20-0.7)/(0.3-0.7)))</f>
        <v/>
      </c>
      <c r="BG20" s="20">
        <f>100*(0.4*AU20+0.3*AV20+0.3*AW20)</f>
        <v/>
      </c>
      <c r="BH20" s="20">
        <f>100*(0.5*AX20+0.5*AY20)</f>
        <v/>
      </c>
      <c r="BI20" s="20">
        <f>100*(0.3*AZ20+0.25*BA20+0.2*BB20+0.1*BC20+0.15*BD20)</f>
        <v/>
      </c>
      <c r="BJ20" s="20">
        <f>100*(0.5*BE20+0.5*BF20)</f>
        <v/>
      </c>
      <c r="BK20" s="21">
        <f>0.25*BG20+0.2*BH20+0.3*BI20+0.25*BJ20</f>
        <v/>
      </c>
      <c r="BL20" s="3" t="inlineStr">
        <is>
          <t>C1a 事件日：高位前 60 日最大量日只有 5.0× 50日均量（當日 -1.8%）；要 ≥3× 兼當日 ≥+8% 或開市跳空 ≥+5%；C2 曾有10MA上升：近 30 日 MA10 最大 10 日升幅 +4.0%（2026-09-18；要 ≥5%），嗰時最後三值遞升、10 步升 100%（要 ≥70%）；C3 回落20MA：高位喺 40 日前；收市距 MA20 +3.2%；近 3 日最低價距 MA20 +2.7%</t>
        </is>
      </c>
      <c r="BM20" s="6" t="n"/>
      <c r="BN20" s="2" t="inlineStr"/>
      <c r="BO20" s="3" t="inlineStr"/>
      <c r="BP20" s="23" t="n">
        <v>0</v>
      </c>
    </row>
    <row r="21">
      <c r="A21" s="24" t="n">
        <v>2</v>
      </c>
      <c r="B21" s="25">
        <f>COUNTIFS($A$2:$A$23,A21,$BK$2:$BK$23,"&gt;"&amp;BK21)+1</f>
        <v/>
      </c>
      <c r="C21" s="26" t="inlineStr">
        <is>
          <t>FLXS</t>
        </is>
      </c>
      <c r="D21" s="8" t="inlineStr">
        <is>
          <t>Flexsteel Industries Inc.</t>
        </is>
      </c>
      <c r="E21" s="2" t="inlineStr">
        <is>
          <t>NASDAQ</t>
        </is>
      </c>
      <c r="F21" s="2" t="inlineStr">
        <is>
          <t>非必需消費</t>
        </is>
      </c>
      <c r="G21" s="2" t="inlineStr">
        <is>
          <t>Home Furnishings</t>
        </is>
      </c>
      <c r="H21" s="9" t="n">
        <v>0.353</v>
      </c>
      <c r="I21" s="2" t="inlineStr">
        <is>
          <t>小型</t>
        </is>
      </c>
      <c r="J21" s="10" t="n">
        <v>84.65000000000001</v>
      </c>
      <c r="K21" s="10" t="n">
        <v>86.36</v>
      </c>
      <c r="L21" s="11">
        <f>J21/K21-1</f>
        <v/>
      </c>
      <c r="M21" s="10" t="n">
        <v>86.59999999999999</v>
      </c>
      <c r="N21" s="10" t="n">
        <v>84.5</v>
      </c>
      <c r="O21" s="10" t="n">
        <v>84.59800000000014</v>
      </c>
      <c r="P21" s="10" t="n">
        <v>83.34000000000006</v>
      </c>
      <c r="Q21" s="11">
        <f>J21/P21-1</f>
        <v/>
      </c>
      <c r="R21" s="10" t="n">
        <v>79.62960000000007</v>
      </c>
      <c r="S21" s="10" t="n">
        <v>81.7494999999999</v>
      </c>
      <c r="T21" s="11">
        <f>P21/S21-1</f>
        <v/>
      </c>
      <c r="U21" s="10" t="n">
        <v>89.37</v>
      </c>
      <c r="V21" s="2" t="inlineStr">
        <is>
          <t>2026-09-25</t>
        </is>
      </c>
      <c r="W21" s="12" t="n">
        <v>3</v>
      </c>
      <c r="X21" s="13">
        <f>J21/U21-1</f>
        <v/>
      </c>
      <c r="Y21" s="2" t="inlineStr">
        <is>
          <t>2026-07-07</t>
        </is>
      </c>
      <c r="Z21" s="12" t="n">
        <v>57</v>
      </c>
      <c r="AA21" s="14" t="n">
        <v>0.2849748382458663</v>
      </c>
      <c r="AB21" s="15" t="n">
        <v>0.08404798583229245</v>
      </c>
      <c r="AC21" s="16" t="n">
        <v>0.01391888648908024</v>
      </c>
      <c r="AD21" s="2" t="inlineStr">
        <is>
          <t>2026-08-18</t>
        </is>
      </c>
      <c r="AE21" s="15" t="n">
        <v>0.08890770533446224</v>
      </c>
      <c r="AF21" s="15" t="n">
        <v>0.1430990685859441</v>
      </c>
      <c r="AG21" s="17" t="n">
        <v>5.273849220037561</v>
      </c>
      <c r="AH21" s="12" t="n">
        <v>1</v>
      </c>
      <c r="AI21" s="18" t="n">
        <v>5980855.724137931</v>
      </c>
      <c r="AJ21" s="18" t="n">
        <v>3352539.766666667</v>
      </c>
      <c r="AK21" s="19">
        <f>AI21/AJ21</f>
        <v/>
      </c>
      <c r="AL21" s="2" t="inlineStr">
        <is>
          <t>2026-09-02</t>
        </is>
      </c>
      <c r="AM21" s="15" t="n">
        <v>0.07655674244742006</v>
      </c>
      <c r="AN21" s="14" t="n">
        <v>1</v>
      </c>
      <c r="AO21" s="9" t="n">
        <v>0.7477538068877507</v>
      </c>
      <c r="AP21" s="16" t="n">
        <v>0.03638154320787167</v>
      </c>
      <c r="AQ21" s="16" t="n">
        <v>0.03890557594279736</v>
      </c>
      <c r="AR21" s="16" t="n">
        <v>0.04417274448255616</v>
      </c>
      <c r="AS21" s="19">
        <f>AP21/AQ21</f>
        <v/>
      </c>
      <c r="AT21" s="19">
        <f>AP21/AR21</f>
        <v/>
      </c>
      <c r="AU21" s="19">
        <f>MAX(0,MIN(1,(AK21-2)/4))</f>
        <v/>
      </c>
      <c r="AV21" s="19">
        <f>MAX(0,MIN(1,(AG21-3)/7))</f>
        <v/>
      </c>
      <c r="AW21" s="19">
        <f>MAX(0,MIN(1,(AA21-0.25)/0.75))</f>
        <v/>
      </c>
      <c r="AX21" s="19">
        <f>MAX(0,MIN(1,(AM21-0.05)/0.2))</f>
        <v/>
      </c>
      <c r="AY21" s="19">
        <f>MAX(0,MIN(1,(AN21-0.7)/0.3))</f>
        <v/>
      </c>
      <c r="AZ21" s="19">
        <f>MAX(0,MIN(1,(AO21-1.2)/(0.6-1.2)))</f>
        <v/>
      </c>
      <c r="BA21" s="19">
        <f>MAX(0,MIN(1,(ABS(Q21)-0.03)/(0-0.03)))</f>
        <v/>
      </c>
      <c r="BB21" s="19">
        <f>MAX(0,MIN(1,T21/0.03))</f>
        <v/>
      </c>
      <c r="BC21" s="19">
        <f>MAX(0,MIN(1,(-X21-0.3)/(0.15-0.3)))</f>
        <v/>
      </c>
      <c r="BD21" s="19">
        <f>0.5*IF(M21&gt;N21,(J21-N21)/(M21-N21),0.5)+0.5*(J21&gt;=P21)</f>
        <v/>
      </c>
      <c r="BE21" s="19">
        <f>MAX(0,MIN(1,(AS21-0.9)/(0.5-0.9)))</f>
        <v/>
      </c>
      <c r="BF21" s="19">
        <f>MAX(0,MIN(1,(AT21-0.7)/(0.3-0.7)))</f>
        <v/>
      </c>
      <c r="BG21" s="20">
        <f>100*(0.4*AU21+0.3*AV21+0.3*AW21)</f>
        <v/>
      </c>
      <c r="BH21" s="20">
        <f>100*(0.5*AX21+0.5*AY21)</f>
        <v/>
      </c>
      <c r="BI21" s="20">
        <f>100*(0.3*AZ21+0.25*BA21+0.2*BB21+0.1*BC21+0.15*BD21)</f>
        <v/>
      </c>
      <c r="BJ21" s="20">
        <f>100*(0.5*BE21+0.5*BF21)</f>
        <v/>
      </c>
      <c r="BK21" s="21">
        <f>0.25*BG21+0.2*BH21+0.3*BI21+0.25*BJ21</f>
        <v/>
      </c>
      <c r="BL21" s="3" t="inlineStr">
        <is>
          <t>C1b 熱錢：升浪成交額係之前 60 日嘅 1.78×（要 ≥2.0×）；C4 波幅減低：ATR5/ATR20 0.94（要 ≤0.9）；ATR5 係升浪期 ATR 嘅 0.82×（要 ≤0.7）</t>
        </is>
      </c>
      <c r="BM21" s="6" t="n"/>
      <c r="BN21" s="2" t="inlineStr"/>
      <c r="BO21" s="3" t="inlineStr"/>
      <c r="BP21" s="23" t="n">
        <v>0</v>
      </c>
    </row>
    <row r="22">
      <c r="A22" s="24" t="n">
        <v>2</v>
      </c>
      <c r="B22" s="25">
        <f>COUNTIFS($A$2:$A$23,A22,$BK$2:$BK$23,"&gt;"&amp;BK22)+1</f>
        <v/>
      </c>
      <c r="C22" s="26" t="inlineStr">
        <is>
          <t>AVTR</t>
        </is>
      </c>
      <c r="D22" s="8" t="inlineStr">
        <is>
          <t>Avantor Inc.</t>
        </is>
      </c>
      <c r="E22" s="2" t="inlineStr">
        <is>
          <t>NYSE</t>
        </is>
      </c>
      <c r="F22" s="2" t="inlineStr">
        <is>
          <t>工業</t>
        </is>
      </c>
      <c r="G22" s="2" t="inlineStr">
        <is>
          <t>Biotechnology: Laboratory Analytical Instruments</t>
        </is>
      </c>
      <c r="H22" s="9" t="n">
        <v>10.308</v>
      </c>
      <c r="I22" s="2" t="inlineStr">
        <is>
          <t>大型</t>
        </is>
      </c>
      <c r="J22" s="10" t="n">
        <v>15.05</v>
      </c>
      <c r="K22" s="10" t="n">
        <v>15.24</v>
      </c>
      <c r="L22" s="11">
        <f>J22/K22-1</f>
        <v/>
      </c>
      <c r="M22" s="10" t="n">
        <v>15.36</v>
      </c>
      <c r="N22" s="10" t="n">
        <v>15.05</v>
      </c>
      <c r="O22" s="10" t="n">
        <v>15.23900000000003</v>
      </c>
      <c r="P22" s="10" t="n">
        <v>15.16150000000002</v>
      </c>
      <c r="Q22" s="11">
        <f>J22/P22-1</f>
        <v/>
      </c>
      <c r="R22" s="10" t="n">
        <v>14.20400000000001</v>
      </c>
      <c r="S22" s="10" t="n">
        <v>14.97250000000001</v>
      </c>
      <c r="T22" s="11">
        <f>P22/S22-1</f>
        <v/>
      </c>
      <c r="U22" s="10" t="n">
        <v>15.86</v>
      </c>
      <c r="V22" s="2" t="inlineStr">
        <is>
          <t>2026-09-17</t>
        </is>
      </c>
      <c r="W22" s="12" t="n">
        <v>9</v>
      </c>
      <c r="X22" s="13">
        <f>J22/U22-1</f>
        <v/>
      </c>
      <c r="Y22" s="2" t="inlineStr">
        <is>
          <t>2026-06-22</t>
        </is>
      </c>
      <c r="Z22" s="12" t="n">
        <v>61</v>
      </c>
      <c r="AA22" s="14" t="n">
        <v>0.6962566844919786</v>
      </c>
      <c r="AB22" s="15" t="n">
        <v>0.06974234452987838</v>
      </c>
      <c r="AC22" s="16" t="n">
        <v>-0.007354153612770697</v>
      </c>
      <c r="AD22" s="2" t="inlineStr">
        <is>
          <t>2026-07-29</t>
        </is>
      </c>
      <c r="AE22" s="15" t="n">
        <v>0.1578099838969405</v>
      </c>
      <c r="AF22" s="15" t="n">
        <v>0.1666666666666667</v>
      </c>
      <c r="AG22" s="17" t="n">
        <v>4.250424625286808</v>
      </c>
      <c r="AH22" s="12" t="n">
        <v>1</v>
      </c>
      <c r="AI22" s="18" t="n">
        <v>118998377.3387097</v>
      </c>
      <c r="AJ22" s="18" t="n">
        <v>78786085.40000001</v>
      </c>
      <c r="AK22" s="19">
        <f>AI22/AJ22</f>
        <v/>
      </c>
      <c r="AL22" s="2" t="inlineStr">
        <is>
          <t>2026-09-02</t>
        </is>
      </c>
      <c r="AM22" s="15" t="n">
        <v>0.05838827838828387</v>
      </c>
      <c r="AN22" s="14" t="n">
        <v>1</v>
      </c>
      <c r="AO22" s="9" t="n">
        <v>1.240434511681404</v>
      </c>
      <c r="AP22" s="16" t="n">
        <v>0.02750051080588934</v>
      </c>
      <c r="AQ22" s="16" t="n">
        <v>0.03090958184959482</v>
      </c>
      <c r="AR22" s="16" t="n">
        <v>0.04045719057187441</v>
      </c>
      <c r="AS22" s="19">
        <f>AP22/AQ22</f>
        <v/>
      </c>
      <c r="AT22" s="19">
        <f>AP22/AR22</f>
        <v/>
      </c>
      <c r="AU22" s="19">
        <f>MAX(0,MIN(1,(AK22-2)/4))</f>
        <v/>
      </c>
      <c r="AV22" s="19">
        <f>MAX(0,MIN(1,(AG22-3)/7))</f>
        <v/>
      </c>
      <c r="AW22" s="19">
        <f>MAX(0,MIN(1,(AA22-0.25)/0.75))</f>
        <v/>
      </c>
      <c r="AX22" s="19">
        <f>MAX(0,MIN(1,(AM22-0.05)/0.2))</f>
        <v/>
      </c>
      <c r="AY22" s="19">
        <f>MAX(0,MIN(1,(AN22-0.7)/0.3))</f>
        <v/>
      </c>
      <c r="AZ22" s="19">
        <f>MAX(0,MIN(1,(AO22-1.2)/(0.6-1.2)))</f>
        <v/>
      </c>
      <c r="BA22" s="19">
        <f>MAX(0,MIN(1,(ABS(Q22)-0.03)/(0-0.03)))</f>
        <v/>
      </c>
      <c r="BB22" s="19">
        <f>MAX(0,MIN(1,T22/0.03))</f>
        <v/>
      </c>
      <c r="BC22" s="19">
        <f>MAX(0,MIN(1,(-X22-0.3)/(0.15-0.3)))</f>
        <v/>
      </c>
      <c r="BD22" s="19">
        <f>0.5*IF(M22&gt;N22,(J22-N22)/(M22-N22),0.5)+0.5*(J22&gt;=P22)</f>
        <v/>
      </c>
      <c r="BE22" s="19">
        <f>MAX(0,MIN(1,(AS22-0.9)/(0.5-0.9)))</f>
        <v/>
      </c>
      <c r="BF22" s="19">
        <f>MAX(0,MIN(1,(AT22-0.7)/(0.3-0.7)))</f>
        <v/>
      </c>
      <c r="BG22" s="20">
        <f>100*(0.4*AU22+0.3*AV22+0.3*AW22)</f>
        <v/>
      </c>
      <c r="BH22" s="20">
        <f>100*(0.5*AX22+0.5*AY22)</f>
        <v/>
      </c>
      <c r="BI22" s="20">
        <f>100*(0.3*AZ22+0.25*BA22+0.2*BB22+0.1*BC22+0.15*BD22)</f>
        <v/>
      </c>
      <c r="BJ22" s="20">
        <f>100*(0.5*BE22+0.5*BF22)</f>
        <v/>
      </c>
      <c r="BK22" s="21">
        <f>0.25*BG22+0.2*BH22+0.3*BI22+0.25*BJ22</f>
        <v/>
      </c>
      <c r="BL22" s="3" t="inlineStr">
        <is>
          <t>C1b 熱錢：升浪成交額係之前 60 日嘅 1.51×（要 ≥2.0×）；C3 回落20MA：高位時只高過 MA20 7.0%</t>
        </is>
      </c>
      <c r="BM22" s="6" t="n"/>
      <c r="BN22" s="2" t="inlineStr"/>
      <c r="BO22" s="3" t="inlineStr"/>
      <c r="BP22" s="23" t="n">
        <v>0</v>
      </c>
    </row>
    <row r="23">
      <c r="A23" s="24" t="n">
        <v>2</v>
      </c>
      <c r="B23" s="25">
        <f>COUNTIFS($A$2:$A$23,A23,$BK$2:$BK$23,"&gt;"&amp;BK23)+1</f>
        <v/>
      </c>
      <c r="C23" s="7" t="inlineStr">
        <is>
          <t>AMBA</t>
        </is>
      </c>
      <c r="D23" s="8" t="inlineStr">
        <is>
          <t>Ambarella Inc.</t>
        </is>
      </c>
      <c r="E23" s="2" t="inlineStr">
        <is>
          <t>NASDAQ</t>
        </is>
      </c>
      <c r="F23" s="2" t="inlineStr">
        <is>
          <t>科技</t>
        </is>
      </c>
      <c r="G23" s="2" t="inlineStr">
        <is>
          <t>Semiconductors</t>
        </is>
      </c>
      <c r="H23" s="9" t="n">
        <v>3.034</v>
      </c>
      <c r="I23" s="2" t="inlineStr">
        <is>
          <t>中型</t>
        </is>
      </c>
      <c r="J23" s="10" t="n">
        <v>69.51000000000001</v>
      </c>
      <c r="K23" s="10" t="n">
        <v>68.73</v>
      </c>
      <c r="L23" s="11">
        <f>J23/K23-1</f>
        <v/>
      </c>
      <c r="M23" s="10" t="n">
        <v>70.70999999999999</v>
      </c>
      <c r="N23" s="10" t="n">
        <v>67.87</v>
      </c>
      <c r="O23" s="10" t="n">
        <v>68.60499999999993</v>
      </c>
      <c r="P23" s="10" t="n">
        <v>66.92749999999997</v>
      </c>
      <c r="Q23" s="11">
        <f>J23/P23-1</f>
        <v/>
      </c>
      <c r="R23" s="10" t="n">
        <v>72.11900000000013</v>
      </c>
      <c r="S23" s="10" t="n">
        <v>66.88650000000015</v>
      </c>
      <c r="T23" s="11">
        <f>P23/S23-1</f>
        <v/>
      </c>
      <c r="U23" s="10" t="n">
        <v>86.78</v>
      </c>
      <c r="V23" s="2" t="inlineStr">
        <is>
          <t>2026-08-07</t>
        </is>
      </c>
      <c r="W23" s="12" t="n">
        <v>37</v>
      </c>
      <c r="X23" s="13">
        <f>J23/U23-1</f>
        <v/>
      </c>
      <c r="Y23" s="2" t="inlineStr">
        <is>
          <t>2026-07-17</t>
        </is>
      </c>
      <c r="Z23" s="12" t="n">
        <v>15</v>
      </c>
      <c r="AA23" s="14" t="n">
        <v>0.4032988357050453</v>
      </c>
      <c r="AB23" s="15" t="n">
        <v>0.182852858992707</v>
      </c>
      <c r="AC23" s="16" t="n">
        <v>0.01341192486928211</v>
      </c>
      <c r="AD23" s="2" t="inlineStr">
        <is>
          <t>2026-06-30</t>
        </is>
      </c>
      <c r="AE23" s="15" t="n">
        <v>0.2804059095657363</v>
      </c>
      <c r="AF23" s="15" t="n">
        <v>0.01313236830323827</v>
      </c>
      <c r="AG23" s="17" t="n">
        <v>5.253812815860115</v>
      </c>
      <c r="AH23" s="12" t="n">
        <v>3</v>
      </c>
      <c r="AI23" s="18" t="n">
        <v>172818458.8125</v>
      </c>
      <c r="AJ23" s="18" t="n">
        <v>114051068.85</v>
      </c>
      <c r="AK23" s="19">
        <f>AI23/AJ23</f>
        <v/>
      </c>
      <c r="AL23" s="2" t="inlineStr">
        <is>
          <t>2026-09-29</t>
        </is>
      </c>
      <c r="AM23" s="15" t="n">
        <v>0.03307682949084478</v>
      </c>
      <c r="AN23" s="14" t="n">
        <v>0.7</v>
      </c>
      <c r="AO23" s="9" t="n">
        <v>0.7331641033298492</v>
      </c>
      <c r="AP23" s="16" t="n">
        <v>0.05732395620941142</v>
      </c>
      <c r="AQ23" s="16" t="n">
        <v>0.06483514254228527</v>
      </c>
      <c r="AR23" s="16" t="n">
        <v>0.08415903601614444</v>
      </c>
      <c r="AS23" s="19">
        <f>AP23/AQ23</f>
        <v/>
      </c>
      <c r="AT23" s="19">
        <f>AP23/AR23</f>
        <v/>
      </c>
      <c r="AU23" s="19">
        <f>MAX(0,MIN(1,(AK23-2)/4))</f>
        <v/>
      </c>
      <c r="AV23" s="19">
        <f>MAX(0,MIN(1,(AG23-3)/7))</f>
        <v/>
      </c>
      <c r="AW23" s="19">
        <f>MAX(0,MIN(1,(AA23-0.25)/0.75))</f>
        <v/>
      </c>
      <c r="AX23" s="19">
        <f>MAX(0,MIN(1,(AM23-0.05)/0.2))</f>
        <v/>
      </c>
      <c r="AY23" s="19">
        <f>MAX(0,MIN(1,(AN23-0.7)/0.3))</f>
        <v/>
      </c>
      <c r="AZ23" s="19">
        <f>MAX(0,MIN(1,(AO23-1.2)/(0.6-1.2)))</f>
        <v/>
      </c>
      <c r="BA23" s="19">
        <f>MAX(0,MIN(1,(ABS(Q23)-0.03)/(0-0.03)))</f>
        <v/>
      </c>
      <c r="BB23" s="19">
        <f>MAX(0,MIN(1,T23/0.03))</f>
        <v/>
      </c>
      <c r="BC23" s="19">
        <f>MAX(0,MIN(1,(-X23-0.3)/(0.15-0.3)))</f>
        <v/>
      </c>
      <c r="BD23" s="19">
        <f>0.5*IF(M23&gt;N23,(J23-N23)/(M23-N23),0.5)+0.5*(J23&gt;=P23)</f>
        <v/>
      </c>
      <c r="BE23" s="19">
        <f>MAX(0,MIN(1,(AS23-0.9)/(0.5-0.9)))</f>
        <v/>
      </c>
      <c r="BF23" s="19">
        <f>MAX(0,MIN(1,(AT23-0.7)/(0.3-0.7)))</f>
        <v/>
      </c>
      <c r="BG23" s="20">
        <f>100*(0.4*AU23+0.3*AV23+0.3*AW23)</f>
        <v/>
      </c>
      <c r="BH23" s="20">
        <f>100*(0.5*AX23+0.5*AY23)</f>
        <v/>
      </c>
      <c r="BI23" s="20">
        <f>100*(0.3*AZ23+0.25*BA23+0.2*BB23+0.1*BC23+0.15*BD23)</f>
        <v/>
      </c>
      <c r="BJ23" s="20">
        <f>100*(0.5*BE23+0.5*BF23)</f>
        <v/>
      </c>
      <c r="BK23" s="21">
        <f>0.25*BG23+0.2*BH23+0.3*BI23+0.25*BJ23</f>
        <v/>
      </c>
      <c r="BL23" s="3" t="inlineStr">
        <is>
          <t>C1b 熱錢：升浪成交額係之前 60 日嘅 1.52×（要 ≥2.0×）；C2 曾有10MA上升：近 30 日 MA10 最大 10 日升幅 +10.7%（2026-08-18；要 ≥5%），嗰時最後三值唔遞升、10 步升 70%（要 ≥70%）；C3 回落20MA：高位喺 37 日前；收市距 MA20 +3.9%</t>
        </is>
      </c>
      <c r="BM23" s="6" t="n"/>
      <c r="BN23" s="2" t="inlineStr"/>
      <c r="BO23" s="22" t="inlineStr">
        <is>
          <t>升浪由分析員推介（Rosenblatt 首選）帶動，唔係業績</t>
        </is>
      </c>
      <c r="BP23" s="23" t="n">
        <v>0</v>
      </c>
    </row>
  </sheetData>
  <autoFilter ref="A1:BP2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8" customWidth="1" min="4" max="4"/>
    <col width="26" customWidth="1" min="5" max="5"/>
    <col width="9" customWidth="1" min="6" max="6"/>
    <col width="9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30" customWidth="1" min="22" max="22"/>
    <col width="36" customWidth="1" min="23" max="23"/>
  </cols>
  <sheetData>
    <row r="1">
      <c r="A1" s="1" t="inlineStr">
        <is>
          <t>大型股（市值 ≥ $100 億）· 兩個梯隊 · 以綜合分數排序 · 2026-09-30 收市</t>
        </is>
      </c>
    </row>
    <row r="3" ht="42" customHeight="1">
      <c r="A3" s="4" t="inlineStr">
        <is>
          <t>梯隊</t>
        </is>
      </c>
      <c r="B3" s="4" t="inlineStr">
        <is>
          <t>頁內排名</t>
        </is>
      </c>
      <c r="C3" s="4" t="inlineStr">
        <is>
          <t>總表排名</t>
        </is>
      </c>
      <c r="D3" s="4" t="inlineStr">
        <is>
          <t>代號</t>
        </is>
      </c>
      <c r="E3" s="4" t="inlineStr">
        <is>
          <t>公司</t>
        </is>
      </c>
      <c r="F3" s="4" t="inlineStr">
        <is>
          <t>板塊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事件日</t>
        </is>
      </c>
      <c r="K3" s="4" t="inlineStr">
        <is>
          <t>事件日升幅</t>
        </is>
      </c>
      <c r="L3" s="4" t="inlineStr">
        <is>
          <t>事件日量比</t>
        </is>
      </c>
      <c r="M3" s="4" t="inlineStr">
        <is>
          <t>升浪成交額比</t>
        </is>
      </c>
      <c r="N3" s="4" t="inlineStr">
        <is>
          <t>MA10 10日升幅</t>
        </is>
      </c>
      <c r="O3" s="4" t="inlineStr">
        <is>
          <t>ATR5/ATR20</t>
        </is>
      </c>
      <c r="P3" s="4" t="inlineStr">
        <is>
          <t>ATR5/升浪ATR</t>
        </is>
      </c>
      <c r="Q3" s="4" t="inlineStr">
        <is>
          <t>熱錢分數</t>
        </is>
      </c>
      <c r="R3" s="4" t="inlineStr">
        <is>
          <t>10MA分數</t>
        </is>
      </c>
      <c r="S3" s="4" t="inlineStr">
        <is>
          <t>回調質素</t>
        </is>
      </c>
      <c r="T3" s="4" t="inlineStr">
        <is>
          <t>波幅收窄</t>
        </is>
      </c>
      <c r="U3" s="4" t="inlineStr">
        <is>
          <t>綜合分數</t>
        </is>
      </c>
      <c r="V3" s="4" t="inlineStr">
        <is>
          <t>唔過嘅條件（梯隊2）</t>
        </is>
      </c>
      <c r="W3" s="4" t="inlineStr">
        <is>
          <t>審視標記</t>
        </is>
      </c>
    </row>
    <row r="4">
      <c r="A4" s="24">
        <f>'總表'!A22</f>
        <v/>
      </c>
      <c r="B4" s="25">
        <f>COUNTIFS($A$4:$A$4,A4,$U$4:$U$4,"&gt;"&amp;U4)+1</f>
        <v/>
      </c>
      <c r="C4" s="6">
        <f>'總表'!B22</f>
        <v/>
      </c>
      <c r="D4" s="27" t="inlineStr">
        <is>
          <t>AVTR</t>
        </is>
      </c>
      <c r="E4" s="2">
        <f>'總表'!D22</f>
        <v/>
      </c>
      <c r="F4" s="2">
        <f>'總表'!F22</f>
        <v/>
      </c>
      <c r="G4" s="28">
        <f>'總表'!J22</f>
        <v/>
      </c>
      <c r="H4" s="11">
        <f>'總表'!Q22</f>
        <v/>
      </c>
      <c r="I4" s="13">
        <f>'總表'!X22</f>
        <v/>
      </c>
      <c r="J4" s="2">
        <f>'總表'!AD22</f>
        <v/>
      </c>
      <c r="K4" s="13">
        <f>'總表'!AE22</f>
        <v/>
      </c>
      <c r="L4" s="20">
        <f>'總表'!AG22</f>
        <v/>
      </c>
      <c r="M4" s="19">
        <f>'總表'!AK22</f>
        <v/>
      </c>
      <c r="N4" s="13">
        <f>'總表'!AM22</f>
        <v/>
      </c>
      <c r="O4" s="19">
        <f>'總表'!AS22</f>
        <v/>
      </c>
      <c r="P4" s="19">
        <f>'總表'!AT22</f>
        <v/>
      </c>
      <c r="Q4" s="20">
        <f>'總表'!BG22</f>
        <v/>
      </c>
      <c r="R4" s="20">
        <f>'總表'!BH22</f>
        <v/>
      </c>
      <c r="S4" s="20">
        <f>'總表'!BI22</f>
        <v/>
      </c>
      <c r="T4" s="20">
        <f>'總表'!BJ22</f>
        <v/>
      </c>
      <c r="U4" s="21">
        <f>'總表'!BK22</f>
        <v/>
      </c>
      <c r="V4" s="3">
        <f>'總表'!BL22</f>
        <v/>
      </c>
      <c r="W4" s="3">
        <f>'總表'!BO22</f>
        <v/>
      </c>
    </row>
  </sheetData>
  <autoFilter ref="A3:W4"/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8" customWidth="1" min="4" max="4"/>
    <col width="26" customWidth="1" min="5" max="5"/>
    <col width="9" customWidth="1" min="6" max="6"/>
    <col width="9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30" customWidth="1" min="22" max="22"/>
    <col width="36" customWidth="1" min="23" max="23"/>
  </cols>
  <sheetData>
    <row r="1">
      <c r="A1" s="1" t="inlineStr">
        <is>
          <t>中型股（市值 $20–100 億）· 兩個梯隊 · 以綜合分數排序 · 2026-09-30 收市</t>
        </is>
      </c>
    </row>
    <row r="3" ht="42" customHeight="1">
      <c r="A3" s="4" t="inlineStr">
        <is>
          <t>梯隊</t>
        </is>
      </c>
      <c r="B3" s="4" t="inlineStr">
        <is>
          <t>頁內排名</t>
        </is>
      </c>
      <c r="C3" s="4" t="inlineStr">
        <is>
          <t>總表排名</t>
        </is>
      </c>
      <c r="D3" s="4" t="inlineStr">
        <is>
          <t>代號</t>
        </is>
      </c>
      <c r="E3" s="4" t="inlineStr">
        <is>
          <t>公司</t>
        </is>
      </c>
      <c r="F3" s="4" t="inlineStr">
        <is>
          <t>板塊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事件日</t>
        </is>
      </c>
      <c r="K3" s="4" t="inlineStr">
        <is>
          <t>事件日升幅</t>
        </is>
      </c>
      <c r="L3" s="4" t="inlineStr">
        <is>
          <t>事件日量比</t>
        </is>
      </c>
      <c r="M3" s="4" t="inlineStr">
        <is>
          <t>升浪成交額比</t>
        </is>
      </c>
      <c r="N3" s="4" t="inlineStr">
        <is>
          <t>MA10 10日升幅</t>
        </is>
      </c>
      <c r="O3" s="4" t="inlineStr">
        <is>
          <t>ATR5/ATR20</t>
        </is>
      </c>
      <c r="P3" s="4" t="inlineStr">
        <is>
          <t>ATR5/升浪ATR</t>
        </is>
      </c>
      <c r="Q3" s="4" t="inlineStr">
        <is>
          <t>熱錢分數</t>
        </is>
      </c>
      <c r="R3" s="4" t="inlineStr">
        <is>
          <t>10MA分數</t>
        </is>
      </c>
      <c r="S3" s="4" t="inlineStr">
        <is>
          <t>回調質素</t>
        </is>
      </c>
      <c r="T3" s="4" t="inlineStr">
        <is>
          <t>波幅收窄</t>
        </is>
      </c>
      <c r="U3" s="4" t="inlineStr">
        <is>
          <t>綜合分數</t>
        </is>
      </c>
      <c r="V3" s="4" t="inlineStr">
        <is>
          <t>唔過嘅條件（梯隊2）</t>
        </is>
      </c>
      <c r="W3" s="4" t="inlineStr">
        <is>
          <t>審視標記</t>
        </is>
      </c>
    </row>
    <row r="4">
      <c r="A4" s="24">
        <f>'總表'!A8</f>
        <v/>
      </c>
      <c r="B4" s="25">
        <f>COUNTIFS($A$4:$A$11,A4,$U$4:$U$11,"&gt;"&amp;U4)+1</f>
        <v/>
      </c>
      <c r="C4" s="6">
        <f>'總表'!B8</f>
        <v/>
      </c>
      <c r="D4" s="27" t="inlineStr">
        <is>
          <t>HAE</t>
        </is>
      </c>
      <c r="E4" s="2">
        <f>'總表'!D8</f>
        <v/>
      </c>
      <c r="F4" s="2">
        <f>'總表'!F8</f>
        <v/>
      </c>
      <c r="G4" s="28">
        <f>'總表'!J8</f>
        <v/>
      </c>
      <c r="H4" s="11">
        <f>'總表'!Q8</f>
        <v/>
      </c>
      <c r="I4" s="13">
        <f>'總表'!X8</f>
        <v/>
      </c>
      <c r="J4" s="2">
        <f>'總表'!AD8</f>
        <v/>
      </c>
      <c r="K4" s="13">
        <f>'總表'!AE8</f>
        <v/>
      </c>
      <c r="L4" s="20">
        <f>'總表'!AG8</f>
        <v/>
      </c>
      <c r="M4" s="19">
        <f>'總表'!AK8</f>
        <v/>
      </c>
      <c r="N4" s="13">
        <f>'總表'!AM8</f>
        <v/>
      </c>
      <c r="O4" s="19">
        <f>'總表'!AS8</f>
        <v/>
      </c>
      <c r="P4" s="19">
        <f>'總表'!AT8</f>
        <v/>
      </c>
      <c r="Q4" s="20">
        <f>'總表'!BG8</f>
        <v/>
      </c>
      <c r="R4" s="20">
        <f>'總表'!BH8</f>
        <v/>
      </c>
      <c r="S4" s="20">
        <f>'總表'!BI8</f>
        <v/>
      </c>
      <c r="T4" s="20">
        <f>'總表'!BJ8</f>
        <v/>
      </c>
      <c r="U4" s="21">
        <f>'總表'!BK8</f>
        <v/>
      </c>
      <c r="V4" s="3">
        <f>'總表'!BL8</f>
        <v/>
      </c>
      <c r="W4" s="3">
        <f>'總表'!BO8</f>
        <v/>
      </c>
    </row>
    <row r="5">
      <c r="A5" s="24">
        <f>'總表'!A9</f>
        <v/>
      </c>
      <c r="B5" s="25">
        <f>COUNTIFS($A$4:$A$11,A5,$U$4:$U$11,"&gt;"&amp;U5)+1</f>
        <v/>
      </c>
      <c r="C5" s="6">
        <f>'總表'!B9</f>
        <v/>
      </c>
      <c r="D5" s="7" t="inlineStr">
        <is>
          <t>ASST</t>
        </is>
      </c>
      <c r="E5" s="2">
        <f>'總表'!D9</f>
        <v/>
      </c>
      <c r="F5" s="2">
        <f>'總表'!F9</f>
        <v/>
      </c>
      <c r="G5" s="28">
        <f>'總表'!J9</f>
        <v/>
      </c>
      <c r="H5" s="11">
        <f>'總表'!Q9</f>
        <v/>
      </c>
      <c r="I5" s="13">
        <f>'總表'!X9</f>
        <v/>
      </c>
      <c r="J5" s="2">
        <f>'總表'!AD9</f>
        <v/>
      </c>
      <c r="K5" s="13">
        <f>'總表'!AE9</f>
        <v/>
      </c>
      <c r="L5" s="20">
        <f>'總表'!AG9</f>
        <v/>
      </c>
      <c r="M5" s="19">
        <f>'總表'!AK9</f>
        <v/>
      </c>
      <c r="N5" s="13">
        <f>'總表'!AM9</f>
        <v/>
      </c>
      <c r="O5" s="19">
        <f>'總表'!AS9</f>
        <v/>
      </c>
      <c r="P5" s="19">
        <f>'總表'!AT9</f>
        <v/>
      </c>
      <c r="Q5" s="20">
        <f>'總表'!BG9</f>
        <v/>
      </c>
      <c r="R5" s="20">
        <f>'總表'!BH9</f>
        <v/>
      </c>
      <c r="S5" s="20">
        <f>'總表'!BI9</f>
        <v/>
      </c>
      <c r="T5" s="20">
        <f>'總表'!BJ9</f>
        <v/>
      </c>
      <c r="U5" s="21">
        <f>'總表'!BK9</f>
        <v/>
      </c>
      <c r="V5" s="3">
        <f>'總表'!BL9</f>
        <v/>
      </c>
      <c r="W5" s="3">
        <f>'總表'!BO9</f>
        <v/>
      </c>
    </row>
    <row r="6">
      <c r="A6" s="24">
        <f>'總表'!A12</f>
        <v/>
      </c>
      <c r="B6" s="25">
        <f>COUNTIFS($A$4:$A$11,A6,$U$4:$U$11,"&gt;"&amp;U6)+1</f>
        <v/>
      </c>
      <c r="C6" s="6">
        <f>'總表'!B12</f>
        <v/>
      </c>
      <c r="D6" s="7" t="inlineStr">
        <is>
          <t>PURR</t>
        </is>
      </c>
      <c r="E6" s="2">
        <f>'總表'!D12</f>
        <v/>
      </c>
      <c r="F6" s="2">
        <f>'總表'!F12</f>
        <v/>
      </c>
      <c r="G6" s="28">
        <f>'總表'!J12</f>
        <v/>
      </c>
      <c r="H6" s="11">
        <f>'總表'!Q12</f>
        <v/>
      </c>
      <c r="I6" s="13">
        <f>'總表'!X12</f>
        <v/>
      </c>
      <c r="J6" s="2">
        <f>'總表'!AD12</f>
        <v/>
      </c>
      <c r="K6" s="13">
        <f>'總表'!AE12</f>
        <v/>
      </c>
      <c r="L6" s="20">
        <f>'總表'!AG12</f>
        <v/>
      </c>
      <c r="M6" s="19">
        <f>'總表'!AK12</f>
        <v/>
      </c>
      <c r="N6" s="13">
        <f>'總表'!AM12</f>
        <v/>
      </c>
      <c r="O6" s="19">
        <f>'總表'!AS12</f>
        <v/>
      </c>
      <c r="P6" s="19">
        <f>'總表'!AT12</f>
        <v/>
      </c>
      <c r="Q6" s="20">
        <f>'總表'!BG12</f>
        <v/>
      </c>
      <c r="R6" s="20">
        <f>'總表'!BH12</f>
        <v/>
      </c>
      <c r="S6" s="20">
        <f>'總表'!BI12</f>
        <v/>
      </c>
      <c r="T6" s="20">
        <f>'總表'!BJ12</f>
        <v/>
      </c>
      <c r="U6" s="21">
        <f>'總表'!BK12</f>
        <v/>
      </c>
      <c r="V6" s="3">
        <f>'總表'!BL12</f>
        <v/>
      </c>
      <c r="W6" s="3">
        <f>'總表'!BO12</f>
        <v/>
      </c>
    </row>
    <row r="7">
      <c r="A7" s="24">
        <f>'總表'!A14</f>
        <v/>
      </c>
      <c r="B7" s="25">
        <f>COUNTIFS($A$4:$A$11,A7,$U$4:$U$11,"&gt;"&amp;U7)+1</f>
        <v/>
      </c>
      <c r="C7" s="6">
        <f>'總表'!B14</f>
        <v/>
      </c>
      <c r="D7" s="27" t="inlineStr">
        <is>
          <t>RNG</t>
        </is>
      </c>
      <c r="E7" s="2">
        <f>'總表'!D14</f>
        <v/>
      </c>
      <c r="F7" s="2">
        <f>'總表'!F14</f>
        <v/>
      </c>
      <c r="G7" s="28">
        <f>'總表'!J14</f>
        <v/>
      </c>
      <c r="H7" s="11">
        <f>'總表'!Q14</f>
        <v/>
      </c>
      <c r="I7" s="13">
        <f>'總表'!X14</f>
        <v/>
      </c>
      <c r="J7" s="2">
        <f>'總表'!AD14</f>
        <v/>
      </c>
      <c r="K7" s="13">
        <f>'總表'!AE14</f>
        <v/>
      </c>
      <c r="L7" s="20">
        <f>'總表'!AG14</f>
        <v/>
      </c>
      <c r="M7" s="19">
        <f>'總表'!AK14</f>
        <v/>
      </c>
      <c r="N7" s="13">
        <f>'總表'!AM14</f>
        <v/>
      </c>
      <c r="O7" s="19">
        <f>'總表'!AS14</f>
        <v/>
      </c>
      <c r="P7" s="19">
        <f>'總表'!AT14</f>
        <v/>
      </c>
      <c r="Q7" s="20">
        <f>'總表'!BG14</f>
        <v/>
      </c>
      <c r="R7" s="20">
        <f>'總表'!BH14</f>
        <v/>
      </c>
      <c r="S7" s="20">
        <f>'總表'!BI14</f>
        <v/>
      </c>
      <c r="T7" s="20">
        <f>'總表'!BJ14</f>
        <v/>
      </c>
      <c r="U7" s="21">
        <f>'總表'!BK14</f>
        <v/>
      </c>
      <c r="V7" s="3">
        <f>'總表'!BL14</f>
        <v/>
      </c>
      <c r="W7" s="3">
        <f>'總表'!BO14</f>
        <v/>
      </c>
    </row>
    <row r="8">
      <c r="A8" s="24">
        <f>'總表'!A15</f>
        <v/>
      </c>
      <c r="B8" s="25">
        <f>COUNTIFS($A$4:$A$11,A8,$U$4:$U$11,"&gt;"&amp;U8)+1</f>
        <v/>
      </c>
      <c r="C8" s="6">
        <f>'總表'!B15</f>
        <v/>
      </c>
      <c r="D8" s="27" t="inlineStr">
        <is>
          <t>ASO</t>
        </is>
      </c>
      <c r="E8" s="2">
        <f>'總表'!D15</f>
        <v/>
      </c>
      <c r="F8" s="2">
        <f>'總表'!F15</f>
        <v/>
      </c>
      <c r="G8" s="28">
        <f>'總表'!J15</f>
        <v/>
      </c>
      <c r="H8" s="11">
        <f>'總表'!Q15</f>
        <v/>
      </c>
      <c r="I8" s="13">
        <f>'總表'!X15</f>
        <v/>
      </c>
      <c r="J8" s="2">
        <f>'總表'!AD15</f>
        <v/>
      </c>
      <c r="K8" s="13">
        <f>'總表'!AE15</f>
        <v/>
      </c>
      <c r="L8" s="20">
        <f>'總表'!AG15</f>
        <v/>
      </c>
      <c r="M8" s="19">
        <f>'總表'!AK15</f>
        <v/>
      </c>
      <c r="N8" s="13">
        <f>'總表'!AM15</f>
        <v/>
      </c>
      <c r="O8" s="19">
        <f>'總表'!AS15</f>
        <v/>
      </c>
      <c r="P8" s="19">
        <f>'總表'!AT15</f>
        <v/>
      </c>
      <c r="Q8" s="20">
        <f>'總表'!BG15</f>
        <v/>
      </c>
      <c r="R8" s="20">
        <f>'總表'!BH15</f>
        <v/>
      </c>
      <c r="S8" s="20">
        <f>'總表'!BI15</f>
        <v/>
      </c>
      <c r="T8" s="20">
        <f>'總表'!BJ15</f>
        <v/>
      </c>
      <c r="U8" s="21">
        <f>'總表'!BK15</f>
        <v/>
      </c>
      <c r="V8" s="3">
        <f>'總表'!BL15</f>
        <v/>
      </c>
      <c r="W8" s="3">
        <f>'總表'!BO15</f>
        <v/>
      </c>
    </row>
    <row r="9">
      <c r="A9" s="24">
        <f>'總表'!A17</f>
        <v/>
      </c>
      <c r="B9" s="25">
        <f>COUNTIFS($A$4:$A$11,A9,$U$4:$U$11,"&gt;"&amp;U9)+1</f>
        <v/>
      </c>
      <c r="C9" s="6">
        <f>'總表'!B17</f>
        <v/>
      </c>
      <c r="D9" s="7" t="inlineStr">
        <is>
          <t>PLSE</t>
        </is>
      </c>
      <c r="E9" s="2">
        <f>'總表'!D17</f>
        <v/>
      </c>
      <c r="F9" s="2">
        <f>'總表'!F17</f>
        <v/>
      </c>
      <c r="G9" s="28">
        <f>'總表'!J17</f>
        <v/>
      </c>
      <c r="H9" s="11">
        <f>'總表'!Q17</f>
        <v/>
      </c>
      <c r="I9" s="13">
        <f>'總表'!X17</f>
        <v/>
      </c>
      <c r="J9" s="2">
        <f>'總表'!AD17</f>
        <v/>
      </c>
      <c r="K9" s="13">
        <f>'總表'!AE17</f>
        <v/>
      </c>
      <c r="L9" s="20">
        <f>'總表'!AG17</f>
        <v/>
      </c>
      <c r="M9" s="19">
        <f>'總表'!AK17</f>
        <v/>
      </c>
      <c r="N9" s="13">
        <f>'總表'!AM17</f>
        <v/>
      </c>
      <c r="O9" s="19">
        <f>'總表'!AS17</f>
        <v/>
      </c>
      <c r="P9" s="19">
        <f>'總表'!AT17</f>
        <v/>
      </c>
      <c r="Q9" s="20">
        <f>'總表'!BG17</f>
        <v/>
      </c>
      <c r="R9" s="20">
        <f>'總表'!BH17</f>
        <v/>
      </c>
      <c r="S9" s="20">
        <f>'總表'!BI17</f>
        <v/>
      </c>
      <c r="T9" s="20">
        <f>'總表'!BJ17</f>
        <v/>
      </c>
      <c r="U9" s="21">
        <f>'總表'!BK17</f>
        <v/>
      </c>
      <c r="V9" s="3">
        <f>'總表'!BL17</f>
        <v/>
      </c>
      <c r="W9" s="3">
        <f>'總表'!BO17</f>
        <v/>
      </c>
    </row>
    <row r="10">
      <c r="A10" s="24">
        <f>'總表'!A20</f>
        <v/>
      </c>
      <c r="B10" s="25">
        <f>COUNTIFS($A$4:$A$11,A10,$U$4:$U$11,"&gt;"&amp;U10)+1</f>
        <v/>
      </c>
      <c r="C10" s="6">
        <f>'總表'!B20</f>
        <v/>
      </c>
      <c r="D10" s="27" t="inlineStr">
        <is>
          <t>KN</t>
        </is>
      </c>
      <c r="E10" s="2">
        <f>'總表'!D20</f>
        <v/>
      </c>
      <c r="F10" s="2">
        <f>'總表'!F20</f>
        <v/>
      </c>
      <c r="G10" s="28">
        <f>'總表'!J20</f>
        <v/>
      </c>
      <c r="H10" s="11">
        <f>'總表'!Q20</f>
        <v/>
      </c>
      <c r="I10" s="13">
        <f>'總表'!X20</f>
        <v/>
      </c>
      <c r="J10" s="2">
        <f>'總表'!AD20</f>
        <v/>
      </c>
      <c r="K10" s="13">
        <f>'總表'!AE20</f>
        <v/>
      </c>
      <c r="L10" s="20">
        <f>'總表'!AG20</f>
        <v/>
      </c>
      <c r="M10" s="19">
        <f>'總表'!AK20</f>
        <v/>
      </c>
      <c r="N10" s="13">
        <f>'總表'!AM20</f>
        <v/>
      </c>
      <c r="O10" s="19">
        <f>'總表'!AS20</f>
        <v/>
      </c>
      <c r="P10" s="19">
        <f>'總表'!AT20</f>
        <v/>
      </c>
      <c r="Q10" s="20">
        <f>'總表'!BG20</f>
        <v/>
      </c>
      <c r="R10" s="20">
        <f>'總表'!BH20</f>
        <v/>
      </c>
      <c r="S10" s="20">
        <f>'總表'!BI20</f>
        <v/>
      </c>
      <c r="T10" s="20">
        <f>'總表'!BJ20</f>
        <v/>
      </c>
      <c r="U10" s="21">
        <f>'總表'!BK20</f>
        <v/>
      </c>
      <c r="V10" s="3">
        <f>'總表'!BL20</f>
        <v/>
      </c>
      <c r="W10" s="3">
        <f>'總表'!BO20</f>
        <v/>
      </c>
    </row>
    <row r="11">
      <c r="A11" s="24">
        <f>'總表'!A23</f>
        <v/>
      </c>
      <c r="B11" s="25">
        <f>COUNTIFS($A$4:$A$11,A11,$U$4:$U$11,"&gt;"&amp;U11)+1</f>
        <v/>
      </c>
      <c r="C11" s="6">
        <f>'總表'!B23</f>
        <v/>
      </c>
      <c r="D11" s="7" t="inlineStr">
        <is>
          <t>AMBA</t>
        </is>
      </c>
      <c r="E11" s="2">
        <f>'總表'!D23</f>
        <v/>
      </c>
      <c r="F11" s="2">
        <f>'總表'!F23</f>
        <v/>
      </c>
      <c r="G11" s="28">
        <f>'總表'!J23</f>
        <v/>
      </c>
      <c r="H11" s="11">
        <f>'總表'!Q23</f>
        <v/>
      </c>
      <c r="I11" s="13">
        <f>'總表'!X23</f>
        <v/>
      </c>
      <c r="J11" s="2">
        <f>'總表'!AD23</f>
        <v/>
      </c>
      <c r="K11" s="13">
        <f>'總表'!AE23</f>
        <v/>
      </c>
      <c r="L11" s="20">
        <f>'總表'!AG23</f>
        <v/>
      </c>
      <c r="M11" s="19">
        <f>'總表'!AK23</f>
        <v/>
      </c>
      <c r="N11" s="13">
        <f>'總表'!AM23</f>
        <v/>
      </c>
      <c r="O11" s="19">
        <f>'總表'!AS23</f>
        <v/>
      </c>
      <c r="P11" s="19">
        <f>'總表'!AT23</f>
        <v/>
      </c>
      <c r="Q11" s="20">
        <f>'總表'!BG23</f>
        <v/>
      </c>
      <c r="R11" s="20">
        <f>'總表'!BH23</f>
        <v/>
      </c>
      <c r="S11" s="20">
        <f>'總表'!BI23</f>
        <v/>
      </c>
      <c r="T11" s="20">
        <f>'總表'!BJ23</f>
        <v/>
      </c>
      <c r="U11" s="21">
        <f>'總表'!BK23</f>
        <v/>
      </c>
      <c r="V11" s="3">
        <f>'總表'!BL23</f>
        <v/>
      </c>
      <c r="W11" s="3">
        <f>'總表'!BO23</f>
        <v/>
      </c>
    </row>
  </sheetData>
  <autoFilter ref="A3:W11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8" customWidth="1" min="4" max="4"/>
    <col width="26" customWidth="1" min="5" max="5"/>
    <col width="9" customWidth="1" min="6" max="6"/>
    <col width="9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30" customWidth="1" min="22" max="22"/>
    <col width="36" customWidth="1" min="23" max="23"/>
  </cols>
  <sheetData>
    <row r="1">
      <c r="A1" s="1" t="inlineStr">
        <is>
          <t>小型股（市值 &lt; $20 億）· 兩個梯隊 · 以綜合分數排序 · 2026-09-30 收市</t>
        </is>
      </c>
    </row>
    <row r="3" ht="42" customHeight="1">
      <c r="A3" s="4" t="inlineStr">
        <is>
          <t>梯隊</t>
        </is>
      </c>
      <c r="B3" s="4" t="inlineStr">
        <is>
          <t>頁內排名</t>
        </is>
      </c>
      <c r="C3" s="4" t="inlineStr">
        <is>
          <t>總表排名</t>
        </is>
      </c>
      <c r="D3" s="4" t="inlineStr">
        <is>
          <t>代號</t>
        </is>
      </c>
      <c r="E3" s="4" t="inlineStr">
        <is>
          <t>公司</t>
        </is>
      </c>
      <c r="F3" s="4" t="inlineStr">
        <is>
          <t>板塊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事件日</t>
        </is>
      </c>
      <c r="K3" s="4" t="inlineStr">
        <is>
          <t>事件日升幅</t>
        </is>
      </c>
      <c r="L3" s="4" t="inlineStr">
        <is>
          <t>事件日量比</t>
        </is>
      </c>
      <c r="M3" s="4" t="inlineStr">
        <is>
          <t>升浪成交額比</t>
        </is>
      </c>
      <c r="N3" s="4" t="inlineStr">
        <is>
          <t>MA10 10日升幅</t>
        </is>
      </c>
      <c r="O3" s="4" t="inlineStr">
        <is>
          <t>ATR5/ATR20</t>
        </is>
      </c>
      <c r="P3" s="4" t="inlineStr">
        <is>
          <t>ATR5/升浪ATR</t>
        </is>
      </c>
      <c r="Q3" s="4" t="inlineStr">
        <is>
          <t>熱錢分數</t>
        </is>
      </c>
      <c r="R3" s="4" t="inlineStr">
        <is>
          <t>10MA分數</t>
        </is>
      </c>
      <c r="S3" s="4" t="inlineStr">
        <is>
          <t>回調質素</t>
        </is>
      </c>
      <c r="T3" s="4" t="inlineStr">
        <is>
          <t>波幅收窄</t>
        </is>
      </c>
      <c r="U3" s="4" t="inlineStr">
        <is>
          <t>綜合分數</t>
        </is>
      </c>
      <c r="V3" s="4" t="inlineStr">
        <is>
          <t>唔過嘅條件（梯隊2）</t>
        </is>
      </c>
      <c r="W3" s="4" t="inlineStr">
        <is>
          <t>審視標記</t>
        </is>
      </c>
    </row>
    <row r="4">
      <c r="A4" s="5">
        <f>'總表'!A2</f>
        <v/>
      </c>
      <c r="B4" s="6">
        <f>COUNTIFS($A$4:$A$16,A4,$U$4:$U$16,"&gt;"&amp;U4)+1</f>
        <v/>
      </c>
      <c r="C4" s="6">
        <f>'總表'!B2</f>
        <v/>
      </c>
      <c r="D4" s="7" t="inlineStr">
        <is>
          <t>RLGT</t>
        </is>
      </c>
      <c r="E4" s="2">
        <f>'總表'!D2</f>
        <v/>
      </c>
      <c r="F4" s="2">
        <f>'總表'!F2</f>
        <v/>
      </c>
      <c r="G4" s="28">
        <f>'總表'!J2</f>
        <v/>
      </c>
      <c r="H4" s="11">
        <f>'總表'!Q2</f>
        <v/>
      </c>
      <c r="I4" s="13">
        <f>'總表'!X2</f>
        <v/>
      </c>
      <c r="J4" s="2">
        <f>'總表'!AD2</f>
        <v/>
      </c>
      <c r="K4" s="13">
        <f>'總表'!AE2</f>
        <v/>
      </c>
      <c r="L4" s="20">
        <f>'總表'!AG2</f>
        <v/>
      </c>
      <c r="M4" s="19">
        <f>'總表'!AK2</f>
        <v/>
      </c>
      <c r="N4" s="13">
        <f>'總表'!AM2</f>
        <v/>
      </c>
      <c r="O4" s="19">
        <f>'總表'!AS2</f>
        <v/>
      </c>
      <c r="P4" s="19">
        <f>'總表'!AT2</f>
        <v/>
      </c>
      <c r="Q4" s="20">
        <f>'總表'!BG2</f>
        <v/>
      </c>
      <c r="R4" s="20">
        <f>'總表'!BH2</f>
        <v/>
      </c>
      <c r="S4" s="20">
        <f>'總表'!BI2</f>
        <v/>
      </c>
      <c r="T4" s="20">
        <f>'總表'!BJ2</f>
        <v/>
      </c>
      <c r="U4" s="21">
        <f>'總表'!BK2</f>
        <v/>
      </c>
      <c r="V4" s="3">
        <f>'總表'!BL2</f>
        <v/>
      </c>
      <c r="W4" s="3">
        <f>'總表'!BO2</f>
        <v/>
      </c>
    </row>
    <row r="5">
      <c r="A5" s="5">
        <f>'總表'!A3</f>
        <v/>
      </c>
      <c r="B5" s="6">
        <f>COUNTIFS($A$4:$A$16,A5,$U$4:$U$16,"&gt;"&amp;U5)+1</f>
        <v/>
      </c>
      <c r="C5" s="6">
        <f>'總表'!B3</f>
        <v/>
      </c>
      <c r="D5" s="7" t="inlineStr">
        <is>
          <t>CSR</t>
        </is>
      </c>
      <c r="E5" s="2">
        <f>'總表'!D3</f>
        <v/>
      </c>
      <c r="F5" s="2">
        <f>'總表'!F3</f>
        <v/>
      </c>
      <c r="G5" s="28">
        <f>'總表'!J3</f>
        <v/>
      </c>
      <c r="H5" s="11">
        <f>'總表'!Q3</f>
        <v/>
      </c>
      <c r="I5" s="13">
        <f>'總表'!X3</f>
        <v/>
      </c>
      <c r="J5" s="2">
        <f>'總表'!AD3</f>
        <v/>
      </c>
      <c r="K5" s="13">
        <f>'總表'!AE3</f>
        <v/>
      </c>
      <c r="L5" s="20">
        <f>'總表'!AG3</f>
        <v/>
      </c>
      <c r="M5" s="19">
        <f>'總表'!AK3</f>
        <v/>
      </c>
      <c r="N5" s="13">
        <f>'總表'!AM3</f>
        <v/>
      </c>
      <c r="O5" s="19">
        <f>'總表'!AS3</f>
        <v/>
      </c>
      <c r="P5" s="19">
        <f>'總表'!AT3</f>
        <v/>
      </c>
      <c r="Q5" s="20">
        <f>'總表'!BG3</f>
        <v/>
      </c>
      <c r="R5" s="20">
        <f>'總表'!BH3</f>
        <v/>
      </c>
      <c r="S5" s="20">
        <f>'總表'!BI3</f>
        <v/>
      </c>
      <c r="T5" s="20">
        <f>'總表'!BJ3</f>
        <v/>
      </c>
      <c r="U5" s="21">
        <f>'總表'!BK3</f>
        <v/>
      </c>
      <c r="V5" s="3">
        <f>'總表'!BL3</f>
        <v/>
      </c>
      <c r="W5" s="3">
        <f>'總表'!BO3</f>
        <v/>
      </c>
    </row>
    <row r="6">
      <c r="A6" s="5">
        <f>'總表'!A4</f>
        <v/>
      </c>
      <c r="B6" s="6">
        <f>COUNTIFS($A$4:$A$16,A6,$U$4:$U$16,"&gt;"&amp;U6)+1</f>
        <v/>
      </c>
      <c r="C6" s="6">
        <f>'總表'!B4</f>
        <v/>
      </c>
      <c r="D6" s="7" t="inlineStr">
        <is>
          <t>BSVN</t>
        </is>
      </c>
      <c r="E6" s="2">
        <f>'總表'!D4</f>
        <v/>
      </c>
      <c r="F6" s="2">
        <f>'總表'!F4</f>
        <v/>
      </c>
      <c r="G6" s="28">
        <f>'總表'!J4</f>
        <v/>
      </c>
      <c r="H6" s="11">
        <f>'總表'!Q4</f>
        <v/>
      </c>
      <c r="I6" s="13">
        <f>'總表'!X4</f>
        <v/>
      </c>
      <c r="J6" s="2">
        <f>'總表'!AD4</f>
        <v/>
      </c>
      <c r="K6" s="13">
        <f>'總表'!AE4</f>
        <v/>
      </c>
      <c r="L6" s="20">
        <f>'總表'!AG4</f>
        <v/>
      </c>
      <c r="M6" s="19">
        <f>'總表'!AK4</f>
        <v/>
      </c>
      <c r="N6" s="13">
        <f>'總表'!AM4</f>
        <v/>
      </c>
      <c r="O6" s="19">
        <f>'總表'!AS4</f>
        <v/>
      </c>
      <c r="P6" s="19">
        <f>'總表'!AT4</f>
        <v/>
      </c>
      <c r="Q6" s="20">
        <f>'總表'!BG4</f>
        <v/>
      </c>
      <c r="R6" s="20">
        <f>'總表'!BH4</f>
        <v/>
      </c>
      <c r="S6" s="20">
        <f>'總表'!BI4</f>
        <v/>
      </c>
      <c r="T6" s="20">
        <f>'總表'!BJ4</f>
        <v/>
      </c>
      <c r="U6" s="21">
        <f>'總表'!BK4</f>
        <v/>
      </c>
      <c r="V6" s="3">
        <f>'總表'!BL4</f>
        <v/>
      </c>
      <c r="W6" s="3">
        <f>'總表'!BO4</f>
        <v/>
      </c>
    </row>
    <row r="7">
      <c r="A7" s="24">
        <f>'總表'!A5</f>
        <v/>
      </c>
      <c r="B7" s="25">
        <f>COUNTIFS($A$4:$A$16,A7,$U$4:$U$16,"&gt;"&amp;U7)+1</f>
        <v/>
      </c>
      <c r="C7" s="6">
        <f>'總表'!B5</f>
        <v/>
      </c>
      <c r="D7" s="7" t="inlineStr">
        <is>
          <t>CRSR</t>
        </is>
      </c>
      <c r="E7" s="2">
        <f>'總表'!D5</f>
        <v/>
      </c>
      <c r="F7" s="2">
        <f>'總表'!F5</f>
        <v/>
      </c>
      <c r="G7" s="28">
        <f>'總表'!J5</f>
        <v/>
      </c>
      <c r="H7" s="11">
        <f>'總表'!Q5</f>
        <v/>
      </c>
      <c r="I7" s="13">
        <f>'總表'!X5</f>
        <v/>
      </c>
      <c r="J7" s="2">
        <f>'總表'!AD5</f>
        <v/>
      </c>
      <c r="K7" s="13">
        <f>'總表'!AE5</f>
        <v/>
      </c>
      <c r="L7" s="20">
        <f>'總表'!AG5</f>
        <v/>
      </c>
      <c r="M7" s="19">
        <f>'總表'!AK5</f>
        <v/>
      </c>
      <c r="N7" s="13">
        <f>'總表'!AM5</f>
        <v/>
      </c>
      <c r="O7" s="19">
        <f>'總表'!AS5</f>
        <v/>
      </c>
      <c r="P7" s="19">
        <f>'總表'!AT5</f>
        <v/>
      </c>
      <c r="Q7" s="20">
        <f>'總表'!BG5</f>
        <v/>
      </c>
      <c r="R7" s="20">
        <f>'總表'!BH5</f>
        <v/>
      </c>
      <c r="S7" s="20">
        <f>'總表'!BI5</f>
        <v/>
      </c>
      <c r="T7" s="20">
        <f>'總表'!BJ5</f>
        <v/>
      </c>
      <c r="U7" s="21">
        <f>'總表'!BK5</f>
        <v/>
      </c>
      <c r="V7" s="3">
        <f>'總表'!BL5</f>
        <v/>
      </c>
      <c r="W7" s="3">
        <f>'總表'!BO5</f>
        <v/>
      </c>
    </row>
    <row r="8">
      <c r="A8" s="24">
        <f>'總表'!A6</f>
        <v/>
      </c>
      <c r="B8" s="25">
        <f>COUNTIFS($A$4:$A$16,A8,$U$4:$U$16,"&gt;"&amp;U8)+1</f>
        <v/>
      </c>
      <c r="C8" s="6">
        <f>'總表'!B6</f>
        <v/>
      </c>
      <c r="D8" s="7" t="inlineStr">
        <is>
          <t>CMRC</t>
        </is>
      </c>
      <c r="E8" s="2">
        <f>'總表'!D6</f>
        <v/>
      </c>
      <c r="F8" s="2">
        <f>'總表'!F6</f>
        <v/>
      </c>
      <c r="G8" s="28">
        <f>'總表'!J6</f>
        <v/>
      </c>
      <c r="H8" s="11">
        <f>'總表'!Q6</f>
        <v/>
      </c>
      <c r="I8" s="13">
        <f>'總表'!X6</f>
        <v/>
      </c>
      <c r="J8" s="2">
        <f>'總表'!AD6</f>
        <v/>
      </c>
      <c r="K8" s="13">
        <f>'總表'!AE6</f>
        <v/>
      </c>
      <c r="L8" s="20">
        <f>'總表'!AG6</f>
        <v/>
      </c>
      <c r="M8" s="19">
        <f>'總表'!AK6</f>
        <v/>
      </c>
      <c r="N8" s="13">
        <f>'總表'!AM6</f>
        <v/>
      </c>
      <c r="O8" s="19">
        <f>'總表'!AS6</f>
        <v/>
      </c>
      <c r="P8" s="19">
        <f>'總表'!AT6</f>
        <v/>
      </c>
      <c r="Q8" s="20">
        <f>'總表'!BG6</f>
        <v/>
      </c>
      <c r="R8" s="20">
        <f>'總表'!BH6</f>
        <v/>
      </c>
      <c r="S8" s="20">
        <f>'總表'!BI6</f>
        <v/>
      </c>
      <c r="T8" s="20">
        <f>'總表'!BJ6</f>
        <v/>
      </c>
      <c r="U8" s="21">
        <f>'總表'!BK6</f>
        <v/>
      </c>
      <c r="V8" s="3">
        <f>'總表'!BL6</f>
        <v/>
      </c>
      <c r="W8" s="3">
        <f>'總表'!BO6</f>
        <v/>
      </c>
    </row>
    <row r="9">
      <c r="A9" s="24">
        <f>'總表'!A7</f>
        <v/>
      </c>
      <c r="B9" s="25">
        <f>COUNTIFS($A$4:$A$16,A9,$U$4:$U$16,"&gt;"&amp;U9)+1</f>
        <v/>
      </c>
      <c r="C9" s="6">
        <f>'總表'!B7</f>
        <v/>
      </c>
      <c r="D9" s="27" t="inlineStr">
        <is>
          <t>OMER</t>
        </is>
      </c>
      <c r="E9" s="2">
        <f>'總表'!D7</f>
        <v/>
      </c>
      <c r="F9" s="2">
        <f>'總表'!F7</f>
        <v/>
      </c>
      <c r="G9" s="28">
        <f>'總表'!J7</f>
        <v/>
      </c>
      <c r="H9" s="11">
        <f>'總表'!Q7</f>
        <v/>
      </c>
      <c r="I9" s="13">
        <f>'總表'!X7</f>
        <v/>
      </c>
      <c r="J9" s="2">
        <f>'總表'!AD7</f>
        <v/>
      </c>
      <c r="K9" s="13">
        <f>'總表'!AE7</f>
        <v/>
      </c>
      <c r="L9" s="20">
        <f>'總表'!AG7</f>
        <v/>
      </c>
      <c r="M9" s="19">
        <f>'總表'!AK7</f>
        <v/>
      </c>
      <c r="N9" s="13">
        <f>'總表'!AM7</f>
        <v/>
      </c>
      <c r="O9" s="19">
        <f>'總表'!AS7</f>
        <v/>
      </c>
      <c r="P9" s="19">
        <f>'總表'!AT7</f>
        <v/>
      </c>
      <c r="Q9" s="20">
        <f>'總表'!BG7</f>
        <v/>
      </c>
      <c r="R9" s="20">
        <f>'總表'!BH7</f>
        <v/>
      </c>
      <c r="S9" s="20">
        <f>'總表'!BI7</f>
        <v/>
      </c>
      <c r="T9" s="20">
        <f>'總表'!BJ7</f>
        <v/>
      </c>
      <c r="U9" s="21">
        <f>'總表'!BK7</f>
        <v/>
      </c>
      <c r="V9" s="3">
        <f>'總表'!BL7</f>
        <v/>
      </c>
      <c r="W9" s="3">
        <f>'總表'!BO7</f>
        <v/>
      </c>
    </row>
    <row r="10">
      <c r="A10" s="24">
        <f>'總表'!A10</f>
        <v/>
      </c>
      <c r="B10" s="25">
        <f>COUNTIFS($A$4:$A$16,A10,$U$4:$U$16,"&gt;"&amp;U10)+1</f>
        <v/>
      </c>
      <c r="C10" s="6">
        <f>'總表'!B10</f>
        <v/>
      </c>
      <c r="D10" s="7" t="inlineStr">
        <is>
          <t>GEMI</t>
        </is>
      </c>
      <c r="E10" s="2">
        <f>'總表'!D10</f>
        <v/>
      </c>
      <c r="F10" s="2">
        <f>'總表'!F10</f>
        <v/>
      </c>
      <c r="G10" s="28">
        <f>'總表'!J10</f>
        <v/>
      </c>
      <c r="H10" s="11">
        <f>'總表'!Q10</f>
        <v/>
      </c>
      <c r="I10" s="13">
        <f>'總表'!X10</f>
        <v/>
      </c>
      <c r="J10" s="2">
        <f>'總表'!AD10</f>
        <v/>
      </c>
      <c r="K10" s="13">
        <f>'總表'!AE10</f>
        <v/>
      </c>
      <c r="L10" s="20">
        <f>'總表'!AG10</f>
        <v/>
      </c>
      <c r="M10" s="19">
        <f>'總表'!AK10</f>
        <v/>
      </c>
      <c r="N10" s="13">
        <f>'總表'!AM10</f>
        <v/>
      </c>
      <c r="O10" s="19">
        <f>'總表'!AS10</f>
        <v/>
      </c>
      <c r="P10" s="19">
        <f>'總表'!AT10</f>
        <v/>
      </c>
      <c r="Q10" s="20">
        <f>'總表'!BG10</f>
        <v/>
      </c>
      <c r="R10" s="20">
        <f>'總表'!BH10</f>
        <v/>
      </c>
      <c r="S10" s="20">
        <f>'總表'!BI10</f>
        <v/>
      </c>
      <c r="T10" s="20">
        <f>'總表'!BJ10</f>
        <v/>
      </c>
      <c r="U10" s="21">
        <f>'總表'!BK10</f>
        <v/>
      </c>
      <c r="V10" s="3">
        <f>'總表'!BL10</f>
        <v/>
      </c>
      <c r="W10" s="3">
        <f>'總表'!BO10</f>
        <v/>
      </c>
    </row>
    <row r="11">
      <c r="A11" s="24">
        <f>'總表'!A11</f>
        <v/>
      </c>
      <c r="B11" s="25">
        <f>COUNTIFS($A$4:$A$16,A11,$U$4:$U$16,"&gt;"&amp;U11)+1</f>
        <v/>
      </c>
      <c r="C11" s="6">
        <f>'總表'!B11</f>
        <v/>
      </c>
      <c r="D11" s="7" t="inlineStr">
        <is>
          <t>UMAC</t>
        </is>
      </c>
      <c r="E11" s="2">
        <f>'總表'!D11</f>
        <v/>
      </c>
      <c r="F11" s="2">
        <f>'總表'!F11</f>
        <v/>
      </c>
      <c r="G11" s="28">
        <f>'總表'!J11</f>
        <v/>
      </c>
      <c r="H11" s="11">
        <f>'總表'!Q11</f>
        <v/>
      </c>
      <c r="I11" s="13">
        <f>'總表'!X11</f>
        <v/>
      </c>
      <c r="J11" s="2">
        <f>'總表'!AD11</f>
        <v/>
      </c>
      <c r="K11" s="13">
        <f>'總表'!AE11</f>
        <v/>
      </c>
      <c r="L11" s="20">
        <f>'總表'!AG11</f>
        <v/>
      </c>
      <c r="M11" s="19">
        <f>'總表'!AK11</f>
        <v/>
      </c>
      <c r="N11" s="13">
        <f>'總表'!AM11</f>
        <v/>
      </c>
      <c r="O11" s="19">
        <f>'總表'!AS11</f>
        <v/>
      </c>
      <c r="P11" s="19">
        <f>'總表'!AT11</f>
        <v/>
      </c>
      <c r="Q11" s="20">
        <f>'總表'!BG11</f>
        <v/>
      </c>
      <c r="R11" s="20">
        <f>'總表'!BH11</f>
        <v/>
      </c>
      <c r="S11" s="20">
        <f>'總表'!BI11</f>
        <v/>
      </c>
      <c r="T11" s="20">
        <f>'總表'!BJ11</f>
        <v/>
      </c>
      <c r="U11" s="21">
        <f>'總表'!BK11</f>
        <v/>
      </c>
      <c r="V11" s="3">
        <f>'總表'!BL11</f>
        <v/>
      </c>
      <c r="W11" s="3">
        <f>'總表'!BO11</f>
        <v/>
      </c>
    </row>
    <row r="12">
      <c r="A12" s="24">
        <f>'總表'!A13</f>
        <v/>
      </c>
      <c r="B12" s="25">
        <f>COUNTIFS($A$4:$A$16,A12,$U$4:$U$16,"&gt;"&amp;U12)+1</f>
        <v/>
      </c>
      <c r="C12" s="6">
        <f>'總表'!B13</f>
        <v/>
      </c>
      <c r="D12" s="7" t="inlineStr">
        <is>
          <t>UTMD</t>
        </is>
      </c>
      <c r="E12" s="2">
        <f>'總表'!D13</f>
        <v/>
      </c>
      <c r="F12" s="2">
        <f>'總表'!F13</f>
        <v/>
      </c>
      <c r="G12" s="28">
        <f>'總表'!J13</f>
        <v/>
      </c>
      <c r="H12" s="11">
        <f>'總表'!Q13</f>
        <v/>
      </c>
      <c r="I12" s="13">
        <f>'總表'!X13</f>
        <v/>
      </c>
      <c r="J12" s="2">
        <f>'總表'!AD13</f>
        <v/>
      </c>
      <c r="K12" s="13">
        <f>'總表'!AE13</f>
        <v/>
      </c>
      <c r="L12" s="20">
        <f>'總表'!AG13</f>
        <v/>
      </c>
      <c r="M12" s="19">
        <f>'總表'!AK13</f>
        <v/>
      </c>
      <c r="N12" s="13">
        <f>'總表'!AM13</f>
        <v/>
      </c>
      <c r="O12" s="19">
        <f>'總表'!AS13</f>
        <v/>
      </c>
      <c r="P12" s="19">
        <f>'總表'!AT13</f>
        <v/>
      </c>
      <c r="Q12" s="20">
        <f>'總表'!BG13</f>
        <v/>
      </c>
      <c r="R12" s="20">
        <f>'總表'!BH13</f>
        <v/>
      </c>
      <c r="S12" s="20">
        <f>'總表'!BI13</f>
        <v/>
      </c>
      <c r="T12" s="20">
        <f>'總表'!BJ13</f>
        <v/>
      </c>
      <c r="U12" s="21">
        <f>'總表'!BK13</f>
        <v/>
      </c>
      <c r="V12" s="3">
        <f>'總表'!BL13</f>
        <v/>
      </c>
      <c r="W12" s="3">
        <f>'總表'!BO13</f>
        <v/>
      </c>
    </row>
    <row r="13">
      <c r="A13" s="24">
        <f>'總表'!A16</f>
        <v/>
      </c>
      <c r="B13" s="25">
        <f>COUNTIFS($A$4:$A$16,A13,$U$4:$U$16,"&gt;"&amp;U13)+1</f>
        <v/>
      </c>
      <c r="C13" s="6">
        <f>'總表'!B16</f>
        <v/>
      </c>
      <c r="D13" s="7" t="inlineStr">
        <is>
          <t>BVS</t>
        </is>
      </c>
      <c r="E13" s="2">
        <f>'總表'!D16</f>
        <v/>
      </c>
      <c r="F13" s="2">
        <f>'總表'!F16</f>
        <v/>
      </c>
      <c r="G13" s="28">
        <f>'總表'!J16</f>
        <v/>
      </c>
      <c r="H13" s="11">
        <f>'總表'!Q16</f>
        <v/>
      </c>
      <c r="I13" s="13">
        <f>'總表'!X16</f>
        <v/>
      </c>
      <c r="J13" s="2">
        <f>'總表'!AD16</f>
        <v/>
      </c>
      <c r="K13" s="13">
        <f>'總表'!AE16</f>
        <v/>
      </c>
      <c r="L13" s="20">
        <f>'總表'!AG16</f>
        <v/>
      </c>
      <c r="M13" s="19">
        <f>'總表'!AK16</f>
        <v/>
      </c>
      <c r="N13" s="13">
        <f>'總表'!AM16</f>
        <v/>
      </c>
      <c r="O13" s="19">
        <f>'總表'!AS16</f>
        <v/>
      </c>
      <c r="P13" s="19">
        <f>'總表'!AT16</f>
        <v/>
      </c>
      <c r="Q13" s="20">
        <f>'總表'!BG16</f>
        <v/>
      </c>
      <c r="R13" s="20">
        <f>'總表'!BH16</f>
        <v/>
      </c>
      <c r="S13" s="20">
        <f>'總表'!BI16</f>
        <v/>
      </c>
      <c r="T13" s="20">
        <f>'總表'!BJ16</f>
        <v/>
      </c>
      <c r="U13" s="21">
        <f>'總表'!BK16</f>
        <v/>
      </c>
      <c r="V13" s="3">
        <f>'總表'!BL16</f>
        <v/>
      </c>
      <c r="W13" s="3">
        <f>'總表'!BO16</f>
        <v/>
      </c>
    </row>
    <row r="14">
      <c r="A14" s="24">
        <f>'總表'!A18</f>
        <v/>
      </c>
      <c r="B14" s="25">
        <f>COUNTIFS($A$4:$A$16,A14,$U$4:$U$16,"&gt;"&amp;U14)+1</f>
        <v/>
      </c>
      <c r="C14" s="6">
        <f>'總表'!B18</f>
        <v/>
      </c>
      <c r="D14" s="7" t="inlineStr">
        <is>
          <t>BBNX</t>
        </is>
      </c>
      <c r="E14" s="2">
        <f>'總表'!D18</f>
        <v/>
      </c>
      <c r="F14" s="2">
        <f>'總表'!F18</f>
        <v/>
      </c>
      <c r="G14" s="28">
        <f>'總表'!J18</f>
        <v/>
      </c>
      <c r="H14" s="11">
        <f>'總表'!Q18</f>
        <v/>
      </c>
      <c r="I14" s="13">
        <f>'總表'!X18</f>
        <v/>
      </c>
      <c r="J14" s="2">
        <f>'總表'!AD18</f>
        <v/>
      </c>
      <c r="K14" s="13">
        <f>'總表'!AE18</f>
        <v/>
      </c>
      <c r="L14" s="20">
        <f>'總表'!AG18</f>
        <v/>
      </c>
      <c r="M14" s="19">
        <f>'總表'!AK18</f>
        <v/>
      </c>
      <c r="N14" s="13">
        <f>'總表'!AM18</f>
        <v/>
      </c>
      <c r="O14" s="19">
        <f>'總表'!AS18</f>
        <v/>
      </c>
      <c r="P14" s="19">
        <f>'總表'!AT18</f>
        <v/>
      </c>
      <c r="Q14" s="20">
        <f>'總表'!BG18</f>
        <v/>
      </c>
      <c r="R14" s="20">
        <f>'總表'!BH18</f>
        <v/>
      </c>
      <c r="S14" s="20">
        <f>'總表'!BI18</f>
        <v/>
      </c>
      <c r="T14" s="20">
        <f>'總表'!BJ18</f>
        <v/>
      </c>
      <c r="U14" s="21">
        <f>'總表'!BK18</f>
        <v/>
      </c>
      <c r="V14" s="3">
        <f>'總表'!BL18</f>
        <v/>
      </c>
      <c r="W14" s="3">
        <f>'總表'!BO18</f>
        <v/>
      </c>
    </row>
    <row r="15">
      <c r="A15" s="24">
        <f>'總表'!A19</f>
        <v/>
      </c>
      <c r="B15" s="25">
        <f>COUNTIFS($A$4:$A$16,A15,$U$4:$U$16,"&gt;"&amp;U15)+1</f>
        <v/>
      </c>
      <c r="C15" s="6">
        <f>'總表'!B19</f>
        <v/>
      </c>
      <c r="D15" s="7" t="inlineStr">
        <is>
          <t>PKOH</t>
        </is>
      </c>
      <c r="E15" s="2">
        <f>'總表'!D19</f>
        <v/>
      </c>
      <c r="F15" s="2">
        <f>'總表'!F19</f>
        <v/>
      </c>
      <c r="G15" s="28">
        <f>'總表'!J19</f>
        <v/>
      </c>
      <c r="H15" s="11">
        <f>'總表'!Q19</f>
        <v/>
      </c>
      <c r="I15" s="13">
        <f>'總表'!X19</f>
        <v/>
      </c>
      <c r="J15" s="2">
        <f>'總表'!AD19</f>
        <v/>
      </c>
      <c r="K15" s="13">
        <f>'總表'!AE19</f>
        <v/>
      </c>
      <c r="L15" s="20">
        <f>'總表'!AG19</f>
        <v/>
      </c>
      <c r="M15" s="19">
        <f>'總表'!AK19</f>
        <v/>
      </c>
      <c r="N15" s="13">
        <f>'總表'!AM19</f>
        <v/>
      </c>
      <c r="O15" s="19">
        <f>'總表'!AS19</f>
        <v/>
      </c>
      <c r="P15" s="19">
        <f>'總表'!AT19</f>
        <v/>
      </c>
      <c r="Q15" s="20">
        <f>'總表'!BG19</f>
        <v/>
      </c>
      <c r="R15" s="20">
        <f>'總表'!BH19</f>
        <v/>
      </c>
      <c r="S15" s="20">
        <f>'總表'!BI19</f>
        <v/>
      </c>
      <c r="T15" s="20">
        <f>'總表'!BJ19</f>
        <v/>
      </c>
      <c r="U15" s="21">
        <f>'總表'!BK19</f>
        <v/>
      </c>
      <c r="V15" s="3">
        <f>'總表'!BL19</f>
        <v/>
      </c>
      <c r="W15" s="3">
        <f>'總表'!BO19</f>
        <v/>
      </c>
    </row>
    <row r="16">
      <c r="A16" s="24">
        <f>'總表'!A21</f>
        <v/>
      </c>
      <c r="B16" s="25">
        <f>COUNTIFS($A$4:$A$16,A16,$U$4:$U$16,"&gt;"&amp;U16)+1</f>
        <v/>
      </c>
      <c r="C16" s="6">
        <f>'總表'!B21</f>
        <v/>
      </c>
      <c r="D16" s="27" t="inlineStr">
        <is>
          <t>FLXS</t>
        </is>
      </c>
      <c r="E16" s="2">
        <f>'總表'!D21</f>
        <v/>
      </c>
      <c r="F16" s="2">
        <f>'總表'!F21</f>
        <v/>
      </c>
      <c r="G16" s="28">
        <f>'總表'!J21</f>
        <v/>
      </c>
      <c r="H16" s="11">
        <f>'總表'!Q21</f>
        <v/>
      </c>
      <c r="I16" s="13">
        <f>'總表'!X21</f>
        <v/>
      </c>
      <c r="J16" s="2">
        <f>'總表'!AD21</f>
        <v/>
      </c>
      <c r="K16" s="13">
        <f>'總表'!AE21</f>
        <v/>
      </c>
      <c r="L16" s="20">
        <f>'總表'!AG21</f>
        <v/>
      </c>
      <c r="M16" s="19">
        <f>'總表'!AK21</f>
        <v/>
      </c>
      <c r="N16" s="13">
        <f>'總表'!AM21</f>
        <v/>
      </c>
      <c r="O16" s="19">
        <f>'總表'!AS21</f>
        <v/>
      </c>
      <c r="P16" s="19">
        <f>'總表'!AT21</f>
        <v/>
      </c>
      <c r="Q16" s="20">
        <f>'總表'!BG21</f>
        <v/>
      </c>
      <c r="R16" s="20">
        <f>'總表'!BH21</f>
        <v/>
      </c>
      <c r="S16" s="20">
        <f>'總表'!BI21</f>
        <v/>
      </c>
      <c r="T16" s="20">
        <f>'總表'!BJ21</f>
        <v/>
      </c>
      <c r="U16" s="21">
        <f>'總表'!BK21</f>
        <v/>
      </c>
      <c r="V16" s="3">
        <f>'總表'!BL21</f>
        <v/>
      </c>
      <c r="W16" s="3">
        <f>'總表'!BO21</f>
        <v/>
      </c>
    </row>
  </sheetData>
  <autoFilter ref="A3:W16"/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16" customWidth="1" min="3" max="3"/>
    <col width="10" customWidth="1" min="4" max="4"/>
  </cols>
  <sheetData>
    <row r="1">
      <c r="A1" s="1" t="inlineStr">
        <is>
          <t>R23.00 篩選條件：有熱錢及消息驅動 ＋ 曾有 10MA 上升 ＋ 回落到 20MA ＋ 波幅減低</t>
        </is>
      </c>
    </row>
    <row r="3" ht="48" customHeight="1">
      <c r="A3" s="29" t="inlineStr">
        <is>
          <t>說明</t>
        </is>
      </c>
      <c r="B3" s="3" t="inlineStr">
        <is>
          <t>由 R23.00 起取代 R21–R22 嘅「回報排頭 10% 動能」條件。股票池、價格來源（Yahoo 日線、Nasdaq 快照核對）不變；H = 近 63 日最高收市，升浪 = 由 H 前 63 日內最低收市升到 H。數據終點 2026-09-30，254 個交易日（2025-09-26 起）。</t>
        </is>
      </c>
      <c r="C3" s="2" t="inlineStr">
        <is>
          <t>門檻</t>
        </is>
      </c>
      <c r="D3" s="30" t="inlineStr">
        <is>
          <t>通過數目</t>
        </is>
      </c>
    </row>
    <row r="4" ht="18" customHeight="1">
      <c r="A4" s="29" t="inlineStr">
        <is>
          <t>股票池</t>
        </is>
      </c>
      <c r="B4" s="3" t="inlineStr">
        <is>
          <t>當日有成交、≥90 個交易日歷史（按 Nasdaq 上市日計，SPAC 空殼期唔計）、收市 ≥$2、普通股、20 日成交額中位數 ≥$1M</t>
        </is>
      </c>
      <c r="C4" s="2" t="inlineStr">
        <is>
          <t>同 R1–R22</t>
        </is>
      </c>
      <c r="D4" s="30" t="n">
        <v>2762</v>
      </c>
    </row>
    <row r="5" ht="48" customHeight="1">
      <c r="A5" s="29" t="inlineStr">
        <is>
          <t>C1a 事件日（消息驅動）</t>
        </is>
      </c>
      <c r="B5" s="3" t="inlineStr">
        <is>
          <t>高位前 60 日內（唔計高位之後）有一日：收市對收市 ≥+8%，或開市比前收跳空 ≥+5%；而且當日成交量 ≥3× 之前 50 日平均。幾日都合格就取量比最大嗰日做「事件日」</t>
        </is>
      </c>
      <c r="C5" s="2" t="inlineStr">
        <is>
          <t>單獨 658</t>
        </is>
      </c>
      <c r="D5" s="30" t="n">
        <v>658</v>
      </c>
    </row>
    <row r="6" ht="18" customHeight="1">
      <c r="A6" s="29" t="inlineStr">
        <is>
          <t>C1b 熱錢</t>
        </is>
      </c>
      <c r="B6" s="3" t="inlineStr">
        <is>
          <t>升浪期（至少高位前 5 日）日均成交額 ≥ 升浪開始前 60 日日均嘅 2 倍</t>
        </is>
      </c>
      <c r="C6" s="2" t="inlineStr">
        <is>
          <t>單獨 277</t>
        </is>
      </c>
      <c r="D6" s="30" t="n">
        <v>203</v>
      </c>
    </row>
    <row r="7" ht="48" customHeight="1">
      <c r="A7" s="29" t="inlineStr">
        <is>
          <t>C2 曾有 10MA 上升</t>
        </is>
      </c>
      <c r="B7" s="3" t="inlineStr">
        <is>
          <t>近 30 日內（唔計今日）有一日通過 R1–R20 嘅 10MA 測試：MA10 比 10 日前高 ≥5%、最後三個 MA10 值遞升、10 步入面升 ≥70%。幾日都合格取升幅最大嗰日</t>
        </is>
      </c>
      <c r="C7" s="2" t="inlineStr">
        <is>
          <t>單獨 1,231</t>
        </is>
      </c>
      <c r="D7" s="30" t="n">
        <v>140</v>
      </c>
    </row>
    <row r="8" ht="48" customHeight="1">
      <c r="A8" s="29" t="inlineStr">
        <is>
          <t>C3 回落到 20MA</t>
        </is>
      </c>
      <c r="B8" s="3" t="inlineStr">
        <is>
          <t>MA20 高過 5 日前；H 喺 2–25 日前；收市比 H 低 3%–30%；H 當日收市高過當日 MA20 ≥8%；收市喺 MA20 -3% 至 +3%；近 3 日有一日最低價 ≤ MA20×1.015</t>
        </is>
      </c>
      <c r="C8" s="2" t="inlineStr">
        <is>
          <t>單獨 54</t>
        </is>
      </c>
      <c r="D8" s="30" t="n">
        <v>6</v>
      </c>
    </row>
    <row r="9" ht="18" customHeight="1">
      <c r="A9" s="29" t="inlineStr">
        <is>
          <t>C4 波幅減低</t>
        </is>
      </c>
      <c r="B9" s="3" t="inlineStr">
        <is>
          <t>近 5 日平均真實波幅（佔前收 %）≤ 0.9× 近 20 日平均，而且 ≤ 0.7× 升浪期平均。真實波幅只計有高低位嘅日子</t>
        </is>
      </c>
      <c r="C9" s="2" t="inlineStr">
        <is>
          <t>單獨 722</t>
        </is>
      </c>
      <c r="D9" s="30" t="n">
        <v>3</v>
      </c>
    </row>
    <row r="10" ht="48" customHeight="1">
      <c r="A10" s="29" t="inlineStr">
        <is>
          <t>第二梯隊</t>
        </is>
      </c>
      <c r="B10" s="3" t="inlineStr">
        <is>
          <t>每個門檻放寬一級（事件日 +6%／跳空 +5%／2× 量；熱錢 1.5×；MA10 升 3%、6 步；高位 40 日內；回調 ≤40%；高位時高過 MA20 6%；收市 ±5%、觸及 3%；ATR5/ATR20 ≤1.0、對升浪 ≤0.85）先合格嘅股票；總表「唔過嘅條件」欄列明每隻差邊項</t>
        </is>
      </c>
      <c r="C10" s="2" t="inlineStr"/>
      <c r="D10" s="30" t="n">
        <v>19</v>
      </c>
    </row>
    <row r="12">
      <c r="A12" s="29" t="inlineStr">
        <is>
          <t>評分（每項 0–1，線性、兩頭封頂）</t>
        </is>
      </c>
    </row>
    <row r="13" ht="32" customHeight="1">
      <c r="A13" s="29" t="inlineStr">
        <is>
          <t>熱錢分數</t>
        </is>
      </c>
      <c r="B13" s="3" t="inlineStr">
        <is>
          <t>0.4 × 升浪成交額比（2×→0、6×→1）+ 0.3 × 事件日量比（3×→0、10×→1）+ 0.3 × 升浪幅度（25%→0、100%→1）</t>
        </is>
      </c>
    </row>
    <row r="14" ht="18" customHeight="1">
      <c r="A14" s="29" t="inlineStr">
        <is>
          <t>10MA分數</t>
        </is>
      </c>
      <c r="B14" s="3" t="inlineStr">
        <is>
          <t>0.5 × MA10 10 日升幅（5%→0、25%→1）+ 0.5 × MA10 上升步比例（70%→0、100%→1）</t>
        </is>
      </c>
    </row>
    <row r="15" ht="32" customHeight="1">
      <c r="A15" s="29" t="inlineStr">
        <is>
          <t>回調質素</t>
        </is>
      </c>
      <c r="B15" s="3" t="inlineStr">
        <is>
          <t>0.30 量縮（高位後日均量 ÷ 高位前 20 日：1.2→0、0.6→1）+ 0.25 貼近 MA20（|距 MA20|：3%→0、0%→1）+ 0.20 MA20 斜率（0→0、3%→1）+ 0.10 回調深度（30%→0、15%→1）+ 0.15 企穩（0.5 × 收市喺當日高低區間位置 + 0.5 × 收市 ≥ MA20）</t>
        </is>
      </c>
    </row>
    <row r="16" ht="18" customHeight="1">
      <c r="A16" s="29" t="inlineStr">
        <is>
          <t>波幅收窄</t>
        </is>
      </c>
      <c r="B16" s="3" t="inlineStr">
        <is>
          <t>0.5 × ATR5/ATR20（0.9→0、0.5→1）+ 0.5 × ATR5/升浪 ATR（0.7→0、0.3→1）</t>
        </is>
      </c>
    </row>
    <row r="17" ht="18" customHeight="1">
      <c r="A17" s="29" t="inlineStr">
        <is>
          <t>綜合分數</t>
        </is>
      </c>
      <c r="B17" s="3" t="inlineStr">
        <is>
          <t>0.25 × 熱錢 + 0.2 × 10MA + 0.3 × 回調質素 + 0.25 × 波幅收窄（每頁排名用；先分梯隊）</t>
        </is>
      </c>
    </row>
    <row r="18" ht="18" customHeight="1">
      <c r="A18" s="29" t="inlineStr">
        <is>
          <t>欄位顏色</t>
        </is>
      </c>
      <c r="B18" s="3" t="inlineStr">
        <is>
          <t>藍字 = 量度值（輸入）；黑字 = 公式；灰底 = 第二梯隊；橙底 = 有審視標記；黃底公司名 = 上版冇</t>
        </is>
      </c>
    </row>
    <row r="20" ht="60" customHeight="1">
      <c r="A20" s="29" t="inlineStr">
        <is>
          <t>同上一套條件嘅分別</t>
        </is>
      </c>
      <c r="B20" s="3" t="inlineStr">
        <is>
          <t>R21–R22：1／2／3／6 個月回報排全體頭 10% ＋ 回到上升中嘅 20MA —— 捉慢慢升上去嘅強勢股。R23.00：先要有一日放量大升嘅消息日、升浪期成交額係之前兩倍（熱錢）、而且試過通過舊嘅 10MA 上升測試，再回落到 20MA 兼波幅收窄。兩套條件捉嘅股票本身唔同（見「同R22對照」頁）。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每次只郁一個門檻，睇第一梯隊點變（基準 = 本版門檻）；最後兩行係全部門檻同時放寬／收緊一級</t>
        </is>
      </c>
    </row>
    <row r="3" ht="42" customHeight="1">
      <c r="A3" s="4" t="inlineStr">
        <is>
          <t>門檻</t>
        </is>
      </c>
      <c r="B3" s="4" t="inlineStr">
        <is>
          <t>基準</t>
        </is>
      </c>
      <c r="C3" s="4" t="inlineStr">
        <is>
          <t>改為</t>
        </is>
      </c>
      <c r="D3" s="4" t="inlineStr">
        <is>
          <t>名單數目</t>
        </is>
      </c>
      <c r="E3" s="4" t="inlineStr">
        <is>
          <t>變動</t>
        </is>
      </c>
      <c r="F3" s="4" t="inlineStr">
        <is>
          <t>新增／剔走嘅代號 →</t>
        </is>
      </c>
    </row>
    <row r="4">
      <c r="A4" s="2" t="inlineStr">
        <is>
          <t>事件日升幅</t>
        </is>
      </c>
      <c r="B4" s="2" t="n">
        <v>0.08</v>
      </c>
      <c r="C4" s="2" t="n">
        <v>0.06</v>
      </c>
      <c r="D4" s="6" t="n">
        <v>3</v>
      </c>
      <c r="E4" s="2" t="inlineStr">
        <is>
          <t>+0 / −0</t>
        </is>
      </c>
    </row>
    <row r="5">
      <c r="A5" s="2" t="inlineStr">
        <is>
          <t>事件日升幅</t>
        </is>
      </c>
      <c r="B5" s="2" t="n">
        <v>0.08</v>
      </c>
      <c r="C5" s="2" t="n">
        <v>0.1</v>
      </c>
      <c r="D5" s="6" t="n">
        <v>2</v>
      </c>
      <c r="E5" s="2" t="inlineStr">
        <is>
          <t>+0 / −1</t>
        </is>
      </c>
      <c r="F5" s="7" t="inlineStr">
        <is>
          <t>BSVN</t>
        </is>
      </c>
    </row>
    <row r="6">
      <c r="A6" s="2" t="inlineStr">
        <is>
          <t>事件日量比</t>
        </is>
      </c>
      <c r="B6" s="2" t="n">
        <v>3</v>
      </c>
      <c r="C6" s="2" t="n">
        <v>2</v>
      </c>
      <c r="D6" s="6" t="n">
        <v>3</v>
      </c>
      <c r="E6" s="2" t="inlineStr">
        <is>
          <t>+0 / −0</t>
        </is>
      </c>
    </row>
    <row r="7">
      <c r="A7" s="2" t="inlineStr">
        <is>
          <t>事件日量比</t>
        </is>
      </c>
      <c r="B7" s="2" t="n">
        <v>3</v>
      </c>
      <c r="C7" s="2" t="n">
        <v>4</v>
      </c>
      <c r="D7" s="6" t="n">
        <v>2</v>
      </c>
      <c r="E7" s="2" t="inlineStr">
        <is>
          <t>+0 / −1</t>
        </is>
      </c>
      <c r="F7" s="7" t="inlineStr">
        <is>
          <t>BSVN</t>
        </is>
      </c>
    </row>
    <row r="8">
      <c r="A8" s="2" t="inlineStr">
        <is>
          <t>升浪成交額比</t>
        </is>
      </c>
      <c r="B8" s="2" t="n">
        <v>2</v>
      </c>
      <c r="C8" s="2" t="n">
        <v>1.5</v>
      </c>
      <c r="D8" s="6" t="n">
        <v>6</v>
      </c>
      <c r="E8" s="2" t="inlineStr">
        <is>
          <t>+3 / −0</t>
        </is>
      </c>
      <c r="F8" s="31" t="inlineStr">
        <is>
          <t>ASO</t>
        </is>
      </c>
      <c r="G8" s="31" t="inlineStr">
        <is>
          <t>CMRC</t>
        </is>
      </c>
      <c r="H8" s="31" t="inlineStr">
        <is>
          <t>OMER</t>
        </is>
      </c>
    </row>
    <row r="9">
      <c r="A9" s="2" t="inlineStr">
        <is>
          <t>升浪成交額比</t>
        </is>
      </c>
      <c r="B9" s="2" t="n">
        <v>2</v>
      </c>
      <c r="C9" s="2" t="n">
        <v>3</v>
      </c>
      <c r="D9" s="6" t="n">
        <v>3</v>
      </c>
      <c r="E9" s="2" t="inlineStr">
        <is>
          <t>+0 / −0</t>
        </is>
      </c>
    </row>
    <row r="10">
      <c r="A10" s="2" t="inlineStr">
        <is>
          <t>MA10 10日升幅</t>
        </is>
      </c>
      <c r="B10" s="2" t="n">
        <v>0.05</v>
      </c>
      <c r="C10" s="2" t="n">
        <v>0.03</v>
      </c>
      <c r="D10" s="6" t="n">
        <v>3</v>
      </c>
      <c r="E10" s="2" t="inlineStr">
        <is>
          <t>+0 / −0</t>
        </is>
      </c>
    </row>
    <row r="11">
      <c r="A11" s="2" t="inlineStr">
        <is>
          <t>MA10 10日升幅</t>
        </is>
      </c>
      <c r="B11" s="2" t="n">
        <v>0.05</v>
      </c>
      <c r="C11" s="2" t="n">
        <v>0.08</v>
      </c>
      <c r="D11" s="6" t="n">
        <v>1</v>
      </c>
      <c r="E11" s="2" t="inlineStr">
        <is>
          <t>+0 / −2</t>
        </is>
      </c>
      <c r="F11" s="7" t="inlineStr">
        <is>
          <t>BSVN</t>
        </is>
      </c>
      <c r="G11" s="7" t="inlineStr">
        <is>
          <t>RLGT</t>
        </is>
      </c>
    </row>
    <row r="12">
      <c r="A12" s="2" t="inlineStr">
        <is>
          <t>MA10上升步比例</t>
        </is>
      </c>
      <c r="B12" s="2" t="n">
        <v>0.7</v>
      </c>
      <c r="C12" s="2" t="n">
        <v>0.6</v>
      </c>
      <c r="D12" s="6" t="n">
        <v>3</v>
      </c>
      <c r="E12" s="2" t="inlineStr">
        <is>
          <t>+0 / −0</t>
        </is>
      </c>
    </row>
    <row r="13">
      <c r="A13" s="2" t="inlineStr">
        <is>
          <t>MA10上升步比例</t>
        </is>
      </c>
      <c r="B13" s="2" t="n">
        <v>0.7</v>
      </c>
      <c r="C13" s="2" t="n">
        <v>0.8</v>
      </c>
      <c r="D13" s="6" t="n">
        <v>3</v>
      </c>
      <c r="E13" s="2" t="inlineStr">
        <is>
          <t>+0 / −0</t>
        </is>
      </c>
    </row>
    <row r="14">
      <c r="A14" s="2" t="inlineStr">
        <is>
          <t>高位時高過MA20</t>
        </is>
      </c>
      <c r="B14" s="2" t="n">
        <v>0.08</v>
      </c>
      <c r="C14" s="2" t="n">
        <v>0.06</v>
      </c>
      <c r="D14" s="6" t="n">
        <v>3</v>
      </c>
      <c r="E14" s="2" t="inlineStr">
        <is>
          <t>+0 / −0</t>
        </is>
      </c>
    </row>
    <row r="15">
      <c r="A15" s="2" t="inlineStr">
        <is>
          <t>高位時高過MA20</t>
        </is>
      </c>
      <c r="B15" s="2" t="n">
        <v>0.08</v>
      </c>
      <c r="C15" s="2" t="n">
        <v>0.1</v>
      </c>
      <c r="D15" s="6" t="n">
        <v>2</v>
      </c>
      <c r="E15" s="2" t="inlineStr">
        <is>
          <t>+0 / −1</t>
        </is>
      </c>
      <c r="F15" s="7" t="inlineStr">
        <is>
          <t>CSR</t>
        </is>
      </c>
    </row>
    <row r="16">
      <c r="A16" s="2" t="inlineStr">
        <is>
          <t>最深回調</t>
        </is>
      </c>
      <c r="B16" s="2" t="n">
        <v>0.3</v>
      </c>
      <c r="C16" s="2" t="n">
        <v>0.25</v>
      </c>
      <c r="D16" s="6" t="n">
        <v>3</v>
      </c>
      <c r="E16" s="2" t="inlineStr">
        <is>
          <t>+0 / −0</t>
        </is>
      </c>
    </row>
    <row r="17">
      <c r="A17" s="2" t="inlineStr">
        <is>
          <t>最深回調</t>
        </is>
      </c>
      <c r="B17" s="2" t="n">
        <v>0.3</v>
      </c>
      <c r="C17" s="2" t="n">
        <v>0.4</v>
      </c>
      <c r="D17" s="6" t="n">
        <v>3</v>
      </c>
      <c r="E17" s="2" t="inlineStr">
        <is>
          <t>+0 / −0</t>
        </is>
      </c>
    </row>
    <row r="18">
      <c r="A18" s="2" t="inlineStr">
        <is>
          <t>距MA20下限</t>
        </is>
      </c>
      <c r="B18" s="2" t="n">
        <v>-0.03</v>
      </c>
      <c r="C18" s="2" t="n">
        <v>-0.02</v>
      </c>
      <c r="D18" s="6" t="n">
        <v>2</v>
      </c>
      <c r="E18" s="2" t="inlineStr">
        <is>
          <t>+0 / −1</t>
        </is>
      </c>
      <c r="F18" s="7" t="inlineStr">
        <is>
          <t>CSR</t>
        </is>
      </c>
    </row>
    <row r="19">
      <c r="A19" s="2" t="inlineStr">
        <is>
          <t>距MA20下限</t>
        </is>
      </c>
      <c r="B19" s="2" t="n">
        <v>-0.03</v>
      </c>
      <c r="C19" s="2" t="n">
        <v>-0.05</v>
      </c>
      <c r="D19" s="6" t="n">
        <v>3</v>
      </c>
      <c r="E19" s="2" t="inlineStr">
        <is>
          <t>+0 / −0</t>
        </is>
      </c>
    </row>
    <row r="20">
      <c r="A20" s="2" t="inlineStr">
        <is>
          <t>距MA20上限</t>
        </is>
      </c>
      <c r="B20" s="2" t="n">
        <v>0.03</v>
      </c>
      <c r="C20" s="2" t="n">
        <v>0.02</v>
      </c>
      <c r="D20" s="6" t="n">
        <v>3</v>
      </c>
      <c r="E20" s="2" t="inlineStr">
        <is>
          <t>+0 / −0</t>
        </is>
      </c>
    </row>
    <row r="21">
      <c r="A21" s="2" t="inlineStr">
        <is>
          <t>距MA20上限</t>
        </is>
      </c>
      <c r="B21" s="2" t="n">
        <v>0.03</v>
      </c>
      <c r="C21" s="2" t="n">
        <v>0.05</v>
      </c>
      <c r="D21" s="6" t="n">
        <v>3</v>
      </c>
      <c r="E21" s="2" t="inlineStr">
        <is>
          <t>+0 / −0</t>
        </is>
      </c>
    </row>
    <row r="22">
      <c r="A22" s="2" t="inlineStr">
        <is>
          <t>觸及容差</t>
        </is>
      </c>
      <c r="B22" s="2" t="n">
        <v>0.015</v>
      </c>
      <c r="C22" s="2" t="n">
        <v>0</v>
      </c>
      <c r="D22" s="6" t="n">
        <v>3</v>
      </c>
      <c r="E22" s="2" t="inlineStr">
        <is>
          <t>+0 / −0</t>
        </is>
      </c>
    </row>
    <row r="23">
      <c r="A23" s="2" t="inlineStr">
        <is>
          <t>觸及容差</t>
        </is>
      </c>
      <c r="B23" s="2" t="n">
        <v>0.015</v>
      </c>
      <c r="C23" s="2" t="n">
        <v>0.03</v>
      </c>
      <c r="D23" s="6" t="n">
        <v>3</v>
      </c>
      <c r="E23" s="2" t="inlineStr">
        <is>
          <t>+0 / −0</t>
        </is>
      </c>
    </row>
    <row r="24">
      <c r="A24" s="2" t="inlineStr">
        <is>
          <t>ATR5/ATR20上限</t>
        </is>
      </c>
      <c r="B24" s="2" t="n">
        <v>0.9</v>
      </c>
      <c r="C24" s="2" t="n">
        <v>0.8</v>
      </c>
      <c r="D24" s="6" t="n">
        <v>3</v>
      </c>
      <c r="E24" s="2" t="inlineStr">
        <is>
          <t>+0 / −0</t>
        </is>
      </c>
    </row>
    <row r="25">
      <c r="A25" s="2" t="inlineStr">
        <is>
          <t>ATR5/ATR20上限</t>
        </is>
      </c>
      <c r="B25" s="2" t="n">
        <v>0.9</v>
      </c>
      <c r="C25" s="2" t="n">
        <v>1</v>
      </c>
      <c r="D25" s="6" t="n">
        <v>3</v>
      </c>
      <c r="E25" s="2" t="inlineStr">
        <is>
          <t>+0 / −0</t>
        </is>
      </c>
    </row>
    <row r="26">
      <c r="A26" s="2" t="inlineStr">
        <is>
          <t>ATR5/升浪ATR上限</t>
        </is>
      </c>
      <c r="B26" s="2" t="n">
        <v>0.7</v>
      </c>
      <c r="C26" s="2" t="n">
        <v>0.6</v>
      </c>
      <c r="D26" s="6" t="n">
        <v>2</v>
      </c>
      <c r="E26" s="2" t="inlineStr">
        <is>
          <t>+0 / −1</t>
        </is>
      </c>
      <c r="F26" s="7" t="inlineStr">
        <is>
          <t>BSVN</t>
        </is>
      </c>
    </row>
    <row r="27">
      <c r="A27" s="2" t="inlineStr">
        <is>
          <t>ATR5/升浪ATR上限</t>
        </is>
      </c>
      <c r="B27" s="2" t="n">
        <v>0.7</v>
      </c>
      <c r="C27" s="2" t="n">
        <v>0.85</v>
      </c>
      <c r="D27" s="6" t="n">
        <v>4</v>
      </c>
      <c r="E27" s="2" t="inlineStr">
        <is>
          <t>+1 / −0</t>
        </is>
      </c>
      <c r="F27" s="31" t="inlineStr">
        <is>
          <t>PURR</t>
        </is>
      </c>
    </row>
    <row r="28">
      <c r="A28" s="2" t="inlineStr">
        <is>
          <t>高位最遠日數</t>
        </is>
      </c>
      <c r="B28" s="2" t="n">
        <v>25</v>
      </c>
      <c r="C28" s="2" t="n">
        <v>20</v>
      </c>
      <c r="D28" s="6" t="n">
        <v>3</v>
      </c>
      <c r="E28" s="2" t="inlineStr">
        <is>
          <t>+0 / −0</t>
        </is>
      </c>
    </row>
    <row r="29">
      <c r="A29" s="2" t="inlineStr">
        <is>
          <t>高位最遠日數</t>
        </is>
      </c>
      <c r="B29" s="2" t="n">
        <v>25</v>
      </c>
      <c r="C29" s="2" t="n">
        <v>40</v>
      </c>
      <c r="D29" s="6" t="n">
        <v>3</v>
      </c>
      <c r="E29" s="2" t="inlineStr">
        <is>
          <t>+0 / −0</t>
        </is>
      </c>
    </row>
    <row r="30">
      <c r="A30" s="2" t="inlineStr">
        <is>
          <t>全部放寬一級</t>
        </is>
      </c>
      <c r="B30" s="2" t="inlineStr"/>
      <c r="C30" s="2" t="inlineStr"/>
      <c r="D30" s="6" t="n">
        <v>22</v>
      </c>
      <c r="E30" s="2" t="inlineStr">
        <is>
          <t>+19 / −0</t>
        </is>
      </c>
      <c r="F30" s="31" t="inlineStr">
        <is>
          <t>AMBA</t>
        </is>
      </c>
      <c r="G30" s="31" t="inlineStr">
        <is>
          <t>ASO</t>
        </is>
      </c>
      <c r="H30" s="31" t="inlineStr">
        <is>
          <t>ASST</t>
        </is>
      </c>
      <c r="I30" s="31" t="inlineStr">
        <is>
          <t>AVTR</t>
        </is>
      </c>
      <c r="J30" s="31" t="inlineStr">
        <is>
          <t>BBNX</t>
        </is>
      </c>
      <c r="K30" s="31" t="inlineStr">
        <is>
          <t>BVS</t>
        </is>
      </c>
      <c r="L30" s="31" t="inlineStr">
        <is>
          <t>CMRC</t>
        </is>
      </c>
      <c r="M30" s="31" t="inlineStr">
        <is>
          <t>CRSR</t>
        </is>
      </c>
      <c r="N30" s="31" t="inlineStr">
        <is>
          <t>FLXS</t>
        </is>
      </c>
      <c r="O30" s="31" t="inlineStr">
        <is>
          <t>GEMI</t>
        </is>
      </c>
      <c r="P30" s="31" t="inlineStr">
        <is>
          <t>HAE</t>
        </is>
      </c>
      <c r="Q30" s="31" t="inlineStr">
        <is>
          <t>KN</t>
        </is>
      </c>
      <c r="R30" s="31" t="inlineStr">
        <is>
          <t>OMER</t>
        </is>
      </c>
      <c r="S30" s="31" t="inlineStr">
        <is>
          <t>PKOH</t>
        </is>
      </c>
      <c r="T30" s="31" t="inlineStr">
        <is>
          <t>PLSE</t>
        </is>
      </c>
      <c r="U30" s="31" t="inlineStr">
        <is>
          <t>PURR</t>
        </is>
      </c>
      <c r="V30" s="31" t="inlineStr">
        <is>
          <t>RNG</t>
        </is>
      </c>
      <c r="W30" s="31" t="inlineStr">
        <is>
          <t>UMAC</t>
        </is>
      </c>
      <c r="X30" s="31" t="inlineStr">
        <is>
          <t>UTMD</t>
        </is>
      </c>
    </row>
    <row r="31">
      <c r="A31" s="2" t="inlineStr">
        <is>
          <t>全部收緊一級</t>
        </is>
      </c>
      <c r="B31" s="2" t="inlineStr"/>
      <c r="C31" s="2" t="inlineStr"/>
      <c r="D31" s="6" t="n">
        <v>0</v>
      </c>
      <c r="E31" s="2" t="inlineStr">
        <is>
          <t>+0 / −3</t>
        </is>
      </c>
      <c r="F31" s="7" t="inlineStr">
        <is>
          <t>BSVN</t>
        </is>
      </c>
      <c r="G31" s="7" t="inlineStr">
        <is>
          <t>CSR</t>
        </is>
      </c>
      <c r="H31" s="7" t="inlineStr">
        <is>
          <t>RLGT</t>
        </is>
      </c>
    </row>
    <row r="33">
      <c r="A33" s="29" t="inlineStr">
        <is>
          <t>黃底 = 放寬後新增；橙底 = 收緊後剔走</t>
        </is>
      </c>
    </row>
  </sheetData>
  <autoFilter ref="A3:F3"/>
  <hyperlinks>
    <hyperlink xmlns:r="http://schemas.openxmlformats.org/officeDocument/2006/relationships" ref="F5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G8" r:id="rId4"/>
    <hyperlink xmlns:r="http://schemas.openxmlformats.org/officeDocument/2006/relationships" ref="H8" r:id="rId5"/>
    <hyperlink xmlns:r="http://schemas.openxmlformats.org/officeDocument/2006/relationships" ref="F11" r:id="rId6"/>
    <hyperlink xmlns:r="http://schemas.openxmlformats.org/officeDocument/2006/relationships" ref="G11" r:id="rId7"/>
    <hyperlink xmlns:r="http://schemas.openxmlformats.org/officeDocument/2006/relationships" ref="F15" r:id="rId8"/>
    <hyperlink xmlns:r="http://schemas.openxmlformats.org/officeDocument/2006/relationships" ref="F18" r:id="rId9"/>
    <hyperlink xmlns:r="http://schemas.openxmlformats.org/officeDocument/2006/relationships" ref="F26" r:id="rId10"/>
    <hyperlink xmlns:r="http://schemas.openxmlformats.org/officeDocument/2006/relationships" ref="F27" r:id="rId11"/>
    <hyperlink xmlns:r="http://schemas.openxmlformats.org/officeDocument/2006/relationships" ref="F30" r:id="rId12"/>
    <hyperlink xmlns:r="http://schemas.openxmlformats.org/officeDocument/2006/relationships" ref="G30" r:id="rId13"/>
    <hyperlink xmlns:r="http://schemas.openxmlformats.org/officeDocument/2006/relationships" ref="H30" r:id="rId14"/>
    <hyperlink xmlns:r="http://schemas.openxmlformats.org/officeDocument/2006/relationships" ref="I30" r:id="rId15"/>
    <hyperlink xmlns:r="http://schemas.openxmlformats.org/officeDocument/2006/relationships" ref="J30" r:id="rId16"/>
    <hyperlink xmlns:r="http://schemas.openxmlformats.org/officeDocument/2006/relationships" ref="K30" r:id="rId17"/>
    <hyperlink xmlns:r="http://schemas.openxmlformats.org/officeDocument/2006/relationships" ref="L30" r:id="rId18"/>
    <hyperlink xmlns:r="http://schemas.openxmlformats.org/officeDocument/2006/relationships" ref="M30" r:id="rId19"/>
    <hyperlink xmlns:r="http://schemas.openxmlformats.org/officeDocument/2006/relationships" ref="N30" r:id="rId20"/>
    <hyperlink xmlns:r="http://schemas.openxmlformats.org/officeDocument/2006/relationships" ref="O30" r:id="rId21"/>
    <hyperlink xmlns:r="http://schemas.openxmlformats.org/officeDocument/2006/relationships" ref="P30" r:id="rId22"/>
    <hyperlink xmlns:r="http://schemas.openxmlformats.org/officeDocument/2006/relationships" ref="Q30" r:id="rId23"/>
    <hyperlink xmlns:r="http://schemas.openxmlformats.org/officeDocument/2006/relationships" ref="R30" r:id="rId24"/>
    <hyperlink xmlns:r="http://schemas.openxmlformats.org/officeDocument/2006/relationships" ref="S30" r:id="rId25"/>
    <hyperlink xmlns:r="http://schemas.openxmlformats.org/officeDocument/2006/relationships" ref="T30" r:id="rId26"/>
    <hyperlink xmlns:r="http://schemas.openxmlformats.org/officeDocument/2006/relationships" ref="U30" r:id="rId27"/>
    <hyperlink xmlns:r="http://schemas.openxmlformats.org/officeDocument/2006/relationships" ref="V30" r:id="rId28"/>
    <hyperlink xmlns:r="http://schemas.openxmlformats.org/officeDocument/2006/relationships" ref="W30" r:id="rId29"/>
    <hyperlink xmlns:r="http://schemas.openxmlformats.org/officeDocument/2006/relationships" ref="X30" r:id="rId30"/>
    <hyperlink xmlns:r="http://schemas.openxmlformats.org/officeDocument/2006/relationships" ref="F31" r:id="rId31"/>
    <hyperlink xmlns:r="http://schemas.openxmlformats.org/officeDocument/2006/relationships" ref="G31" r:id="rId32"/>
    <hyperlink xmlns:r="http://schemas.openxmlformats.org/officeDocument/2006/relationships" ref="H31" r:id="rId3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9" customWidth="1" min="4" max="4"/>
    <col width="9" customWidth="1" min="5" max="5"/>
    <col width="8" customWidth="1" min="6" max="6"/>
    <col width="80" customWidth="1" min="7" max="7"/>
  </cols>
  <sheetData>
    <row r="1">
      <c r="A1" s="1" t="inlineStr">
        <is>
          <t>五項條件只差一項嘅股票（基準門檻）</t>
        </is>
      </c>
    </row>
    <row r="3" ht="42" customHeight="1">
      <c r="A3" s="4" t="inlineStr">
        <is>
          <t>代號</t>
        </is>
      </c>
      <c r="B3" s="4" t="inlineStr">
        <is>
          <t>唔通過嘅一項</t>
        </is>
      </c>
      <c r="C3" s="4" t="inlineStr">
        <is>
          <t>收市價</t>
        </is>
      </c>
      <c r="D3" s="4" t="inlineStr">
        <is>
          <t>距MA20%</t>
        </is>
      </c>
      <c r="E3" s="4" t="inlineStr">
        <is>
          <t>距高位%</t>
        </is>
      </c>
      <c r="F3" s="4" t="inlineStr">
        <is>
          <t>高位至今</t>
        </is>
      </c>
      <c r="G3" s="4" t="inlineStr">
        <is>
          <t>說明</t>
        </is>
      </c>
    </row>
    <row r="4">
      <c r="A4" s="27" t="inlineStr">
        <is>
          <t>ASO</t>
        </is>
      </c>
      <c r="B4" s="2" t="inlineStr">
        <is>
          <t>C1b 熱錢</t>
        </is>
      </c>
      <c r="C4" s="10" t="n">
        <v>48.09</v>
      </c>
      <c r="D4" s="16" t="n">
        <v>-0.01746356861563325</v>
      </c>
      <c r="E4" s="15" t="n">
        <v>-0.13132225433526</v>
      </c>
      <c r="F4" s="12" t="n">
        <v>13</v>
      </c>
      <c r="G4" s="3" t="inlineStr">
        <is>
          <t>升浪成交額係之前 60 日嘅 1.57×（要 ≥2.0×）</t>
        </is>
      </c>
    </row>
    <row r="5">
      <c r="A5" s="27" t="inlineStr">
        <is>
          <t>CMRC</t>
        </is>
      </c>
      <c r="B5" s="2" t="inlineStr">
        <is>
          <t>C1b 熱錢</t>
        </is>
      </c>
      <c r="C5" s="10" t="n">
        <v>3.16</v>
      </c>
      <c r="D5" s="16" t="n">
        <v>0.01152368758002531</v>
      </c>
      <c r="E5" s="15" t="n">
        <v>-0.1318681318681318</v>
      </c>
      <c r="F5" s="12" t="n">
        <v>12</v>
      </c>
      <c r="G5" s="3" t="inlineStr">
        <is>
          <t>升浪成交額係之前 60 日嘅 1.73×（要 ≥2.0×）</t>
        </is>
      </c>
    </row>
    <row r="6">
      <c r="A6" s="27" t="inlineStr">
        <is>
          <t>DELL</t>
        </is>
      </c>
      <c r="B6" s="2" t="inlineStr">
        <is>
          <t>C1b 熱錢</t>
        </is>
      </c>
      <c r="C6" s="10" t="n">
        <v>537.95</v>
      </c>
      <c r="D6" s="16" t="n">
        <v>-0.009961121718925381</v>
      </c>
      <c r="E6" s="15" t="n">
        <v>-0.08574099252209366</v>
      </c>
      <c r="F6" s="12" t="n">
        <v>9</v>
      </c>
      <c r="G6" s="3" t="inlineStr">
        <is>
          <t>升浪成交額係之前 60 日嘅 1.18×（要 ≥2.0×）</t>
        </is>
      </c>
    </row>
    <row r="7">
      <c r="A7" s="27" t="inlineStr">
        <is>
          <t>GTLB</t>
        </is>
      </c>
      <c r="B7" s="2" t="inlineStr">
        <is>
          <t>C1b 熱錢</t>
        </is>
      </c>
      <c r="C7" s="10" t="n">
        <v>47.25</v>
      </c>
      <c r="D7" s="16" t="n">
        <v>-0.02211874272409786</v>
      </c>
      <c r="E7" s="15" t="n">
        <v>-0.06007559180425703</v>
      </c>
      <c r="F7" s="12" t="n">
        <v>9</v>
      </c>
      <c r="G7" s="3" t="inlineStr">
        <is>
          <t>升浪成交額係之前 60 日嘅 1.17×（要 ≥2.0×）</t>
        </is>
      </c>
    </row>
    <row r="8">
      <c r="A8" s="27" t="inlineStr">
        <is>
          <t>OMER</t>
        </is>
      </c>
      <c r="B8" s="2" t="inlineStr">
        <is>
          <t>C1b 熱錢</t>
        </is>
      </c>
      <c r="C8" s="10" t="n">
        <v>19.04</v>
      </c>
      <c r="D8" s="16" t="n">
        <v>0.005279831045407191</v>
      </c>
      <c r="E8" s="15" t="n">
        <v>-0.09548693586698342</v>
      </c>
      <c r="F8" s="12" t="n">
        <v>6</v>
      </c>
      <c r="G8" s="3" t="inlineStr">
        <is>
          <t>升浪成交額係之前 60 日嘅 1.54×（要 ≥2.0×）</t>
        </is>
      </c>
    </row>
    <row r="9">
      <c r="A9" s="27" t="inlineStr">
        <is>
          <t>ACVA</t>
        </is>
      </c>
      <c r="B9" s="2" t="inlineStr">
        <is>
          <t>C3 回落20MA</t>
        </is>
      </c>
      <c r="C9" s="10" t="n">
        <v>10.43</v>
      </c>
      <c r="D9" s="16" t="n">
        <v>0.1077478625670398</v>
      </c>
      <c r="E9" s="15" t="n">
        <v>-0.004770992366412319</v>
      </c>
      <c r="F9" s="12" t="n">
        <v>7</v>
      </c>
      <c r="G9" s="3" t="inlineStr">
        <is>
          <t>距高位 -0.5%；收市距 MA20 +10.8%；近 3 日最低價距 MA20 +10.8%</t>
        </is>
      </c>
    </row>
    <row r="10">
      <c r="A10" s="27" t="inlineStr">
        <is>
          <t>AIP</t>
        </is>
      </c>
      <c r="B10" s="2" t="inlineStr">
        <is>
          <t>C3 回落20MA</t>
        </is>
      </c>
      <c r="C10" s="10" t="n">
        <v>23.64</v>
      </c>
      <c r="D10" s="16" t="n">
        <v>0.04794201742137294</v>
      </c>
      <c r="E10" s="15" t="n">
        <v>-0.3453337025754638</v>
      </c>
      <c r="F10" s="12" t="n">
        <v>58</v>
      </c>
      <c r="G10" s="3" t="inlineStr">
        <is>
          <t>高位喺 58 日前；距高位 -34.5%；高位時只高過 MA20 -10.7%；收市距 MA20 +4.8%</t>
        </is>
      </c>
    </row>
    <row r="11">
      <c r="A11" s="27" t="inlineStr">
        <is>
          <t>ALAB</t>
        </is>
      </c>
      <c r="B11" s="2" t="inlineStr">
        <is>
          <t>C3 回落20MA</t>
        </is>
      </c>
      <c r="C11" s="10" t="n">
        <v>355.97</v>
      </c>
      <c r="D11" s="16" t="n">
        <v>0.1367450267205508</v>
      </c>
      <c r="E11" s="15" t="n">
        <v>-0.1774044460877201</v>
      </c>
      <c r="F11" s="12" t="n">
        <v>61</v>
      </c>
      <c r="G11" s="3" t="inlineStr">
        <is>
          <t>高位喺 61 日前；收市距 MA20 +13.7%；近 3 日最低價距 MA20 +9.7%</t>
        </is>
      </c>
    </row>
    <row r="12">
      <c r="A12" s="27" t="inlineStr">
        <is>
          <t>AMLX</t>
        </is>
      </c>
      <c r="B12" s="2" t="inlineStr">
        <is>
          <t>C3 回落20MA</t>
        </is>
      </c>
      <c r="C12" s="10" t="n">
        <v>29.1</v>
      </c>
      <c r="D12" s="16" t="n">
        <v>-0.09369087384083519</v>
      </c>
      <c r="E12" s="15" t="n">
        <v>-0.2662632375189107</v>
      </c>
      <c r="F12" s="12" t="n">
        <v>28</v>
      </c>
      <c r="G12" s="3" t="inlineStr">
        <is>
          <t>MA20 唔係向上；高位喺 28 日前；收市距 MA20 -9.4%</t>
        </is>
      </c>
    </row>
    <row r="13">
      <c r="A13" s="27" t="inlineStr">
        <is>
          <t>AMWL</t>
        </is>
      </c>
      <c r="B13" s="2" t="inlineStr">
        <is>
          <t>C3 回落20MA</t>
        </is>
      </c>
      <c r="C13" s="10" t="n">
        <v>13.58</v>
      </c>
      <c r="D13" s="16" t="n">
        <v>0.02239789196310893</v>
      </c>
      <c r="E13" s="15" t="n">
        <v>-0.02090843547224219</v>
      </c>
      <c r="F13" s="12" t="n">
        <v>12</v>
      </c>
      <c r="G13" s="3" t="inlineStr">
        <is>
          <t>距高位 -2.1%</t>
        </is>
      </c>
    </row>
    <row r="14">
      <c r="A14" s="27" t="inlineStr">
        <is>
          <t>ANIX</t>
        </is>
      </c>
      <c r="B14" s="2" t="inlineStr">
        <is>
          <t>C3 回落20MA</t>
        </is>
      </c>
      <c r="C14" s="10" t="n">
        <v>2.93</v>
      </c>
      <c r="D14" s="16" t="n">
        <v>0.03753541076487421</v>
      </c>
      <c r="E14" s="15" t="n">
        <v>-0.2186666666666667</v>
      </c>
      <c r="F14" s="12" t="n">
        <v>48</v>
      </c>
      <c r="G14" s="3" t="inlineStr">
        <is>
          <t>MA20 唔係向上；高位喺 48 日前；收市距 MA20 +3.8%</t>
        </is>
      </c>
    </row>
    <row r="15">
      <c r="A15" s="27" t="inlineStr">
        <is>
          <t>AOUT</t>
        </is>
      </c>
      <c r="B15" s="2" t="inlineStr">
        <is>
          <t>C3 回落20MA</t>
        </is>
      </c>
      <c r="C15" s="10" t="n">
        <v>16.2</v>
      </c>
      <c r="D15" s="16" t="n">
        <v>0.05187974806830575</v>
      </c>
      <c r="E15" s="15" t="n">
        <v>-0.07692307692307698</v>
      </c>
      <c r="F15" s="12" t="n">
        <v>3</v>
      </c>
      <c r="G15" s="3" t="inlineStr">
        <is>
          <t>收市距 MA20 +5.2%；近 3 日最低價距 MA20 +3.5%</t>
        </is>
      </c>
    </row>
    <row r="16">
      <c r="A16" s="27" t="inlineStr">
        <is>
          <t>BBCP</t>
        </is>
      </c>
      <c r="B16" s="2" t="inlineStr">
        <is>
          <t>C3 回落20MA</t>
        </is>
      </c>
      <c r="C16" s="10" t="n">
        <v>9.69</v>
      </c>
      <c r="D16" s="16" t="n">
        <v>-0.02168151644413163</v>
      </c>
      <c r="E16" s="15" t="n">
        <v>-0.1348214285714285</v>
      </c>
      <c r="F16" s="12" t="n">
        <v>61</v>
      </c>
      <c r="G16" s="3" t="inlineStr">
        <is>
          <t>高位喺 61 日前；高位時只高過 MA20 0.4%</t>
        </is>
      </c>
    </row>
    <row r="17">
      <c r="A17" s="27" t="inlineStr">
        <is>
          <t>BIAF</t>
        </is>
      </c>
      <c r="B17" s="2" t="inlineStr">
        <is>
          <t>C3 回落20MA</t>
        </is>
      </c>
      <c r="C17" s="10" t="n">
        <v>6.56</v>
      </c>
      <c r="D17" s="16" t="n">
        <v>-0.2424723577470549</v>
      </c>
      <c r="E17" s="15" t="n">
        <v>-0.5703994760969221</v>
      </c>
      <c r="F17" s="12" t="n">
        <v>17</v>
      </c>
      <c r="G17" s="3" t="inlineStr">
        <is>
          <t>距高位 -57.0%；收市距 MA20 -24.2%</t>
        </is>
      </c>
    </row>
    <row r="18">
      <c r="A18" s="27" t="inlineStr">
        <is>
          <t>BNC</t>
        </is>
      </c>
      <c r="B18" s="2" t="inlineStr">
        <is>
          <t>C3 回落20MA</t>
        </is>
      </c>
      <c r="C18" s="10" t="n">
        <v>5.89</v>
      </c>
      <c r="D18" s="16" t="n">
        <v>0.130518234165069</v>
      </c>
      <c r="E18" s="15" t="n">
        <v>-0.1035007610350077</v>
      </c>
      <c r="F18" s="12" t="n">
        <v>7</v>
      </c>
      <c r="G18" s="3" t="inlineStr">
        <is>
          <t>收市距 MA20 +13.1%；近 3 日最低價距 MA20 +11.9%</t>
        </is>
      </c>
    </row>
    <row r="19">
      <c r="A19" s="27" t="inlineStr">
        <is>
          <t>BRUN</t>
        </is>
      </c>
      <c r="B19" s="2" t="inlineStr">
        <is>
          <t>C3 回落20MA</t>
        </is>
      </c>
      <c r="C19" s="10" t="n">
        <v>16.5</v>
      </c>
      <c r="D19" s="16" t="n">
        <v>-0.0039239360096609</v>
      </c>
      <c r="E19" s="15" t="n">
        <v>-0.489322191272052</v>
      </c>
      <c r="F19" s="12" t="n">
        <v>61</v>
      </c>
      <c r="G19" s="3" t="inlineStr">
        <is>
          <t>MA20 唔係向上；高位喺 61 日前；距高位 -48.9%；高位時只高過 MA20 -3.2%</t>
        </is>
      </c>
    </row>
    <row r="20">
      <c r="A20" s="27" t="inlineStr">
        <is>
          <t>BWMN</t>
        </is>
      </c>
      <c r="B20" s="2" t="inlineStr">
        <is>
          <t>C3 回落20MA</t>
        </is>
      </c>
      <c r="C20" s="10" t="n">
        <v>42.64</v>
      </c>
      <c r="D20" s="16" t="n">
        <v>0.002704291593185859</v>
      </c>
      <c r="E20" s="15" t="n">
        <v>0</v>
      </c>
      <c r="F20" s="12" t="n">
        <v>0</v>
      </c>
      <c r="G20" s="3" t="inlineStr">
        <is>
          <t>高位喺 0 日前；距高位 +0.0%；高位時只高過 MA20 0.3%</t>
        </is>
      </c>
    </row>
    <row r="21">
      <c r="A21" s="27" t="inlineStr">
        <is>
          <t>CECO</t>
        </is>
      </c>
      <c r="B21" s="2" t="inlineStr">
        <is>
          <t>C3 回落20MA</t>
        </is>
      </c>
      <c r="C21" s="10" t="n">
        <v>69.64</v>
      </c>
      <c r="D21" s="16" t="n">
        <v>-0.04450252800702259</v>
      </c>
      <c r="E21" s="15" t="n">
        <v>-0.1740986717267552</v>
      </c>
      <c r="F21" s="12" t="n">
        <v>58</v>
      </c>
      <c r="G21" s="3" t="inlineStr">
        <is>
          <t>高位喺 58 日前；高位時只高過 MA20 -7.2%；收市距 MA20 -4.5%</t>
        </is>
      </c>
    </row>
    <row r="22">
      <c r="A22" s="27" t="inlineStr">
        <is>
          <t>CLFD</t>
        </is>
      </c>
      <c r="B22" s="2" t="inlineStr">
        <is>
          <t>C3 回落20MA</t>
        </is>
      </c>
      <c r="C22" s="10" t="n">
        <v>31.14</v>
      </c>
      <c r="D22" s="16" t="n">
        <v>0.04227332061452449</v>
      </c>
      <c r="E22" s="15" t="n">
        <v>-0.1092677345537757</v>
      </c>
      <c r="F22" s="12" t="n">
        <v>61</v>
      </c>
      <c r="G22" s="3" t="inlineStr">
        <is>
          <t>高位喺 61 日前；高位時只高過 MA20 -9.6%；收市距 MA20 +4.2%；近 3 日最低價距 MA20 +2.3%</t>
        </is>
      </c>
    </row>
    <row r="23">
      <c r="A23" s="27" t="inlineStr">
        <is>
          <t>CLOV</t>
        </is>
      </c>
      <c r="B23" s="2" t="inlineStr">
        <is>
          <t>C3 回落20MA</t>
        </is>
      </c>
      <c r="C23" s="10" t="n">
        <v>4.31</v>
      </c>
      <c r="D23" s="16" t="n">
        <v>-0.04259454656522443</v>
      </c>
      <c r="E23" s="15" t="n">
        <v>-0.1806083650190115</v>
      </c>
      <c r="F23" s="12" t="n">
        <v>62</v>
      </c>
      <c r="G23" s="3" t="inlineStr">
        <is>
          <t>高位喺 62 日前；收市距 MA20 -4.3%</t>
        </is>
      </c>
    </row>
    <row r="24">
      <c r="A24" s="27" t="inlineStr">
        <is>
          <t>CRSR</t>
        </is>
      </c>
      <c r="B24" s="2" t="inlineStr">
        <is>
          <t>C3 回落20MA</t>
        </is>
      </c>
      <c r="C24" s="10" t="n">
        <v>13.5</v>
      </c>
      <c r="D24" s="16" t="n">
        <v>0.02653790586267313</v>
      </c>
      <c r="E24" s="15" t="n">
        <v>-0.05923344947735187</v>
      </c>
      <c r="F24" s="12" t="n">
        <v>37</v>
      </c>
      <c r="G24" s="3" t="inlineStr">
        <is>
          <t>高位喺 37 日前；近 3 日最低價距 MA20 +1.7%</t>
        </is>
      </c>
    </row>
    <row r="25">
      <c r="A25" s="27" t="inlineStr">
        <is>
          <t>DAIC</t>
        </is>
      </c>
      <c r="B25" s="2" t="inlineStr">
        <is>
          <t>C3 回落20MA</t>
        </is>
      </c>
      <c r="C25" s="10" t="n">
        <v>2.68</v>
      </c>
      <c r="D25" s="16" t="n">
        <v>-0.131983805668029</v>
      </c>
      <c r="E25" s="15" t="n">
        <v>-0.5347222222222221</v>
      </c>
      <c r="F25" s="12" t="n">
        <v>23</v>
      </c>
      <c r="G25" s="3" t="inlineStr">
        <is>
          <t>MA20 唔係向上；距高位 -53.5%；收市距 MA20 -13.2%</t>
        </is>
      </c>
    </row>
    <row r="26">
      <c r="A26" s="27" t="inlineStr">
        <is>
          <t>DTIL</t>
        </is>
      </c>
      <c r="B26" s="2" t="inlineStr">
        <is>
          <t>C3 回落20MA</t>
        </is>
      </c>
      <c r="C26" s="10" t="n">
        <v>6.26</v>
      </c>
      <c r="D26" s="16" t="n">
        <v>-0.07988535312706813</v>
      </c>
      <c r="E26" s="15" t="n">
        <v>-0.3254310344827586</v>
      </c>
      <c r="F26" s="12" t="n">
        <v>59</v>
      </c>
      <c r="G26" s="3" t="inlineStr">
        <is>
          <t>MA20 唔係向上；高位喺 59 日前；距高位 -32.5%；收市距 MA20 -8.0%</t>
        </is>
      </c>
    </row>
    <row r="27">
      <c r="A27" s="27" t="inlineStr">
        <is>
          <t>FCEL</t>
        </is>
      </c>
      <c r="B27" s="2" t="inlineStr">
        <is>
          <t>C3 回落20MA</t>
        </is>
      </c>
      <c r="C27" s="10" t="n">
        <v>16.42</v>
      </c>
      <c r="D27" s="16" t="n">
        <v>0.004219925386825363</v>
      </c>
      <c r="E27" s="15" t="n">
        <v>-0.4476959300369996</v>
      </c>
      <c r="F27" s="12" t="n">
        <v>61</v>
      </c>
      <c r="G27" s="3" t="inlineStr">
        <is>
          <t>MA20 唔係向上；高位喺 61 日前；距高位 -44.8%</t>
        </is>
      </c>
    </row>
    <row r="28">
      <c r="A28" s="27" t="inlineStr">
        <is>
          <t>FEIM</t>
        </is>
      </c>
      <c r="B28" s="2" t="inlineStr">
        <is>
          <t>C3 回落20MA</t>
        </is>
      </c>
      <c r="C28" s="10" t="n">
        <v>84.53</v>
      </c>
      <c r="D28" s="16" t="n">
        <v>0.07963471486046525</v>
      </c>
      <c r="E28" s="15" t="n">
        <v>-0.05022471910112358</v>
      </c>
      <c r="F28" s="12" t="n">
        <v>7</v>
      </c>
      <c r="G28" s="3" t="inlineStr">
        <is>
          <t>收市距 MA20 +8.0%；近 3 日最低價距 MA20 +6.6%</t>
        </is>
      </c>
    </row>
    <row r="29">
      <c r="A29" s="27" t="inlineStr">
        <is>
          <t>FRD</t>
        </is>
      </c>
      <c r="B29" s="2" t="inlineStr">
        <is>
          <t>C3 回落20MA</t>
        </is>
      </c>
      <c r="C29" s="10" t="n">
        <v>38.2</v>
      </c>
      <c r="D29" s="16" t="n">
        <v>-0.0839987530873082</v>
      </c>
      <c r="E29" s="15" t="n">
        <v>-0.2054908485856904</v>
      </c>
      <c r="F29" s="12" t="n">
        <v>31</v>
      </c>
      <c r="G29" s="3" t="inlineStr">
        <is>
          <t>MA20 唔係向上；高位喺 31 日前；收市距 MA20 -8.4%</t>
        </is>
      </c>
    </row>
    <row r="30">
      <c r="A30" s="27" t="inlineStr">
        <is>
          <t>GALT</t>
        </is>
      </c>
      <c r="B30" s="2" t="inlineStr">
        <is>
          <t>C3 回落20MA</t>
        </is>
      </c>
      <c r="C30" s="10" t="n">
        <v>3.88</v>
      </c>
      <c r="D30" s="16" t="n">
        <v>-0.03024243939015081</v>
      </c>
      <c r="E30" s="15" t="n">
        <v>-0.2734082397003745</v>
      </c>
      <c r="F30" s="12" t="n">
        <v>55</v>
      </c>
      <c r="G30" s="3" t="inlineStr">
        <is>
          <t>MA20 唔係向上；高位喺 55 日前；收市距 MA20 -3.0%</t>
        </is>
      </c>
    </row>
    <row r="31">
      <c r="A31" s="27" t="inlineStr">
        <is>
          <t>GCTS</t>
        </is>
      </c>
      <c r="B31" s="2" t="inlineStr">
        <is>
          <t>C3 回落20MA</t>
        </is>
      </c>
      <c r="C31" s="10" t="n">
        <v>2.12</v>
      </c>
      <c r="D31" s="16" t="n">
        <v>0.06239037835128669</v>
      </c>
      <c r="E31" s="15" t="n">
        <v>-0.1908396946564885</v>
      </c>
      <c r="F31" s="12" t="n">
        <v>62</v>
      </c>
      <c r="G31" s="3" t="inlineStr">
        <is>
          <t>高位喺 62 日前；高位時只高過 MA20 -2.5%；收市距 MA20 +6.2%；近 3 日最低價距 MA20 +3.7%</t>
        </is>
      </c>
    </row>
    <row r="32">
      <c r="A32" s="27" t="inlineStr">
        <is>
          <t>GEMI</t>
        </is>
      </c>
      <c r="B32" s="2" t="inlineStr">
        <is>
          <t>C3 回落20MA</t>
        </is>
      </c>
      <c r="C32" s="10" t="n">
        <v>5.16</v>
      </c>
      <c r="D32" s="16" t="n">
        <v>0.03422358069851494</v>
      </c>
      <c r="E32" s="15" t="n">
        <v>-0.1385642737896494</v>
      </c>
      <c r="F32" s="12" t="n">
        <v>7</v>
      </c>
      <c r="G32" s="3" t="inlineStr">
        <is>
          <t>收市距 MA20 +3.4%；近 3 日最低價距 MA20 +2.6%</t>
        </is>
      </c>
    </row>
    <row r="33">
      <c r="A33" s="27" t="inlineStr">
        <is>
          <t>GOSS</t>
        </is>
      </c>
      <c r="B33" s="2" t="inlineStr">
        <is>
          <t>C3 回落20MA</t>
        </is>
      </c>
      <c r="C33" s="10" t="n">
        <v>11.85</v>
      </c>
      <c r="D33" s="16" t="n">
        <v>0.00126742712293737</v>
      </c>
      <c r="E33" s="15" t="n">
        <v>-0.2844202898550724</v>
      </c>
      <c r="F33" s="12" t="n">
        <v>44</v>
      </c>
      <c r="G33" s="3" t="inlineStr">
        <is>
          <t>MA20 唔係向上；高位喺 44 日前</t>
        </is>
      </c>
    </row>
    <row r="34">
      <c r="A34" s="27" t="inlineStr">
        <is>
          <t>GRML</t>
        </is>
      </c>
      <c r="B34" s="2" t="inlineStr">
        <is>
          <t>C3 回落20MA</t>
        </is>
      </c>
      <c r="C34" s="10" t="n">
        <v>10.62</v>
      </c>
      <c r="D34" s="16" t="n">
        <v>0.4960907233922824</v>
      </c>
      <c r="E34" s="15" t="n">
        <v>-0.2867696440564138</v>
      </c>
      <c r="F34" s="12" t="n">
        <v>4</v>
      </c>
      <c r="G34" s="3" t="inlineStr">
        <is>
          <t>收市距 MA20 +49.6%；近 3 日最低價距 MA20 +41.2%</t>
        </is>
      </c>
    </row>
    <row r="35">
      <c r="A35" s="27" t="inlineStr">
        <is>
          <t>HLIT</t>
        </is>
      </c>
      <c r="B35" s="2" t="inlineStr">
        <is>
          <t>C3 回落20MA</t>
        </is>
      </c>
      <c r="C35" s="10" t="n">
        <v>10.56</v>
      </c>
      <c r="D35" s="16" t="n">
        <v>-0.06523855890944519</v>
      </c>
      <c r="E35" s="15" t="n">
        <v>-0.2531824611032532</v>
      </c>
      <c r="F35" s="12" t="n">
        <v>58</v>
      </c>
      <c r="G35" s="3" t="inlineStr">
        <is>
          <t>MA20 唔係向上；高位喺 58 日前；高位時只高過 MA20 -3.8%；收市距 MA20 -6.5%</t>
        </is>
      </c>
    </row>
    <row r="36">
      <c r="A36" s="27" t="inlineStr">
        <is>
          <t>HZO</t>
        </is>
      </c>
      <c r="B36" s="2" t="inlineStr">
        <is>
          <t>C3 回落20MA</t>
        </is>
      </c>
      <c r="C36" s="10" t="n">
        <v>52.3</v>
      </c>
      <c r="D36" s="16" t="n">
        <v>-0.0001051514659059505</v>
      </c>
      <c r="E36" s="15" t="n">
        <v>-0.004946727549467345</v>
      </c>
      <c r="F36" s="12" t="n">
        <v>8</v>
      </c>
      <c r="G36" s="3" t="inlineStr">
        <is>
          <t>距高位 -0.5%；高位時只高過 MA20 0.7%</t>
        </is>
      </c>
    </row>
    <row r="37">
      <c r="A37" s="27" t="inlineStr">
        <is>
          <t>ITGR</t>
        </is>
      </c>
      <c r="B37" s="2" t="inlineStr">
        <is>
          <t>C3 回落20MA</t>
        </is>
      </c>
      <c r="C37" s="10" t="n">
        <v>126.35</v>
      </c>
      <c r="D37" s="16" t="n">
        <v>0.001553656641879897</v>
      </c>
      <c r="E37" s="15" t="n">
        <v>-0.001185770750988135</v>
      </c>
      <c r="F37" s="12" t="n">
        <v>17</v>
      </c>
      <c r="G37" s="3" t="inlineStr">
        <is>
          <t>距高位 -0.1%；高位時只高過 MA20 1.0%</t>
        </is>
      </c>
    </row>
    <row r="38">
      <c r="A38" s="27" t="inlineStr">
        <is>
          <t>KRT</t>
        </is>
      </c>
      <c r="B38" s="2" t="inlineStr">
        <is>
          <t>C3 回落20MA</t>
        </is>
      </c>
      <c r="C38" s="10" t="n">
        <v>52.55</v>
      </c>
      <c r="D38" s="16" t="n">
        <v>0.04911159912158092</v>
      </c>
      <c r="E38" s="15" t="n">
        <v>-0.02972673559822747</v>
      </c>
      <c r="F38" s="12" t="n">
        <v>4</v>
      </c>
      <c r="G38" s="3" t="inlineStr">
        <is>
          <t>距高位 -3.0%；收市距 MA20 +4.9%；近 3 日最低價距 MA20 +4.1%</t>
        </is>
      </c>
    </row>
    <row r="39">
      <c r="A39" s="27" t="inlineStr">
        <is>
          <t>LBRX</t>
        </is>
      </c>
      <c r="B39" s="2" t="inlineStr">
        <is>
          <t>C3 回落20MA</t>
        </is>
      </c>
      <c r="C39" s="10" t="n">
        <v>38.38</v>
      </c>
      <c r="D39" s="16" t="n">
        <v>-0.1104312253010236</v>
      </c>
      <c r="E39" s="15" t="n">
        <v>-0.2243330638641875</v>
      </c>
      <c r="F39" s="12" t="n">
        <v>19</v>
      </c>
      <c r="G39" s="3" t="inlineStr">
        <is>
          <t>MA20 唔係向上；高位時只高過 MA20 4.4%；收市距 MA20 -11.0%</t>
        </is>
      </c>
    </row>
    <row r="40">
      <c r="A40" s="27" t="inlineStr">
        <is>
          <t>MRVI</t>
        </is>
      </c>
      <c r="B40" s="2" t="inlineStr">
        <is>
          <t>C3 回落20MA</t>
        </is>
      </c>
      <c r="C40" s="10" t="n">
        <v>7.66</v>
      </c>
      <c r="D40" s="16" t="n">
        <v>0.06164027580471698</v>
      </c>
      <c r="E40" s="15" t="n">
        <v>-0.1488888888888888</v>
      </c>
      <c r="F40" s="12" t="n">
        <v>25</v>
      </c>
      <c r="G40" s="3" t="inlineStr">
        <is>
          <t>MA20 唔係向上；收市距 MA20 +6.2%；近 3 日最低價距 MA20 +2.8%</t>
        </is>
      </c>
    </row>
    <row r="41">
      <c r="A41" s="27" t="inlineStr">
        <is>
          <t>NRIX</t>
        </is>
      </c>
      <c r="B41" s="2" t="inlineStr">
        <is>
          <t>C3 回落20MA</t>
        </is>
      </c>
      <c r="C41" s="10" t="n">
        <v>23.71</v>
      </c>
      <c r="D41" s="16" t="n">
        <v>-0.05102112288496097</v>
      </c>
      <c r="E41" s="15" t="n">
        <v>-0.1468154012234616</v>
      </c>
      <c r="F41" s="12" t="n">
        <v>29</v>
      </c>
      <c r="G41" s="3" t="inlineStr">
        <is>
          <t>MA20 唔係向上；高位喺 29 日前；收市距 MA20 -5.1%</t>
        </is>
      </c>
    </row>
    <row r="42">
      <c r="A42" s="27" t="inlineStr">
        <is>
          <t>NUCL</t>
        </is>
      </c>
      <c r="B42" s="2" t="inlineStr">
        <is>
          <t>C3 回落20MA</t>
        </is>
      </c>
      <c r="C42" s="10" t="n">
        <v>6.36</v>
      </c>
      <c r="D42" s="16" t="n">
        <v>-0.002274688210841869</v>
      </c>
      <c r="E42" s="15" t="n">
        <v>-0.2821670428893904</v>
      </c>
      <c r="F42" s="12" t="n">
        <v>62</v>
      </c>
      <c r="G42" s="3" t="inlineStr">
        <is>
          <t>MA20 唔係向上；高位喺 62 日前；高位時只高過 MA20 -9.8%</t>
        </is>
      </c>
    </row>
    <row r="43">
      <c r="A43" s="27" t="inlineStr">
        <is>
          <t>NVEC</t>
        </is>
      </c>
      <c r="B43" s="2" t="inlineStr">
        <is>
          <t>C3 回落20MA</t>
        </is>
      </c>
      <c r="C43" s="10" t="n">
        <v>110.08</v>
      </c>
      <c r="D43" s="16" t="n">
        <v>0.07002085024276372</v>
      </c>
      <c r="E43" s="15" t="n">
        <v>-0.179792861932792</v>
      </c>
      <c r="F43" s="12" t="n">
        <v>48</v>
      </c>
      <c r="G43" s="3" t="inlineStr">
        <is>
          <t>高位喺 48 日前；收市距 MA20 +7.0%；近 3 日最低價距 MA20 +4.9%</t>
        </is>
      </c>
    </row>
    <row r="44">
      <c r="A44" s="27" t="inlineStr">
        <is>
          <t>OABI</t>
        </is>
      </c>
      <c r="B44" s="2" t="inlineStr">
        <is>
          <t>C3 回落20MA</t>
        </is>
      </c>
      <c r="C44" s="10" t="n">
        <v>4.96</v>
      </c>
      <c r="D44" s="16" t="n">
        <v>0.09474148871599564</v>
      </c>
      <c r="E44" s="15" t="n">
        <v>-0.01587301587301593</v>
      </c>
      <c r="F44" s="12" t="n">
        <v>19</v>
      </c>
      <c r="G44" s="3" t="inlineStr">
        <is>
          <t>距高位 -1.6%；收市距 MA20 +9.5%</t>
        </is>
      </c>
    </row>
    <row r="45">
      <c r="A45" s="27" t="inlineStr">
        <is>
          <t>OCC</t>
        </is>
      </c>
      <c r="B45" s="2" t="inlineStr">
        <is>
          <t>C3 回落20MA</t>
        </is>
      </c>
      <c r="C45" s="10" t="n">
        <v>16.57</v>
      </c>
      <c r="D45" s="16" t="n">
        <v>0.1637053163845767</v>
      </c>
      <c r="E45" s="15" t="n">
        <v>-0.06910112359550569</v>
      </c>
      <c r="F45" s="12" t="n">
        <v>32</v>
      </c>
      <c r="G45" s="3" t="inlineStr">
        <is>
          <t>高位喺 32 日前；收市距 MA20 +16.4%</t>
        </is>
      </c>
    </row>
    <row r="46">
      <c r="A46" s="27" t="inlineStr">
        <is>
          <t>OESX</t>
        </is>
      </c>
      <c r="B46" s="2" t="inlineStr">
        <is>
          <t>C3 回落20MA</t>
        </is>
      </c>
      <c r="C46" s="10" t="n">
        <v>30.5</v>
      </c>
      <c r="D46" s="16" t="n">
        <v>0.09947549611578843</v>
      </c>
      <c r="E46" s="15" t="n">
        <v>-0.00294213795357956</v>
      </c>
      <c r="F46" s="12" t="n">
        <v>3</v>
      </c>
      <c r="G46" s="3" t="inlineStr">
        <is>
          <t>距高位 -0.3%；收市距 MA20 +9.9%；近 3 日最低價距 MA20 +6.9%</t>
        </is>
      </c>
    </row>
    <row r="47">
      <c r="A47" s="27" t="inlineStr">
        <is>
          <t>PAY</t>
        </is>
      </c>
      <c r="B47" s="2" t="inlineStr">
        <is>
          <t>C3 回落20MA</t>
        </is>
      </c>
      <c r="C47" s="10" t="n">
        <v>30.64</v>
      </c>
      <c r="D47" s="16" t="n">
        <v>-0.1016111770828748</v>
      </c>
      <c r="E47" s="15" t="n">
        <v>-0.3130044843049328</v>
      </c>
      <c r="F47" s="12" t="n">
        <v>40</v>
      </c>
      <c r="G47" s="3" t="inlineStr">
        <is>
          <t>MA20 唔係向上；高位喺 40 日前；距高位 -31.3%；收市距 MA20 -10.2%</t>
        </is>
      </c>
    </row>
    <row r="48">
      <c r="A48" s="27" t="inlineStr">
        <is>
          <t>PDFS</t>
        </is>
      </c>
      <c r="B48" s="2" t="inlineStr">
        <is>
          <t>C3 回落20MA</t>
        </is>
      </c>
      <c r="C48" s="10" t="n">
        <v>51.05</v>
      </c>
      <c r="D48" s="16" t="n">
        <v>0.1015568526330608</v>
      </c>
      <c r="E48" s="15" t="n">
        <v>-0.1373774923960798</v>
      </c>
      <c r="F48" s="12" t="n">
        <v>62</v>
      </c>
      <c r="G48" s="3" t="inlineStr">
        <is>
          <t>高位喺 62 日前；高位時只高過 MA20 -4.9%；收市距 MA20 +10.2%；近 3 日最低價距 MA20 +5.3%</t>
        </is>
      </c>
    </row>
    <row r="49">
      <c r="A49" s="27" t="inlineStr">
        <is>
          <t>PESI</t>
        </is>
      </c>
      <c r="B49" s="2" t="inlineStr">
        <is>
          <t>C3 回落20MA</t>
        </is>
      </c>
      <c r="C49" s="10" t="n">
        <v>15.65</v>
      </c>
      <c r="D49" s="16" t="n">
        <v>-0.09909909909909986</v>
      </c>
      <c r="E49" s="15" t="n">
        <v>-0.1945445187853834</v>
      </c>
      <c r="F49" s="12" t="n">
        <v>34</v>
      </c>
      <c r="G49" s="3" t="inlineStr">
        <is>
          <t>MA20 唔係向上；高位喺 34 日前；收市距 MA20 -9.9%</t>
        </is>
      </c>
    </row>
    <row r="50">
      <c r="A50" s="27" t="inlineStr">
        <is>
          <t>PRPO</t>
        </is>
      </c>
      <c r="B50" s="2" t="inlineStr">
        <is>
          <t>C3 回落20MA</t>
        </is>
      </c>
      <c r="C50" s="10" t="n">
        <v>23.68</v>
      </c>
      <c r="D50" s="16" t="n">
        <v>-0.08648142968742212</v>
      </c>
      <c r="E50" s="15" t="n">
        <v>-0.2390745501285347</v>
      </c>
      <c r="F50" s="12" t="n">
        <v>26</v>
      </c>
      <c r="G50" s="3" t="inlineStr">
        <is>
          <t>MA20 唔係向上；高位喺 26 日前；收市距 MA20 -8.6%</t>
        </is>
      </c>
    </row>
    <row r="51">
      <c r="A51" s="27" t="inlineStr">
        <is>
          <t>PRTH</t>
        </is>
      </c>
      <c r="B51" s="2" t="inlineStr">
        <is>
          <t>C3 回落20MA</t>
        </is>
      </c>
      <c r="C51" s="10" t="n">
        <v>7.8</v>
      </c>
      <c r="D51" s="16" t="n">
        <v>0.1908851482881015</v>
      </c>
      <c r="E51" s="15" t="n">
        <v>0</v>
      </c>
      <c r="F51" s="12" t="n">
        <v>0</v>
      </c>
      <c r="G51" s="3" t="inlineStr">
        <is>
          <t>高位喺 0 日前；距高位 +0.0%；收市距 MA20 +19.1%；近 3 日最低價距 MA20 +18.8%</t>
        </is>
      </c>
    </row>
    <row r="52">
      <c r="A52" s="27" t="inlineStr">
        <is>
          <t>RGR</t>
        </is>
      </c>
      <c r="B52" s="2" t="inlineStr">
        <is>
          <t>C3 回落20MA</t>
        </is>
      </c>
      <c r="C52" s="10" t="n">
        <v>42.48</v>
      </c>
      <c r="D52" s="16" t="n">
        <v>0.06865236094689853</v>
      </c>
      <c r="E52" s="15" t="n">
        <v>-0.007708479327260154</v>
      </c>
      <c r="F52" s="12" t="n">
        <v>3</v>
      </c>
      <c r="G52" s="3" t="inlineStr">
        <is>
          <t>距高位 -0.8%；收市距 MA20 +6.9%；近 3 日最低價距 MA20 +6.1%</t>
        </is>
      </c>
    </row>
    <row r="53">
      <c r="A53" s="27" t="inlineStr">
        <is>
          <t>ROKU</t>
        </is>
      </c>
      <c r="B53" s="2" t="inlineStr">
        <is>
          <t>C3 回落20MA</t>
        </is>
      </c>
      <c r="C53" s="10" t="n">
        <v>152.28</v>
      </c>
      <c r="D53" s="16" t="n">
        <v>-0.01467824016409247</v>
      </c>
      <c r="E53" s="15" t="n">
        <v>-0.04682023034551819</v>
      </c>
      <c r="F53" s="12" t="n">
        <v>25</v>
      </c>
      <c r="G53" s="3" t="inlineStr">
        <is>
          <t>MA20 唔係向上；高位時只高過 MA20 4.7%</t>
        </is>
      </c>
    </row>
    <row r="54">
      <c r="A54" s="27" t="inlineStr">
        <is>
          <t>RXT</t>
        </is>
      </c>
      <c r="B54" s="2" t="inlineStr">
        <is>
          <t>C3 回落20MA</t>
        </is>
      </c>
      <c r="C54" s="10" t="n">
        <v>3.725</v>
      </c>
      <c r="D54" s="16" t="n">
        <v>0.03207037473159158</v>
      </c>
      <c r="E54" s="15" t="n">
        <v>-0.4489644970414201</v>
      </c>
      <c r="F54" s="12" t="n">
        <v>60</v>
      </c>
      <c r="G54" s="3" t="inlineStr">
        <is>
          <t>高位喺 60 日前；距高位 -44.9%；收市距 MA20 +3.2%；近 3 日最低價距 MA20 +3.1%</t>
        </is>
      </c>
    </row>
    <row r="55">
      <c r="A55" s="27" t="inlineStr">
        <is>
          <t>SAFT</t>
        </is>
      </c>
      <c r="B55" s="2" t="inlineStr">
        <is>
          <t>C3 回落20MA</t>
        </is>
      </c>
      <c r="C55" s="10" t="n">
        <v>103.58</v>
      </c>
      <c r="D55" s="16" t="n">
        <v>0.001324400877784848</v>
      </c>
      <c r="E55" s="15" t="n">
        <v>-0.002023316311783541</v>
      </c>
      <c r="F55" s="12" t="n">
        <v>23</v>
      </c>
      <c r="G55" s="3" t="inlineStr">
        <is>
          <t>MA20 唔係向上；距高位 -0.2%；高位時只高過 MA20 0.3%</t>
        </is>
      </c>
    </row>
    <row r="56">
      <c r="A56" s="27" t="inlineStr">
        <is>
          <t>SHAZ</t>
        </is>
      </c>
      <c r="B56" s="2" t="inlineStr">
        <is>
          <t>C3 回落20MA</t>
        </is>
      </c>
      <c r="C56" s="10" t="n">
        <v>54.6</v>
      </c>
      <c r="D56" s="16" t="n">
        <v>-0.02289748476632691</v>
      </c>
      <c r="E56" s="15" t="n">
        <v>-0.3175</v>
      </c>
      <c r="F56" s="12" t="n">
        <v>58</v>
      </c>
      <c r="G56" s="3" t="inlineStr">
        <is>
          <t>MA20 唔係向上；高位喺 58 日前；距高位 -31.8%；高位時只高過 MA20 2.3%</t>
        </is>
      </c>
    </row>
    <row r="57">
      <c r="A57" s="27" t="inlineStr">
        <is>
          <t>SMTI</t>
        </is>
      </c>
      <c r="B57" s="2" t="inlineStr">
        <is>
          <t>C3 回落20MA</t>
        </is>
      </c>
      <c r="C57" s="10" t="n">
        <v>35.14</v>
      </c>
      <c r="D57" s="16" t="n">
        <v>0.003125847475771604</v>
      </c>
      <c r="E57" s="15" t="n">
        <v>-0.003968253968253954</v>
      </c>
      <c r="F57" s="12" t="n">
        <v>6</v>
      </c>
      <c r="G57" s="3" t="inlineStr">
        <is>
          <t>距高位 -0.4%；高位時只高過 MA20 1.1%</t>
        </is>
      </c>
    </row>
    <row r="58">
      <c r="A58" s="27" t="inlineStr">
        <is>
          <t>SWBI</t>
        </is>
      </c>
      <c r="B58" s="2" t="inlineStr">
        <is>
          <t>C3 回落20MA</t>
        </is>
      </c>
      <c r="C58" s="10" t="n">
        <v>14.06</v>
      </c>
      <c r="D58" s="16" t="n">
        <v>0.04271729457134454</v>
      </c>
      <c r="E58" s="15" t="n">
        <v>-0.1021711366538952</v>
      </c>
      <c r="F58" s="12" t="n">
        <v>56</v>
      </c>
      <c r="G58" s="3" t="inlineStr">
        <is>
          <t>高位喺 56 日前；高位時只高過 MA20 2.3%；收市距 MA20 +4.3%；近 3 日最低價距 MA20 +3.2%</t>
        </is>
      </c>
    </row>
    <row r="59">
      <c r="A59" s="27" t="inlineStr">
        <is>
          <t>TLYS</t>
        </is>
      </c>
      <c r="B59" s="2" t="inlineStr">
        <is>
          <t>C3 回落20MA</t>
        </is>
      </c>
      <c r="C59" s="10" t="n">
        <v>4.63</v>
      </c>
      <c r="D59" s="16" t="n">
        <v>0.06375646180356598</v>
      </c>
      <c r="E59" s="15" t="n">
        <v>-0.05894308943089432</v>
      </c>
      <c r="F59" s="12" t="n">
        <v>12</v>
      </c>
      <c r="G59" s="3" t="inlineStr">
        <is>
          <t>收市距 MA20 +6.4%</t>
        </is>
      </c>
    </row>
    <row r="60">
      <c r="A60" s="27" t="inlineStr">
        <is>
          <t>TNON</t>
        </is>
      </c>
      <c r="B60" s="2" t="inlineStr">
        <is>
          <t>C3 回落20MA</t>
        </is>
      </c>
      <c r="C60" s="10" t="n">
        <v>4.09</v>
      </c>
      <c r="D60" s="16" t="n">
        <v>0.04871794871793633</v>
      </c>
      <c r="E60" s="15" t="n">
        <v>-0.6415425065731815</v>
      </c>
      <c r="F60" s="12" t="n">
        <v>29</v>
      </c>
      <c r="G60" s="3" t="inlineStr">
        <is>
          <t>MA20 唔係向上；高位喺 29 日前；距高位 -64.2%；收市距 MA20 +4.9%</t>
        </is>
      </c>
    </row>
    <row r="61">
      <c r="A61" s="27" t="inlineStr">
        <is>
          <t>UTMD</t>
        </is>
      </c>
      <c r="B61" s="2" t="inlineStr">
        <is>
          <t>C3 回落20MA</t>
        </is>
      </c>
      <c r="C61" s="10" t="n">
        <v>74.05</v>
      </c>
      <c r="D61" s="16" t="n">
        <v>0.01594226758863138</v>
      </c>
      <c r="E61" s="15" t="n">
        <v>-0.03404643882076697</v>
      </c>
      <c r="F61" s="12" t="n">
        <v>6</v>
      </c>
      <c r="G61" s="3" t="inlineStr">
        <is>
          <t>高位時只高過 MA20 6.5%；近 3 日最低價距 MA20 +1.6%</t>
        </is>
      </c>
    </row>
    <row r="62">
      <c r="A62" s="27" t="inlineStr">
        <is>
          <t>VNCE</t>
        </is>
      </c>
      <c r="B62" s="2" t="inlineStr">
        <is>
          <t>C3 回落20MA</t>
        </is>
      </c>
      <c r="C62" s="10" t="n">
        <v>10.07</v>
      </c>
      <c r="D62" s="16" t="n">
        <v>0.1753034547152179</v>
      </c>
      <c r="E62" s="15" t="n">
        <v>-0.1243478260869565</v>
      </c>
      <c r="F62" s="12" t="n">
        <v>3</v>
      </c>
      <c r="G62" s="3" t="inlineStr">
        <is>
          <t>收市距 MA20 +17.5%；近 3 日最低價距 MA20 +12.2%</t>
        </is>
      </c>
    </row>
    <row r="63">
      <c r="A63" s="27" t="inlineStr">
        <is>
          <t>VREX</t>
        </is>
      </c>
      <c r="B63" s="2" t="inlineStr">
        <is>
          <t>C3 回落20MA</t>
        </is>
      </c>
      <c r="C63" s="10" t="n">
        <v>18.45</v>
      </c>
      <c r="D63" s="16" t="n">
        <v>-0.001488296576912296</v>
      </c>
      <c r="E63" s="15" t="n">
        <v>-0.006996770721205525</v>
      </c>
      <c r="F63" s="12" t="n">
        <v>35</v>
      </c>
      <c r="G63" s="3" t="inlineStr">
        <is>
          <t>MA20 唔係向上；高位喺 35 日前；距高位 -0.7%</t>
        </is>
      </c>
    </row>
    <row r="64">
      <c r="A64" s="27" t="inlineStr">
        <is>
          <t>MTW</t>
        </is>
      </c>
      <c r="B64" s="2" t="inlineStr">
        <is>
          <t>C4 波幅減低</t>
        </is>
      </c>
      <c r="C64" s="10" t="n">
        <v>21.46</v>
      </c>
      <c r="D64" s="16" t="n">
        <v>0.001867413632121506</v>
      </c>
      <c r="E64" s="15" t="n">
        <v>-0.05711775043936729</v>
      </c>
      <c r="F64" s="12" t="n">
        <v>7</v>
      </c>
      <c r="G64" s="3" t="inlineStr">
        <is>
          <t>ATR5/ATR20 1.08（要 ≤0.9）；ATR5 係升浪期 ATR 嘅 1.00×（要 ≤0.7）</t>
        </is>
      </c>
    </row>
    <row r="65">
      <c r="A65" s="27" t="inlineStr">
        <is>
          <t>NEO</t>
        </is>
      </c>
      <c r="B65" s="2" t="inlineStr">
        <is>
          <t>C4 波幅減低</t>
        </is>
      </c>
      <c r="C65" s="10" t="n">
        <v>18.36</v>
      </c>
      <c r="D65" s="16" t="n">
        <v>-0.008559008559007042</v>
      </c>
      <c r="E65" s="15" t="n">
        <v>-0.07785032646911105</v>
      </c>
      <c r="F65" s="12" t="n">
        <v>8</v>
      </c>
      <c r="G65" s="3" t="inlineStr">
        <is>
          <t>ATR5/ATR20 1.10（要 ≤0.9）；ATR5 係升浪期 ATR 嘅 0.97×（要 ≤0.7）</t>
        </is>
      </c>
    </row>
    <row r="66">
      <c r="A66" s="27" t="inlineStr">
        <is>
          <t>PURR</t>
        </is>
      </c>
      <c r="B66" s="2" t="inlineStr">
        <is>
          <t>C4 波幅減低</t>
        </is>
      </c>
      <c r="C66" s="10" t="n">
        <v>12.27</v>
      </c>
      <c r="D66" s="16" t="n">
        <v>-0.01410148246353959</v>
      </c>
      <c r="E66" s="15" t="n">
        <v>-0.1291696238466998</v>
      </c>
      <c r="F66" s="12" t="n">
        <v>4</v>
      </c>
      <c r="G66" s="3" t="inlineStr">
        <is>
          <t>ATR5/ATR20 0.80（要 ≤0.9）；ATR5 係升浪期 ATR 嘅 0.76×（要 ≤0.7）</t>
        </is>
      </c>
    </row>
  </sheetData>
  <autoFilter ref="A3:G3"/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4" customWidth="1" min="10" max="10"/>
    <col width="90" customWidth="1" min="11" max="11"/>
  </cols>
  <sheetData>
    <row r="1">
      <c r="A1" s="1" t="inlineStr">
        <is>
          <t>而家處於「上升中 20MA 回調位」（通過 C3）嘅全部股票，同佢哋差邊項</t>
        </is>
      </c>
    </row>
    <row r="3" ht="42" customHeight="1">
      <c r="A3" s="4" t="inlineStr">
        <is>
          <t>梯隊</t>
        </is>
      </c>
      <c r="B3" s="4" t="inlineStr">
        <is>
          <t>代號</t>
        </is>
      </c>
      <c r="C3" s="4" t="inlineStr">
        <is>
          <t>收市價</t>
        </is>
      </c>
      <c r="D3" s="4" t="inlineStr">
        <is>
          <t>距MA20%</t>
        </is>
      </c>
      <c r="E3" s="4" t="inlineStr">
        <is>
          <t>距高位%</t>
        </is>
      </c>
      <c r="F3" s="4" t="inlineStr">
        <is>
          <t>升浪成交額比</t>
        </is>
      </c>
      <c r="G3" s="4" t="inlineStr">
        <is>
          <t>事件日量比</t>
        </is>
      </c>
      <c r="H3" s="4" t="inlineStr">
        <is>
          <t>ATR5/ATR20</t>
        </is>
      </c>
      <c r="I3" s="4" t="inlineStr">
        <is>
          <t>ATR5/升浪ATR</t>
        </is>
      </c>
      <c r="J3" s="4" t="inlineStr">
        <is>
          <t>唔過嘅條件</t>
        </is>
      </c>
      <c r="K3" s="4" t="inlineStr">
        <is>
          <t>說明</t>
        </is>
      </c>
    </row>
    <row r="4">
      <c r="A4" s="5" t="n">
        <v>1</v>
      </c>
      <c r="B4" s="31" t="inlineStr">
        <is>
          <t>BSVN</t>
        </is>
      </c>
      <c r="C4" s="10" t="n">
        <v>54.53</v>
      </c>
      <c r="D4" s="16" t="n">
        <v>-0.004</v>
      </c>
      <c r="E4" s="15" t="n">
        <v>-0.0505</v>
      </c>
      <c r="F4" s="9" t="n">
        <v>3.43</v>
      </c>
      <c r="G4" s="17" t="n">
        <v>3.09</v>
      </c>
      <c r="H4" s="9" t="n">
        <v>0.647</v>
      </c>
      <c r="I4" s="9" t="n">
        <v>0.625</v>
      </c>
      <c r="J4" s="3" t="inlineStr">
        <is>
          <t>全部通過</t>
        </is>
      </c>
      <c r="K4" s="3" t="inlineStr"/>
    </row>
    <row r="5">
      <c r="A5" s="5" t="n">
        <v>1</v>
      </c>
      <c r="B5" s="31" t="inlineStr">
        <is>
          <t>CSR</t>
        </is>
      </c>
      <c r="C5" s="10" t="n">
        <v>54.4</v>
      </c>
      <c r="D5" s="16" t="n">
        <v>-0.0219</v>
      </c>
      <c r="E5" s="15" t="n">
        <v>-0.07199999999999999</v>
      </c>
      <c r="F5" s="9" t="n">
        <v>3.01</v>
      </c>
      <c r="G5" s="17" t="n">
        <v>15.22</v>
      </c>
      <c r="H5" s="9" t="n">
        <v>0.71</v>
      </c>
      <c r="I5" s="9" t="n">
        <v>0.505</v>
      </c>
      <c r="J5" s="3" t="inlineStr">
        <is>
          <t>全部通過</t>
        </is>
      </c>
      <c r="K5" s="3" t="inlineStr"/>
    </row>
    <row r="6">
      <c r="A6" s="5" t="n">
        <v>1</v>
      </c>
      <c r="B6" s="31" t="inlineStr">
        <is>
          <t>RLGT</t>
        </is>
      </c>
      <c r="C6" s="10" t="n">
        <v>8.69</v>
      </c>
      <c r="D6" s="16" t="n">
        <v>0.0105</v>
      </c>
      <c r="E6" s="15" t="n">
        <v>-0.1142</v>
      </c>
      <c r="F6" s="9" t="n">
        <v>6.8</v>
      </c>
      <c r="G6" s="17" t="n">
        <v>23.13</v>
      </c>
      <c r="H6" s="9" t="n">
        <v>0.534</v>
      </c>
      <c r="I6" s="9" t="n">
        <v>0.322</v>
      </c>
      <c r="J6" s="3" t="inlineStr">
        <is>
          <t>全部通過</t>
        </is>
      </c>
      <c r="K6" s="3" t="inlineStr"/>
    </row>
    <row r="7">
      <c r="A7" s="5" t="n">
        <v>2</v>
      </c>
      <c r="B7" s="26" t="inlineStr">
        <is>
          <t>ASO</t>
        </is>
      </c>
      <c r="C7" s="10" t="n">
        <v>48.09</v>
      </c>
      <c r="D7" s="16" t="n">
        <v>-0.0175</v>
      </c>
      <c r="E7" s="15" t="n">
        <v>-0.1313</v>
      </c>
      <c r="F7" s="9" t="n">
        <v>1.57</v>
      </c>
      <c r="G7" s="17" t="n">
        <v>3.98</v>
      </c>
      <c r="H7" s="9" t="n">
        <v>0.657</v>
      </c>
      <c r="I7" s="9" t="n">
        <v>0.589</v>
      </c>
      <c r="J7" s="3" t="inlineStr">
        <is>
          <t>C1b 熱錢</t>
        </is>
      </c>
      <c r="K7" s="3" t="inlineStr">
        <is>
          <t>C1b 熱錢：升浪成交額係之前 60 日嘅 1.57×（要 ≥2.0×）</t>
        </is>
      </c>
    </row>
    <row r="8">
      <c r="A8" s="5" t="n">
        <v>2</v>
      </c>
      <c r="B8" s="26" t="inlineStr">
        <is>
          <t>CMRC</t>
        </is>
      </c>
      <c r="C8" s="10" t="n">
        <v>3.16</v>
      </c>
      <c r="D8" s="16" t="n">
        <v>0.0115</v>
      </c>
      <c r="E8" s="15" t="n">
        <v>-0.1319</v>
      </c>
      <c r="F8" s="9" t="n">
        <v>1.73</v>
      </c>
      <c r="G8" s="17" t="n">
        <v>4.4</v>
      </c>
      <c r="H8" s="9" t="n">
        <v>0.641</v>
      </c>
      <c r="I8" s="9" t="n">
        <v>0.515</v>
      </c>
      <c r="J8" s="3" t="inlineStr">
        <is>
          <t>C1b 熱錢</t>
        </is>
      </c>
      <c r="K8" s="3" t="inlineStr">
        <is>
          <t>C1b 熱錢：升浪成交額係之前 60 日嘅 1.73×（要 ≥2.0×）</t>
        </is>
      </c>
    </row>
    <row r="9">
      <c r="A9" s="5" t="n">
        <v>2</v>
      </c>
      <c r="B9" s="26" t="inlineStr">
        <is>
          <t>OMER</t>
        </is>
      </c>
      <c r="C9" s="10" t="n">
        <v>19.04</v>
      </c>
      <c r="D9" s="16" t="n">
        <v>0.0053</v>
      </c>
      <c r="E9" s="15" t="n">
        <v>-0.0955</v>
      </c>
      <c r="F9" s="9" t="n">
        <v>1.54</v>
      </c>
      <c r="G9" s="17" t="n">
        <v>7.07</v>
      </c>
      <c r="H9" s="9" t="n">
        <v>0.751</v>
      </c>
      <c r="I9" s="9" t="n">
        <v>0.5590000000000001</v>
      </c>
      <c r="J9" s="3" t="inlineStr">
        <is>
          <t>C1b 熱錢</t>
        </is>
      </c>
      <c r="K9" s="3" t="inlineStr">
        <is>
          <t>C1b 熱錢：升浪成交額係之前 60 日嘅 1.54×（要 ≥2.0×）</t>
        </is>
      </c>
    </row>
    <row r="10">
      <c r="A10" s="5" t="n">
        <v>2</v>
      </c>
      <c r="B10" s="26" t="inlineStr">
        <is>
          <t>PURR</t>
        </is>
      </c>
      <c r="C10" s="10" t="n">
        <v>12.27</v>
      </c>
      <c r="D10" s="16" t="n">
        <v>-0.0141</v>
      </c>
      <c r="E10" s="15" t="n">
        <v>-0.1292</v>
      </c>
      <c r="F10" s="9" t="n">
        <v>2.01</v>
      </c>
      <c r="G10" s="17" t="n">
        <v>5.66</v>
      </c>
      <c r="H10" s="9" t="n">
        <v>0.801</v>
      </c>
      <c r="I10" s="9" t="n">
        <v>0.757</v>
      </c>
      <c r="J10" s="3" t="inlineStr">
        <is>
          <t>C4 波幅減低</t>
        </is>
      </c>
      <c r="K10" s="3" t="inlineStr">
        <is>
          <t>C4 波幅減低：ATR5/ATR20 0.80（要 ≤0.9）；ATR5 係升浪期 ATR 嘅 0.76×（要 ≤0.7）</t>
        </is>
      </c>
    </row>
    <row r="11">
      <c r="A11" s="5" t="n">
        <v>2</v>
      </c>
      <c r="B11" s="26" t="inlineStr">
        <is>
          <t>FLXS</t>
        </is>
      </c>
      <c r="C11" s="10" t="n">
        <v>84.65000000000001</v>
      </c>
      <c r="D11" s="16" t="n">
        <v>0.0157</v>
      </c>
      <c r="E11" s="15" t="n">
        <v>-0.0528</v>
      </c>
      <c r="F11" s="9" t="n">
        <v>1.78</v>
      </c>
      <c r="G11" s="17" t="n">
        <v>5.27</v>
      </c>
      <c r="H11" s="9" t="n">
        <v>0.9350000000000001</v>
      </c>
      <c r="I11" s="9" t="n">
        <v>0.824</v>
      </c>
      <c r="J11" s="3" t="inlineStr">
        <is>
          <t>C1b 熱錢、C4 波幅減低</t>
        </is>
      </c>
      <c r="K11" s="3" t="inlineStr">
        <is>
          <t>C1b 熱錢：升浪成交額係之前 60 日嘅 1.78×（要 ≥2.0×）；C4 波幅減低：ATR5/ATR20 0.94（要 ≤0.9）；ATR5 係升浪期 ATR 嘅 0.82×（要 ≤0.7）</t>
        </is>
      </c>
    </row>
    <row r="12">
      <c r="A12" s="5" t="n">
        <v>2</v>
      </c>
      <c r="B12" s="26" t="inlineStr">
        <is>
          <t>RNG</t>
        </is>
      </c>
      <c r="C12" s="10" t="n">
        <v>74.7</v>
      </c>
      <c r="D12" s="16" t="n">
        <v>0.0077</v>
      </c>
      <c r="E12" s="15" t="n">
        <v>-0.0641</v>
      </c>
      <c r="F12" s="9" t="n">
        <v>1.58</v>
      </c>
      <c r="G12" s="17" t="n">
        <v>5.35</v>
      </c>
      <c r="H12" s="9" t="n">
        <v>0.864</v>
      </c>
      <c r="I12" s="9" t="n">
        <v>0.737</v>
      </c>
      <c r="J12" s="3" t="inlineStr">
        <is>
          <t>C1b 熱錢、C4 波幅減低</t>
        </is>
      </c>
      <c r="K12" s="3" t="inlineStr">
        <is>
          <t>C1b 熱錢：升浪成交額係之前 60 日嘅 1.58×（要 ≥2.0×）；C4 波幅減低：ATR5/ATR20 0.86（要 ≤0.9）；ATR5 係升浪期 ATR 嘅 0.74×（要 ≤0.7）</t>
        </is>
      </c>
    </row>
    <row r="13">
      <c r="A13" s="6" t="n"/>
      <c r="B13" s="27" t="inlineStr">
        <is>
          <t>DELL</t>
        </is>
      </c>
      <c r="C13" s="10" t="n">
        <v>537.95</v>
      </c>
      <c r="D13" s="16" t="n">
        <v>-0.01</v>
      </c>
      <c r="E13" s="15" t="n">
        <v>-0.0857</v>
      </c>
      <c r="F13" s="9" t="n">
        <v>1.18</v>
      </c>
      <c r="G13" s="17" t="n">
        <v>5.62</v>
      </c>
      <c r="H13" s="9" t="n">
        <v>0.671</v>
      </c>
      <c r="I13" s="9" t="n">
        <v>0.607</v>
      </c>
      <c r="J13" s="3" t="inlineStr">
        <is>
          <t>C1b 熱錢</t>
        </is>
      </c>
      <c r="K13" s="3" t="inlineStr">
        <is>
          <t>C1b 熱錢：升浪成交額係之前 60 日嘅 1.18×（要 ≥2.0×）</t>
        </is>
      </c>
    </row>
    <row r="14">
      <c r="A14" s="6" t="n"/>
      <c r="B14" s="27" t="inlineStr">
        <is>
          <t>GTLB</t>
        </is>
      </c>
      <c r="C14" s="10" t="n">
        <v>47.25</v>
      </c>
      <c r="D14" s="16" t="n">
        <v>-0.0221</v>
      </c>
      <c r="E14" s="15" t="n">
        <v>-0.0601</v>
      </c>
      <c r="F14" s="9" t="n">
        <v>1.17</v>
      </c>
      <c r="G14" s="17" t="n">
        <v>6.53</v>
      </c>
      <c r="H14" s="9" t="n">
        <v>0.764</v>
      </c>
      <c r="I14" s="9" t="n">
        <v>0.654</v>
      </c>
      <c r="J14" s="3" t="inlineStr">
        <is>
          <t>C1b 熱錢</t>
        </is>
      </c>
      <c r="K14" s="3" t="inlineStr">
        <is>
          <t>C1b 熱錢：升浪成交額係之前 60 日嘅 1.17×（要 ≥2.0×）</t>
        </is>
      </c>
    </row>
    <row r="15">
      <c r="A15" s="6" t="n"/>
      <c r="B15" s="27" t="inlineStr">
        <is>
          <t>MTW</t>
        </is>
      </c>
      <c r="C15" s="10" t="n">
        <v>21.46</v>
      </c>
      <c r="D15" s="16" t="n">
        <v>0.0019</v>
      </c>
      <c r="E15" s="15" t="n">
        <v>-0.0571</v>
      </c>
      <c r="F15" s="9" t="n">
        <v>2.05</v>
      </c>
      <c r="G15" s="17" t="n">
        <v>5.16</v>
      </c>
      <c r="H15" s="9" t="n">
        <v>1.077</v>
      </c>
      <c r="I15" s="9" t="n">
        <v>0.997</v>
      </c>
      <c r="J15" s="3" t="inlineStr">
        <is>
          <t>C4 波幅減低</t>
        </is>
      </c>
      <c r="K15" s="3" t="inlineStr">
        <is>
          <t>C4 波幅減低：ATR5/ATR20 1.08（要 ≤0.9）；ATR5 係升浪期 ATR 嘅 1.00×（要 ≤0.7）</t>
        </is>
      </c>
    </row>
    <row r="16">
      <c r="A16" s="6" t="n"/>
      <c r="B16" s="27" t="inlineStr">
        <is>
          <t>NEO</t>
        </is>
      </c>
      <c r="C16" s="10" t="n">
        <v>18.36</v>
      </c>
      <c r="D16" s="16" t="n">
        <v>-0.0086</v>
      </c>
      <c r="E16" s="15" t="n">
        <v>-0.0779</v>
      </c>
      <c r="F16" s="9" t="n">
        <v>2.04</v>
      </c>
      <c r="G16" s="17" t="n">
        <v>3.07</v>
      </c>
      <c r="H16" s="9" t="n">
        <v>1.099</v>
      </c>
      <c r="I16" s="9" t="n">
        <v>0.971</v>
      </c>
      <c r="J16" s="3" t="inlineStr">
        <is>
          <t>C4 波幅減低</t>
        </is>
      </c>
      <c r="K16" s="3" t="inlineStr">
        <is>
          <t>C4 波幅減低：ATR5/ATR20 1.10（要 ≤0.9）；ATR5 係升浪期 ATR 嘅 0.97×（要 ≤0.7）</t>
        </is>
      </c>
    </row>
    <row r="17">
      <c r="A17" s="6" t="n"/>
      <c r="B17" s="27" t="inlineStr">
        <is>
          <t>ACFN</t>
        </is>
      </c>
      <c r="C17" s="10" t="n">
        <v>20</v>
      </c>
      <c r="D17" s="16" t="n">
        <v>-0.0203</v>
      </c>
      <c r="E17" s="15" t="n">
        <v>-0.09950000000000001</v>
      </c>
      <c r="F17" s="9" t="n">
        <v>3.88</v>
      </c>
      <c r="G17" s="17" t="n"/>
      <c r="H17" s="9" t="n">
        <v>0.95</v>
      </c>
      <c r="I17" s="9" t="n">
        <v>0.979</v>
      </c>
      <c r="J17" s="3" t="inlineStr">
        <is>
          <t>C1a 事件日、C4 波幅減低</t>
        </is>
      </c>
      <c r="K17" s="3" t="inlineStr">
        <is>
          <t>C1a 事件日：高位前 60 日最大量日只有 33.8× 50日均量（當日 +5.2%）；要 ≥3× 兼當日 ≥+8% 或開市跳空 ≥+5%；C4 波幅減低：ATR5/ATR20 0.95（要 ≤0.9）；ATR5 係升浪期 ATR 嘅 0.98×（要 ≤0.7）</t>
        </is>
      </c>
    </row>
    <row r="18">
      <c r="A18" s="6" t="n"/>
      <c r="B18" s="27" t="inlineStr">
        <is>
          <t>AGPU</t>
        </is>
      </c>
      <c r="C18" s="10" t="n">
        <v>11.37</v>
      </c>
      <c r="D18" s="16" t="n">
        <v>-0.0034</v>
      </c>
      <c r="E18" s="15" t="n">
        <v>-0.12</v>
      </c>
      <c r="F18" s="9" t="n">
        <v>0.17</v>
      </c>
      <c r="G18" s="17" t="n">
        <v>8.789999999999999</v>
      </c>
      <c r="H18" s="9" t="n">
        <v>0.9360000000000001</v>
      </c>
      <c r="I18" s="9" t="n">
        <v>0.789</v>
      </c>
      <c r="J18" s="3" t="inlineStr">
        <is>
          <t>C1b 熱錢、C4 波幅減低</t>
        </is>
      </c>
      <c r="K18" s="3" t="inlineStr">
        <is>
          <t>C1b 熱錢：升浪成交額係之前 60 日嘅 0.17×（要 ≥2.0×）；C4 波幅減低：ATR5/ATR20 0.94（要 ≤0.9）；ATR5 係升浪期 ATR 嘅 0.79×（要 ≤0.7）</t>
        </is>
      </c>
    </row>
    <row r="19">
      <c r="A19" s="6" t="n"/>
      <c r="B19" s="27" t="inlineStr">
        <is>
          <t>BLTE</t>
        </is>
      </c>
      <c r="C19" s="10" t="n">
        <v>169.82</v>
      </c>
      <c r="D19" s="16" t="n">
        <v>-0.0183</v>
      </c>
      <c r="E19" s="15" t="n">
        <v>-0.1229</v>
      </c>
      <c r="F19" s="9" t="n">
        <v>1.14</v>
      </c>
      <c r="G19" s="17" t="n">
        <v>4.13</v>
      </c>
      <c r="H19" s="9" t="n">
        <v>0.756</v>
      </c>
      <c r="I19" s="9" t="n">
        <v>0.736</v>
      </c>
      <c r="J19" s="3" t="inlineStr">
        <is>
          <t>C1b 熱錢、C4 波幅減低</t>
        </is>
      </c>
      <c r="K19" s="3" t="inlineStr">
        <is>
          <t>C1b 熱錢：升浪成交額係之前 60 日嘅 1.14×（要 ≥2.0×）；C4 波幅減低：ATR5/ATR20 0.76（要 ≤0.9）；ATR5 係升浪期 ATR 嘅 0.74×（要 ≤0.7）</t>
        </is>
      </c>
    </row>
    <row r="20">
      <c r="A20" s="6" t="n"/>
      <c r="B20" s="27" t="inlineStr">
        <is>
          <t>CORT</t>
        </is>
      </c>
      <c r="C20" s="10" t="n">
        <v>115.23</v>
      </c>
      <c r="D20" s="16" t="n">
        <v>0.0125</v>
      </c>
      <c r="E20" s="15" t="n">
        <v>-0.0675</v>
      </c>
      <c r="F20" s="9" t="n">
        <v>1.66</v>
      </c>
      <c r="G20" s="17" t="n">
        <v>4.17</v>
      </c>
      <c r="H20" s="9" t="n">
        <v>0.986</v>
      </c>
      <c r="I20" s="9" t="n">
        <v>0.986</v>
      </c>
      <c r="J20" s="3" t="inlineStr">
        <is>
          <t>C1b 熱錢、C4 波幅減低</t>
        </is>
      </c>
      <c r="K20" s="3" t="inlineStr">
        <is>
          <t>C1b 熱錢：升浪成交額係之前 60 日嘅 1.66×（要 ≥2.0×）；C4 波幅減低：ATR5/ATR20 0.99（要 ≤0.9）；ATR5 係升浪期 ATR 嘅 0.99×（要 ≤0.7）</t>
        </is>
      </c>
    </row>
    <row r="21">
      <c r="A21" s="6" t="n"/>
      <c r="B21" s="27" t="inlineStr">
        <is>
          <t>DHX</t>
        </is>
      </c>
      <c r="C21" s="10" t="n">
        <v>4.7</v>
      </c>
      <c r="D21" s="16" t="n">
        <v>0.0021</v>
      </c>
      <c r="E21" s="15" t="n">
        <v>-0.0581</v>
      </c>
      <c r="F21" s="9" t="n">
        <v>1.1</v>
      </c>
      <c r="G21" s="17" t="n"/>
      <c r="H21" s="9" t="n">
        <v>0.8120000000000001</v>
      </c>
      <c r="I21" s="9" t="n">
        <v>0.621</v>
      </c>
      <c r="J21" s="3" t="inlineStr">
        <is>
          <t>C1a 事件日、C1b 熱錢</t>
        </is>
      </c>
      <c r="K21" s="3" t="inlineStr">
        <is>
          <t>C1a 事件日：高位前 60 日最大量日只有 3.0× 50日均量（當日 +3.8%）；要 ≥3× 兼當日 ≥+8% 或開市跳空 ≥+5%；C1b 熱錢：升浪成交額係之前 60 日嘅 1.10×（要 ≥2.0×）</t>
        </is>
      </c>
    </row>
    <row r="22">
      <c r="A22" s="6" t="n"/>
      <c r="B22" s="27" t="inlineStr">
        <is>
          <t>DJCO</t>
        </is>
      </c>
      <c r="C22" s="10" t="n">
        <v>646.22</v>
      </c>
      <c r="D22" s="16" t="n">
        <v>-0.0108</v>
      </c>
      <c r="E22" s="15" t="n">
        <v>-0.0603</v>
      </c>
      <c r="F22" s="9" t="n">
        <v>1.31</v>
      </c>
      <c r="G22" s="17" t="n"/>
      <c r="H22" s="9" t="n">
        <v>0.803</v>
      </c>
      <c r="I22" s="9" t="n">
        <v>0.652</v>
      </c>
      <c r="J22" s="3" t="inlineStr">
        <is>
          <t>C1a 事件日、C1b 熱錢</t>
        </is>
      </c>
      <c r="K22" s="3" t="inlineStr">
        <is>
          <t>C1a 事件日：高位前 60 日最大量日只有 2.4× 50日均量（當日 +0.4%）；要 ≥3× 兼當日 ≥+8% 或開市跳空 ≥+5%；C1b 熱錢：升浪成交額係之前 60 日嘅 1.31×（要 ≥2.0×）</t>
        </is>
      </c>
    </row>
    <row r="23">
      <c r="A23" s="6" t="n"/>
      <c r="B23" s="27" t="inlineStr">
        <is>
          <t>DOCU</t>
        </is>
      </c>
      <c r="C23" s="10" t="n">
        <v>67.15000000000001</v>
      </c>
      <c r="D23" s="16" t="n">
        <v>-0.008800000000000001</v>
      </c>
      <c r="E23" s="15" t="n">
        <v>-0.0654</v>
      </c>
      <c r="F23" s="9" t="n">
        <v>1.05</v>
      </c>
      <c r="G23" s="17" t="n"/>
      <c r="H23" s="9" t="n">
        <v>0.759</v>
      </c>
      <c r="I23" s="9" t="n">
        <v>0.667</v>
      </c>
      <c r="J23" s="3" t="inlineStr">
        <is>
          <t>C1a 事件日、C1b 熱錢</t>
        </is>
      </c>
      <c r="K23" s="3" t="inlineStr">
        <is>
          <t>C1a 事件日：高位前 60 日最大量日只有 2.5× 50日均量（當日 +2.1%）；要 ≥3× 兼當日 ≥+8% 或開市跳空 ≥+5%；C1b 熱錢：升浪成交額係之前 60 日嘅 1.05×（要 ≥2.0×）</t>
        </is>
      </c>
    </row>
    <row r="24">
      <c r="A24" s="6" t="n"/>
      <c r="B24" s="27" t="inlineStr">
        <is>
          <t>EAF</t>
        </is>
      </c>
      <c r="C24" s="10" t="n">
        <v>8.27</v>
      </c>
      <c r="D24" s="16" t="n">
        <v>0.0154</v>
      </c>
      <c r="E24" s="15" t="n">
        <v>-0.272</v>
      </c>
      <c r="F24" s="9" t="n">
        <v>1.28</v>
      </c>
      <c r="G24" s="17" t="n">
        <v>3.85</v>
      </c>
      <c r="H24" s="9" t="n">
        <v>0.841</v>
      </c>
      <c r="I24" s="9" t="n">
        <v>1.037</v>
      </c>
      <c r="J24" s="3" t="inlineStr">
        <is>
          <t>C1b 熱錢、C4 波幅減低</t>
        </is>
      </c>
      <c r="K24" s="3" t="inlineStr">
        <is>
          <t>C1b 熱錢：升浪成交額係之前 60 日嘅 1.28×（要 ≥2.0×）；C4 波幅減低：ATR5/ATR20 0.84（要 ≤0.9）；ATR5 係升浪期 ATR 嘅 1.04×（要 ≤0.7）</t>
        </is>
      </c>
    </row>
    <row r="25">
      <c r="A25" s="6" t="n"/>
      <c r="B25" s="27" t="inlineStr">
        <is>
          <t>HYPD</t>
        </is>
      </c>
      <c r="C25" s="10" t="n">
        <v>3.745</v>
      </c>
      <c r="D25" s="16" t="n">
        <v>0.0232</v>
      </c>
      <c r="E25" s="15" t="n">
        <v>-0.1019</v>
      </c>
      <c r="F25" s="9" t="n">
        <v>0.91</v>
      </c>
      <c r="G25" s="17" t="n">
        <v>5.12</v>
      </c>
      <c r="H25" s="9" t="n">
        <v>0.983</v>
      </c>
      <c r="I25" s="9" t="n">
        <v>0.922</v>
      </c>
      <c r="J25" s="3" t="inlineStr">
        <is>
          <t>C1b 熱錢、C4 波幅減低</t>
        </is>
      </c>
      <c r="K25" s="3" t="inlineStr">
        <is>
          <t>C1b 熱錢：升浪成交額係之前 60 日嘅 0.91×（要 ≥2.0×）；C4 波幅減低：ATR5/ATR20 0.98（要 ≤0.9）；ATR5 係升浪期 ATR 嘅 0.92×（要 ≤0.7）</t>
        </is>
      </c>
    </row>
    <row r="26">
      <c r="A26" s="6" t="n"/>
      <c r="B26" s="27" t="inlineStr">
        <is>
          <t>IBTA</t>
        </is>
      </c>
      <c r="C26" s="10" t="n">
        <v>39.4</v>
      </c>
      <c r="D26" s="16" t="n">
        <v>-0.0225</v>
      </c>
      <c r="E26" s="15" t="n">
        <v>-0.0708</v>
      </c>
      <c r="F26" s="9" t="n">
        <v>1.7</v>
      </c>
      <c r="G26" s="17" t="n">
        <v>6.99</v>
      </c>
      <c r="H26" s="9" t="n">
        <v>1.037</v>
      </c>
      <c r="I26" s="9" t="n">
        <v>0.63</v>
      </c>
      <c r="J26" s="3" t="inlineStr">
        <is>
          <t>C1b 熱錢、C4 波幅減低</t>
        </is>
      </c>
      <c r="K26" s="3" t="inlineStr">
        <is>
          <t>C1b 熱錢：升浪成交額係之前 60 日嘅 1.70×（要 ≥2.0×）；C4 波幅減低：ATR5/ATR20 1.04（要 ≤0.9）；ATR5 係升浪期 ATR 嘅 0.63×（要 ≤0.7）</t>
        </is>
      </c>
    </row>
    <row r="27">
      <c r="A27" s="6" t="n"/>
      <c r="B27" s="27" t="inlineStr">
        <is>
          <t>OPRT</t>
        </is>
      </c>
      <c r="C27" s="10" t="n">
        <v>8.140000000000001</v>
      </c>
      <c r="D27" s="16" t="n">
        <v>0.0139</v>
      </c>
      <c r="E27" s="15" t="n">
        <v>-0.048</v>
      </c>
      <c r="F27" s="9" t="n">
        <v>1.33</v>
      </c>
      <c r="G27" s="17" t="n">
        <v>4.39</v>
      </c>
      <c r="H27" s="9" t="n">
        <v>0.867</v>
      </c>
      <c r="I27" s="9" t="n">
        <v>0.756</v>
      </c>
      <c r="J27" s="3" t="inlineStr">
        <is>
          <t>C1b 熱錢、C4 波幅減低</t>
        </is>
      </c>
      <c r="K27" s="3" t="inlineStr">
        <is>
          <t>C1b 熱錢：升浪成交額係之前 60 日嘅 1.33×（要 ≥2.0×）；C4 波幅減低：ATR5/ATR20 0.87（要 ≤0.9）；ATR5 係升浪期 ATR 嘅 0.76×（要 ≤0.7）</t>
        </is>
      </c>
    </row>
    <row r="28">
      <c r="A28" s="6" t="n"/>
      <c r="B28" s="27" t="inlineStr">
        <is>
          <t>SMMT</t>
        </is>
      </c>
      <c r="C28" s="10" t="n">
        <v>16.91</v>
      </c>
      <c r="D28" s="16" t="n">
        <v>-0.0013</v>
      </c>
      <c r="E28" s="15" t="n">
        <v>-0.082</v>
      </c>
      <c r="F28" s="9" t="n">
        <v>1.28</v>
      </c>
      <c r="G28" s="17" t="n">
        <v>3.2</v>
      </c>
      <c r="H28" s="9" t="n">
        <v>1.332</v>
      </c>
      <c r="I28" s="9" t="n">
        <v>1.345</v>
      </c>
      <c r="J28" s="3" t="inlineStr">
        <is>
          <t>C1b 熱錢、C4 波幅減低</t>
        </is>
      </c>
      <c r="K28" s="3" t="inlineStr">
        <is>
          <t>C1b 熱錢：升浪成交額係之前 60 日嘅 1.28×（要 ≥2.0×）；C4 波幅減低：ATR5/ATR20 1.33（要 ≤0.9）；ATR5 係升浪期 ATR 嘅 1.35×（要 ≤0.7）</t>
        </is>
      </c>
    </row>
    <row r="29">
      <c r="A29" s="6" t="n"/>
      <c r="B29" s="27" t="inlineStr">
        <is>
          <t>SNOW</t>
        </is>
      </c>
      <c r="C29" s="10" t="n">
        <v>339.56</v>
      </c>
      <c r="D29" s="16" t="n">
        <v>0.0195</v>
      </c>
      <c r="E29" s="15" t="n">
        <v>-0.0474</v>
      </c>
      <c r="F29" s="9" t="n">
        <v>1</v>
      </c>
      <c r="G29" s="17" t="n">
        <v>4.2</v>
      </c>
      <c r="H29" s="9" t="n">
        <v>0.798</v>
      </c>
      <c r="I29" s="9" t="n">
        <v>0.831</v>
      </c>
      <c r="J29" s="3" t="inlineStr">
        <is>
          <t>C1b 熱錢、C4 波幅減低</t>
        </is>
      </c>
      <c r="K29" s="3" t="inlineStr">
        <is>
          <t>C1b 熱錢：升浪成交額係之前 60 日嘅 1.00×（要 ≥2.0×）；C4 波幅減低：ATR5/ATR20 0.80（要 ≤0.9）；ATR5 係升浪期 ATR 嘅 0.83×（要 ≤0.7）</t>
        </is>
      </c>
    </row>
    <row r="30">
      <c r="A30" s="6" t="n"/>
      <c r="B30" s="27" t="inlineStr">
        <is>
          <t>ATRC</t>
        </is>
      </c>
      <c r="C30" s="10" t="n">
        <v>56.2</v>
      </c>
      <c r="D30" s="16" t="n">
        <v>-0.0019</v>
      </c>
      <c r="E30" s="15" t="n">
        <v>-0.0752</v>
      </c>
      <c r="F30" s="9" t="n">
        <v>1.98</v>
      </c>
      <c r="G30" s="17" t="n"/>
      <c r="H30" s="9" t="n">
        <v>1.013</v>
      </c>
      <c r="I30" s="9" t="n">
        <v>0.978</v>
      </c>
      <c r="J30" s="3" t="inlineStr">
        <is>
          <t>C1a 事件日、C1b 熱錢、C4 波幅減低</t>
        </is>
      </c>
      <c r="K30" s="3" t="inlineStr">
        <is>
          <t>C1a 事件日：高位前 60 日最大量日只有 9.5× 50日均量（當日 -1.7%）；要 ≥3× 兼當日 ≥+8% 或開市跳空 ≥+5%；C1b 熱錢：升浪成交額係之前 60 日嘅 1.98×（要 ≥2.0×）；C4 波幅減低：ATR5/ATR20 1.01（要 ≤0.9）；ATR5 係升浪期 ATR 嘅 0.98×（要 ≤0.7）</t>
        </is>
      </c>
    </row>
    <row r="31">
      <c r="A31" s="6" t="n"/>
      <c r="B31" s="27" t="inlineStr">
        <is>
          <t>BBY</t>
        </is>
      </c>
      <c r="C31" s="10" t="n">
        <v>88.23999999999999</v>
      </c>
      <c r="D31" s="16" t="n">
        <v>-0.0283</v>
      </c>
      <c r="E31" s="15" t="n">
        <v>-0.06950000000000001</v>
      </c>
      <c r="F31" s="9" t="n">
        <v>1.16</v>
      </c>
      <c r="G31" s="17" t="n"/>
      <c r="H31" s="9" t="n">
        <v>0.882</v>
      </c>
      <c r="I31" s="9" t="n">
        <v>0.844</v>
      </c>
      <c r="J31" s="3" t="inlineStr">
        <is>
          <t>C1a 事件日、C1b 熱錢、C4 波幅減低</t>
        </is>
      </c>
      <c r="K31" s="3" t="inlineStr">
        <is>
          <t>C1a 事件日：高位前 60 日最大量日只有 2.5× 50日均量（當日 -4.4%）；要 ≥3× 兼當日 ≥+8% 或開市跳空 ≥+5%；C1b 熱錢：升浪成交額係之前 60 日嘅 1.16×（要 ≥2.0×）；C4 波幅減低：ATR5/ATR20 0.88（要 ≤0.9）；ATR5 係升浪期 ATR 嘅 0.84×（要 ≤0.7）</t>
        </is>
      </c>
    </row>
    <row r="32">
      <c r="A32" s="6" t="n"/>
      <c r="B32" s="27" t="inlineStr">
        <is>
          <t>CODA</t>
        </is>
      </c>
      <c r="C32" s="10" t="n">
        <v>10.73</v>
      </c>
      <c r="D32" s="16" t="n">
        <v>0.0162</v>
      </c>
      <c r="E32" s="15" t="n">
        <v>-0.0394</v>
      </c>
      <c r="F32" s="9" t="n">
        <v>0.5600000000000001</v>
      </c>
      <c r="G32" s="17" t="n"/>
      <c r="H32" s="9" t="n">
        <v>0.887</v>
      </c>
      <c r="I32" s="9" t="n">
        <v>0.894</v>
      </c>
      <c r="J32" s="3" t="inlineStr">
        <is>
          <t>C1a 事件日、C1b 熱錢、C4 波幅減低</t>
        </is>
      </c>
      <c r="K32" s="3" t="inlineStr">
        <is>
          <t>C1a 事件日：高位前 60 日最大量日只有 5.0× 50日均量（當日 +7.1%）；要 ≥3× 兼當日 ≥+8% 或開市跳空 ≥+5%；C1b 熱錢：升浪成交額係之前 60 日嘅 0.56×（要 ≥2.0×）；C4 波幅減低：ATR5/ATR20 0.89（要 ≤0.9）；ATR5 係升浪期 ATR 嘅 0.89×（要 ≤0.7）</t>
        </is>
      </c>
    </row>
    <row r="33">
      <c r="A33" s="6" t="n"/>
      <c r="B33" s="27" t="inlineStr">
        <is>
          <t>COIN</t>
        </is>
      </c>
      <c r="C33" s="10" t="n">
        <v>186.41</v>
      </c>
      <c r="D33" s="16" t="n">
        <v>0.0042</v>
      </c>
      <c r="E33" s="15" t="n">
        <v>-0.07290000000000001</v>
      </c>
      <c r="F33" s="9" t="n">
        <v>0.87</v>
      </c>
      <c r="G33" s="17" t="n"/>
      <c r="H33" s="9" t="n">
        <v>0.782</v>
      </c>
      <c r="I33" s="9" t="n">
        <v>0.766</v>
      </c>
      <c r="J33" s="3" t="inlineStr">
        <is>
          <t>C1a 事件日、C1b 熱錢、C4 波幅減低</t>
        </is>
      </c>
      <c r="K33" s="3" t="inlineStr">
        <is>
          <t>C1a 事件日：高位前 60 日最大量日只有 2.9× 50日均量（當日 +8.2%）；要 ≥3× 兼當日 ≥+8% 或開市跳空 ≥+5%；C1b 熱錢：升浪成交額係之前 60 日嘅 0.87×（要 ≥2.0×）；C4 波幅減低：ATR5/ATR20 0.78（要 ≤0.9）；ATR5 係升浪期 ATR 嘅 0.77×（要 ≤0.7）</t>
        </is>
      </c>
    </row>
    <row r="34">
      <c r="A34" s="6" t="n"/>
      <c r="B34" s="27" t="inlineStr">
        <is>
          <t>CVI</t>
        </is>
      </c>
      <c r="C34" s="10" t="n">
        <v>50.99</v>
      </c>
      <c r="D34" s="16" t="n">
        <v>0.0229</v>
      </c>
      <c r="E34" s="15" t="n">
        <v>-0.0582</v>
      </c>
      <c r="F34" s="9" t="n">
        <v>1.22</v>
      </c>
      <c r="G34" s="17" t="n"/>
      <c r="H34" s="9" t="n">
        <v>0.899</v>
      </c>
      <c r="I34" s="9" t="n">
        <v>0.847</v>
      </c>
      <c r="J34" s="3" t="inlineStr">
        <is>
          <t>C1a 事件日、C1b 熱錢、C4 波幅減低</t>
        </is>
      </c>
      <c r="K34" s="3" t="inlineStr">
        <is>
          <t>C1a 事件日：高位前 60 日最大量日只有 2.6× 50日均量（當日 +10.0%）；要 ≥3× 兼當日 ≥+8% 或開市跳空 ≥+5%；C1b 熱錢：升浪成交額係之前 60 日嘅 1.22×（要 ≥2.0×）；C4 波幅減低：ATR5/ATR20 0.90（要 ≤0.9）；ATR5 係升浪期 ATR 嘅 0.85×（要 ≤0.7）</t>
        </is>
      </c>
    </row>
    <row r="35">
      <c r="A35" s="6" t="n"/>
      <c r="B35" s="27" t="inlineStr">
        <is>
          <t>DC</t>
        </is>
      </c>
      <c r="C35" s="10" t="n">
        <v>6.09</v>
      </c>
      <c r="D35" s="16" t="n">
        <v>-0.0094</v>
      </c>
      <c r="E35" s="15" t="n">
        <v>-0.1174</v>
      </c>
      <c r="F35" s="9" t="n">
        <v>1.09</v>
      </c>
      <c r="G35" s="17" t="n"/>
      <c r="H35" s="9" t="n">
        <v>0.844</v>
      </c>
      <c r="I35" s="9" t="n">
        <v>0.839</v>
      </c>
      <c r="J35" s="3" t="inlineStr">
        <is>
          <t>C1a 事件日、C1b 熱錢、C4 波幅減低</t>
        </is>
      </c>
      <c r="K35" s="3" t="inlineStr">
        <is>
          <t>C1a 事件日：高位前 60 日最大量日只有 4.9× 50日均量（當日 +3.9%）；要 ≥3× 兼當日 ≥+8% 或開市跳空 ≥+5%；C1b 熱錢：升浪成交額係之前 60 日嘅 1.09×（要 ≥2.0×）；C4 波幅減低：ATR5/ATR20 0.84（要 ≤0.9）；ATR5 係升浪期 ATR 嘅 0.84×（要 ≤0.7）</t>
        </is>
      </c>
    </row>
    <row r="36">
      <c r="A36" s="6" t="n"/>
      <c r="B36" s="27" t="inlineStr">
        <is>
          <t>DINO</t>
        </is>
      </c>
      <c r="C36" s="10" t="n">
        <v>107.32</v>
      </c>
      <c r="D36" s="16" t="n">
        <v>-0.0105</v>
      </c>
      <c r="E36" s="15" t="n">
        <v>-0.07969999999999999</v>
      </c>
      <c r="F36" s="9" t="n">
        <v>1.59</v>
      </c>
      <c r="G36" s="17" t="n"/>
      <c r="H36" s="9" t="n">
        <v>0.856</v>
      </c>
      <c r="I36" s="9" t="n">
        <v>0.929</v>
      </c>
      <c r="J36" s="3" t="inlineStr">
        <is>
          <t>C1a 事件日、C1b 熱錢、C4 波幅減低</t>
        </is>
      </c>
      <c r="K36" s="3" t="inlineStr">
        <is>
          <t>C1a 事件日：高位前 60 日最大量日只有 1.9× 50日均量（當日 +2.8%）；要 ≥3× 兼當日 ≥+8% 或開市跳空 ≥+5%；C1b 熱錢：升浪成交額係之前 60 日嘅 1.59×（要 ≥2.0×）；C4 波幅減低：ATR5/ATR20 0.86（要 ≤0.9）；ATR5 係升浪期 ATR 嘅 0.93×（要 ≤0.7）</t>
        </is>
      </c>
    </row>
    <row r="37">
      <c r="A37" s="6" t="n"/>
      <c r="B37" s="27" t="inlineStr">
        <is>
          <t>FIVN</t>
        </is>
      </c>
      <c r="C37" s="10" t="n">
        <v>34.01</v>
      </c>
      <c r="D37" s="16" t="n">
        <v>0.0036</v>
      </c>
      <c r="E37" s="15" t="n">
        <v>-0.1201</v>
      </c>
      <c r="F37" s="9" t="n">
        <v>1.17</v>
      </c>
      <c r="G37" s="17" t="n"/>
      <c r="H37" s="9" t="n">
        <v>0.769</v>
      </c>
      <c r="I37" s="9" t="n">
        <v>0.709</v>
      </c>
      <c r="J37" s="3" t="inlineStr">
        <is>
          <t>C1a 事件日、C1b 熱錢、C4 波幅減低</t>
        </is>
      </c>
      <c r="K37" s="3" t="inlineStr">
        <is>
          <t>C1a 事件日：高位前 60 日最大量日只有 5.8× 50日均量（當日 -0.5%）；要 ≥3× 兼當日 ≥+8% 或開市跳空 ≥+5%；C1b 熱錢：升浪成交額係之前 60 日嘅 1.17×（要 ≥2.0×）；C4 波幅減低：ATR5/ATR20 0.77（要 ≤0.9）；ATR5 係升浪期 ATR 嘅 0.71×（要 ≤0.7）</t>
        </is>
      </c>
    </row>
    <row r="38">
      <c r="A38" s="6" t="n"/>
      <c r="B38" s="27" t="inlineStr">
        <is>
          <t>INSP</t>
        </is>
      </c>
      <c r="C38" s="10" t="n">
        <v>69.36</v>
      </c>
      <c r="D38" s="16" t="n">
        <v>-0.0071</v>
      </c>
      <c r="E38" s="15" t="n">
        <v>-0.09660000000000001</v>
      </c>
      <c r="F38" s="9" t="n">
        <v>0.91</v>
      </c>
      <c r="G38" s="17" t="n"/>
      <c r="H38" s="9" t="n">
        <v>0.795</v>
      </c>
      <c r="I38" s="9" t="n">
        <v>0.831</v>
      </c>
      <c r="J38" s="3" t="inlineStr">
        <is>
          <t>C1a 事件日、C1b 熱錢、C4 波幅減低</t>
        </is>
      </c>
      <c r="K38" s="3" t="inlineStr">
        <is>
          <t>C1a 事件日：高位前 60 日最大量日只有 4.6× 50日均量（當日 +5.2%）；要 ≥3× 兼當日 ≥+8% 或開市跳空 ≥+5%；C1b 熱錢：升浪成交額係之前 60 日嘅 0.91×（要 ≥2.0×）；C4 波幅減低：ATR5/ATR20 0.79（要 ≤0.9）；ATR5 係升浪期 ATR 嘅 0.83×（要 ≤0.7）</t>
        </is>
      </c>
    </row>
    <row r="39">
      <c r="A39" s="6" t="n"/>
      <c r="B39" s="27" t="inlineStr">
        <is>
          <t>LAND</t>
        </is>
      </c>
      <c r="C39" s="10" t="n">
        <v>9.460000000000001</v>
      </c>
      <c r="D39" s="16" t="n">
        <v>-0.008</v>
      </c>
      <c r="E39" s="15" t="n">
        <v>-0.0376</v>
      </c>
      <c r="F39" s="9" t="n">
        <v>1.24</v>
      </c>
      <c r="G39" s="17" t="n"/>
      <c r="H39" s="9" t="n">
        <v>1.028</v>
      </c>
      <c r="I39" s="9" t="n">
        <v>0.981</v>
      </c>
      <c r="J39" s="3" t="inlineStr">
        <is>
          <t>C1a 事件日、C1b 熱錢、C4 波幅減低</t>
        </is>
      </c>
      <c r="K39" s="3" t="inlineStr">
        <is>
          <t>C1a 事件日：高位前 60 日最大量日只有 3.3× 50日均量（當日 +1.3%）；要 ≥3× 兼當日 ≥+8% 或開市跳空 ≥+5%；C1b 熱錢：升浪成交額係之前 60 日嘅 1.24×（要 ≥2.0×）；C4 波幅減低：ATR5/ATR20 1.03（要 ≤0.9）；ATR5 係升浪期 ATR 嘅 0.98×（要 ≤0.7）</t>
        </is>
      </c>
    </row>
    <row r="40">
      <c r="A40" s="6" t="n"/>
      <c r="B40" s="27" t="inlineStr">
        <is>
          <t>LPG</t>
        </is>
      </c>
      <c r="C40" s="10" t="n">
        <v>55.06</v>
      </c>
      <c r="D40" s="16" t="n">
        <v>0.0024</v>
      </c>
      <c r="E40" s="15" t="n">
        <v>-0.0557</v>
      </c>
      <c r="F40" s="9" t="n">
        <v>1.1</v>
      </c>
      <c r="G40" s="17" t="n"/>
      <c r="H40" s="9" t="n">
        <v>1.05</v>
      </c>
      <c r="I40" s="9" t="n">
        <v>0.9389999999999999</v>
      </c>
      <c r="J40" s="3" t="inlineStr">
        <is>
          <t>C1a 事件日、C1b 熱錢、C4 波幅減低</t>
        </is>
      </c>
      <c r="K40" s="3" t="inlineStr">
        <is>
          <t>C1a 事件日：高位前 60 日最大量日只有 2.3× 50日均量（當日 -2.4%）；要 ≥3× 兼當日 ≥+8% 或開市跳空 ≥+5%；C1b 熱錢：升浪成交額係之前 60 日嘅 1.10×（要 ≥2.0×）；C4 波幅減低：ATR5/ATR20 1.05（要 ≤0.9）；ATR5 係升浪期 ATR 嘅 0.94×（要 ≤0.7）</t>
        </is>
      </c>
    </row>
    <row r="41">
      <c r="A41" s="6" t="n"/>
      <c r="B41" s="27" t="inlineStr">
        <is>
          <t>MPC</t>
        </is>
      </c>
      <c r="C41" s="10" t="n">
        <v>395.42</v>
      </c>
      <c r="D41" s="16" t="n">
        <v>-0.0064</v>
      </c>
      <c r="E41" s="15" t="n">
        <v>-0.0694</v>
      </c>
      <c r="F41" s="9" t="n">
        <v>1.46</v>
      </c>
      <c r="G41" s="17" t="n"/>
      <c r="H41" s="9" t="n">
        <v>0.869</v>
      </c>
      <c r="I41" s="9" t="n">
        <v>1.006</v>
      </c>
      <c r="J41" s="3" t="inlineStr">
        <is>
          <t>C1a 事件日、C1b 熱錢、C4 波幅減低</t>
        </is>
      </c>
      <c r="K41" s="3" t="inlineStr">
        <is>
          <t>C1a 事件日：高位前 60 日最大量日只有 4.2× 50日均量（當日 +0.7%）；要 ≥3× 兼當日 ≥+8% 或開市跳空 ≥+5%；C1b 熱錢：升浪成交額係之前 60 日嘅 1.46×（要 ≥2.0×）；C4 波幅減低：ATR5/ATR20 0.87（要 ≤0.9）；ATR5 係升浪期 ATR 嘅 1.01×（要 ≤0.7）</t>
        </is>
      </c>
    </row>
    <row r="42">
      <c r="A42" s="6" t="n"/>
      <c r="B42" s="27" t="inlineStr">
        <is>
          <t>MUR</t>
        </is>
      </c>
      <c r="C42" s="10" t="n">
        <v>37.02</v>
      </c>
      <c r="D42" s="16" t="n">
        <v>-0.009900000000000001</v>
      </c>
      <c r="E42" s="15" t="n">
        <v>-0.0837</v>
      </c>
      <c r="F42" s="9" t="n">
        <v>0.8100000000000001</v>
      </c>
      <c r="G42" s="17" t="n"/>
      <c r="H42" s="9" t="n">
        <v>0.906</v>
      </c>
      <c r="I42" s="9" t="n">
        <v>0.8159999999999999</v>
      </c>
      <c r="J42" s="3" t="inlineStr">
        <is>
          <t>C1a 事件日、C1b 熱錢、C4 波幅減低</t>
        </is>
      </c>
      <c r="K42" s="3" t="inlineStr">
        <is>
          <t>C1a 事件日：高位前 60 日最大量日只有 2.3× 50日均量（當日 +4.6%）；要 ≥3× 兼當日 ≥+8% 或開市跳空 ≥+5%；C1b 熱錢：升浪成交額係之前 60 日嘅 0.81×（要 ≥2.0×）；C4 波幅減低：ATR5/ATR20 0.91（要 ≤0.9）；ATR5 係升浪期 ATR 嘅 0.82×（要 ≤0.7）</t>
        </is>
      </c>
    </row>
    <row r="43">
      <c r="A43" s="6" t="n"/>
      <c r="B43" s="27" t="inlineStr">
        <is>
          <t>NEOG</t>
        </is>
      </c>
      <c r="C43" s="10" t="n">
        <v>12.8</v>
      </c>
      <c r="D43" s="16" t="n">
        <v>0.0117</v>
      </c>
      <c r="E43" s="15" t="n">
        <v>-0.0844</v>
      </c>
      <c r="F43" s="9" t="n">
        <v>1.1</v>
      </c>
      <c r="G43" s="17" t="n"/>
      <c r="H43" s="9" t="n">
        <v>1.135</v>
      </c>
      <c r="I43" s="9" t="n">
        <v>1.13</v>
      </c>
      <c r="J43" s="3" t="inlineStr">
        <is>
          <t>C1a 事件日、C1b 熱錢、C4 波幅減低</t>
        </is>
      </c>
      <c r="K43" s="3" t="inlineStr">
        <is>
          <t>C1a 事件日：高位前 60 日最大量日只有 3.5× 50日均量（當日 +1.3%）；要 ≥3× 兼當日 ≥+8% 或開市跳空 ≥+5%；C1b 熱錢：升浪成交額係之前 60 日嘅 1.10×（要 ≥2.0×）；C4 波幅減低：ATR5/ATR20 1.14（要 ≤0.9）；ATR5 係升浪期 ATR 嘅 1.13×（要 ≤0.7）</t>
        </is>
      </c>
    </row>
    <row r="44">
      <c r="A44" s="6" t="n"/>
      <c r="B44" s="27" t="inlineStr">
        <is>
          <t>NUTX</t>
        </is>
      </c>
      <c r="C44" s="10" t="n">
        <v>211.66</v>
      </c>
      <c r="D44" s="16" t="n">
        <v>0.0298</v>
      </c>
      <c r="E44" s="15" t="n">
        <v>-0.0384</v>
      </c>
      <c r="F44" s="9" t="n">
        <v>1.47</v>
      </c>
      <c r="G44" s="17" t="n"/>
      <c r="H44" s="9" t="n">
        <v>0.926</v>
      </c>
      <c r="I44" s="9" t="n">
        <v>0.777</v>
      </c>
      <c r="J44" s="3" t="inlineStr">
        <is>
          <t>C1a 事件日、C1b 熱錢、C4 波幅減低</t>
        </is>
      </c>
      <c r="K44" s="3" t="inlineStr">
        <is>
          <t>C1a 事件日：高位前 60 日最大量日只有 2.8× 50日均量（當日 +21.9%）；要 ≥3× 兼當日 ≥+8% 或開市跳空 ≥+5%；C1b 熱錢：升浪成交額係之前 60 日嘅 1.47×（要 ≥2.0×）；C4 波幅減低：ATR5/ATR20 0.93（要 ≤0.9）；ATR5 係升浪期 ATR 嘅 0.78×（要 ≤0.7）</t>
        </is>
      </c>
    </row>
    <row r="45">
      <c r="A45" s="6" t="n"/>
      <c r="B45" s="27" t="inlineStr">
        <is>
          <t>PDEX</t>
        </is>
      </c>
      <c r="C45" s="10" t="n">
        <v>69</v>
      </c>
      <c r="D45" s="16" t="n">
        <v>0.0094</v>
      </c>
      <c r="E45" s="15" t="n">
        <v>-0.0601</v>
      </c>
      <c r="F45" s="9" t="n">
        <v>1.18</v>
      </c>
      <c r="G45" s="17" t="n"/>
      <c r="H45" s="9" t="n">
        <v>0.622</v>
      </c>
      <c r="I45" s="9" t="n">
        <v>0.704</v>
      </c>
      <c r="J45" s="3" t="inlineStr">
        <is>
          <t>C1a 事件日、C1b 熱錢、C4 波幅減低</t>
        </is>
      </c>
      <c r="K45" s="3" t="inlineStr">
        <is>
          <t>C1a 事件日：高位前 60 日最大量日只有 4.6× 50日均量（當日 -2.2%）；要 ≥3× 兼當日 ≥+8% 或開市跳空 ≥+5%；C1b 熱錢：升浪成交額係之前 60 日嘅 1.18×（要 ≥2.0×）；C4 波幅減低：ATR5/ATR20 0.62（要 ≤0.9）；ATR5 係升浪期 ATR 嘅 0.70×（要 ≤0.7）</t>
        </is>
      </c>
    </row>
    <row r="46">
      <c r="A46" s="6" t="n"/>
      <c r="B46" s="27" t="inlineStr">
        <is>
          <t>PNTG</t>
        </is>
      </c>
      <c r="C46" s="10" t="n">
        <v>39</v>
      </c>
      <c r="D46" s="16" t="n">
        <v>-0.0162</v>
      </c>
      <c r="E46" s="15" t="n">
        <v>-0.0819</v>
      </c>
      <c r="F46" s="9" t="n">
        <v>1.46</v>
      </c>
      <c r="G46" s="17" t="n"/>
      <c r="H46" s="9" t="n">
        <v>0.96</v>
      </c>
      <c r="I46" s="9" t="n">
        <v>0.97</v>
      </c>
      <c r="J46" s="3" t="inlineStr">
        <is>
          <t>C1a 事件日、C1b 熱錢、C4 波幅減低</t>
        </is>
      </c>
      <c r="K46" s="3" t="inlineStr">
        <is>
          <t>C1a 事件日：高位前 60 日最大量日只有 4.3× 50日均量（當日 +6.3%）；要 ≥3× 兼當日 ≥+8% 或開市跳空 ≥+5%；C1b 熱錢：升浪成交額係之前 60 日嘅 1.46×（要 ≥2.0×）；C4 波幅減低：ATR5/ATR20 0.96（要 ≤0.9）；ATR5 係升浪期 ATR 嘅 0.97×（要 ≤0.7）</t>
        </is>
      </c>
    </row>
    <row r="47">
      <c r="A47" s="6" t="n"/>
      <c r="B47" s="27" t="inlineStr">
        <is>
          <t>PRAA</t>
        </is>
      </c>
      <c r="C47" s="10" t="n">
        <v>19.49</v>
      </c>
      <c r="D47" s="16" t="n">
        <v>-0.0111</v>
      </c>
      <c r="E47" s="15" t="n">
        <v>-0.07190000000000001</v>
      </c>
      <c r="F47" s="9" t="n">
        <v>1.14</v>
      </c>
      <c r="G47" s="17" t="n"/>
      <c r="H47" s="9" t="n">
        <v>1.132</v>
      </c>
      <c r="I47" s="9" t="n">
        <v>1.098</v>
      </c>
      <c r="J47" s="3" t="inlineStr">
        <is>
          <t>C1a 事件日、C1b 熱錢、C4 波幅減低</t>
        </is>
      </c>
      <c r="K47" s="3" t="inlineStr">
        <is>
          <t>C1a 事件日：高位前 60 日最大量日只有 2.3× 50日均量（當日 +2.1%）；要 ≥3× 兼當日 ≥+8% 或開市跳空 ≥+5%；C1b 熱錢：升浪成交額係之前 60 日嘅 1.14×（要 ≥2.0×）；C4 波幅減低：ATR5/ATR20 1.13（要 ≤0.9）；ATR5 係升浪期 ATR 嘅 1.10×（要 ≤0.7）</t>
        </is>
      </c>
    </row>
    <row r="48">
      <c r="A48" s="6" t="n"/>
      <c r="B48" s="27" t="inlineStr">
        <is>
          <t>PSX</t>
        </is>
      </c>
      <c r="C48" s="10" t="n">
        <v>255.31</v>
      </c>
      <c r="D48" s="16" t="n">
        <v>-0.0153</v>
      </c>
      <c r="E48" s="15" t="n">
        <v>-0.0689</v>
      </c>
      <c r="F48" s="9" t="n">
        <v>1.3</v>
      </c>
      <c r="G48" s="17" t="n"/>
      <c r="H48" s="9" t="n">
        <v>0.839</v>
      </c>
      <c r="I48" s="9" t="n">
        <v>0.882</v>
      </c>
      <c r="J48" s="3" t="inlineStr">
        <is>
          <t>C1a 事件日、C1b 熱錢、C4 波幅減低</t>
        </is>
      </c>
      <c r="K48" s="3" t="inlineStr">
        <is>
          <t>C1a 事件日：高位前 60 日最大量日只有 1.6× 50日均量（當日 +1.1%）；要 ≥3× 兼當日 ≥+8% 或開市跳空 ≥+5%；C1b 熱錢：升浪成交額係之前 60 日嘅 1.30×（要 ≥2.0×）；C4 波幅減低：ATR5/ATR20 0.84（要 ≤0.9）；ATR5 係升浪期 ATR 嘅 0.88×（要 ≤0.7）</t>
        </is>
      </c>
    </row>
    <row r="49">
      <c r="A49" s="6" t="n"/>
      <c r="B49" s="27" t="inlineStr">
        <is>
          <t>QCOM</t>
        </is>
      </c>
      <c r="C49" s="10" t="n">
        <v>184.04</v>
      </c>
      <c r="D49" s="16" t="n">
        <v>0.0009</v>
      </c>
      <c r="E49" s="15" t="n">
        <v>-0.0888</v>
      </c>
      <c r="F49" s="9" t="n">
        <v>0.48</v>
      </c>
      <c r="G49" s="17" t="n"/>
      <c r="H49" s="9" t="n">
        <v>0.912</v>
      </c>
      <c r="I49" s="9" t="n">
        <v>1.087</v>
      </c>
      <c r="J49" s="3" t="inlineStr">
        <is>
          <t>C1a 事件日、C1b 熱錢、C4 波幅減低</t>
        </is>
      </c>
      <c r="K49" s="3" t="inlineStr">
        <is>
          <t>C1a 事件日：高位前 60 日最大量日只有 4.7× 50日均量（當日 -5.8%）；要 ≥3× 兼當日 ≥+8% 或開市跳空 ≥+5%；C1b 熱錢：升浪成交額係之前 60 日嘅 0.48×（要 ≥2.0×）；C4 波幅減低：ATR5/ATR20 0.91（要 ≤0.9）；ATR5 係升浪期 ATR 嘅 1.09×（要 ≤0.7）</t>
        </is>
      </c>
    </row>
    <row r="50">
      <c r="A50" s="6" t="n"/>
      <c r="B50" s="27" t="inlineStr">
        <is>
          <t>QRVO</t>
        </is>
      </c>
      <c r="C50" s="10" t="n">
        <v>114.48</v>
      </c>
      <c r="D50" s="16" t="n">
        <v>0.0149</v>
      </c>
      <c r="E50" s="15" t="n">
        <v>-0.0427</v>
      </c>
      <c r="F50" s="9" t="n">
        <v>1.06</v>
      </c>
      <c r="G50" s="17" t="n"/>
      <c r="H50" s="9" t="n">
        <v>0.765</v>
      </c>
      <c r="I50" s="9" t="n">
        <v>0.95</v>
      </c>
      <c r="J50" s="3" t="inlineStr">
        <is>
          <t>C1a 事件日、C1b 熱錢、C4 波幅減低</t>
        </is>
      </c>
      <c r="K50" s="3" t="inlineStr">
        <is>
          <t>C1a 事件日：高位前 60 日最大量日只有 2.6× 50日均量（當日 -1.9%）；要 ≥3× 兼當日 ≥+8% 或開市跳空 ≥+5%；C1b 熱錢：升浪成交額係之前 60 日嘅 1.06×（要 ≥2.0×）；C4 波幅減低：ATR5/ATR20 0.77（要 ≤0.9）；ATR5 係升浪期 ATR 嘅 0.95×（要 ≤0.7）</t>
        </is>
      </c>
    </row>
    <row r="51">
      <c r="A51" s="6" t="n"/>
      <c r="B51" s="27" t="inlineStr">
        <is>
          <t>RUSHB</t>
        </is>
      </c>
      <c r="C51" s="10" t="n">
        <v>53.91</v>
      </c>
      <c r="D51" s="16" t="n">
        <v>0.0165</v>
      </c>
      <c r="E51" s="15" t="n">
        <v>-0.0542</v>
      </c>
      <c r="F51" s="9" t="n">
        <v>1.52</v>
      </c>
      <c r="G51" s="17" t="n"/>
      <c r="H51" s="9" t="n">
        <v>0.75</v>
      </c>
      <c r="I51" s="9" t="n">
        <v>0.82</v>
      </c>
      <c r="J51" s="3" t="inlineStr">
        <is>
          <t>C1a 事件日、C1b 熱錢、C4 波幅減低</t>
        </is>
      </c>
      <c r="K51" s="3" t="inlineStr">
        <is>
          <t>C1a 事件日：高位前 60 日最大量日只有 6.2× 50日均量（當日 -0.1%）；要 ≥3× 兼當日 ≥+8% 或開市跳空 ≥+5%；C1b 熱錢：升浪成交額係之前 60 日嘅 1.52×（要 ≥2.0×）；C4 波幅減低：ATR5/ATR20 0.75（要 ≤0.9）；ATR5 係升浪期 ATR 嘅 0.82×（要 ≤0.7）</t>
        </is>
      </c>
    </row>
    <row r="52">
      <c r="A52" s="6" t="n"/>
      <c r="B52" s="27" t="inlineStr">
        <is>
          <t>SPCE</t>
        </is>
      </c>
      <c r="C52" s="10" t="n">
        <v>2.99</v>
      </c>
      <c r="D52" s="16" t="n">
        <v>-0.0253</v>
      </c>
      <c r="E52" s="15" t="n">
        <v>-0.0994</v>
      </c>
      <c r="F52" s="9" t="n">
        <v>0.16</v>
      </c>
      <c r="G52" s="17" t="n"/>
      <c r="H52" s="9" t="n">
        <v>0.982</v>
      </c>
      <c r="I52" s="9" t="n">
        <v>0.898</v>
      </c>
      <c r="J52" s="3" t="inlineStr">
        <is>
          <t>C1a 事件日、C1b 熱錢、C4 波幅減低</t>
        </is>
      </c>
      <c r="K52" s="3" t="inlineStr">
        <is>
          <t>C1a 事件日：高位前 60 日最大量日只有 2.1× 50日均量（當日 -1.3%）；要 ≥3× 兼當日 ≥+8% 或開市跳空 ≥+5%；C1b 熱錢：升浪成交額係之前 60 日嘅 0.16×（要 ≥2.0×）；C4 波幅減低：ATR5/ATR20 0.98（要 ≤0.9）；ATR5 係升浪期 ATR 嘅 0.90×（要 ≤0.7）</t>
        </is>
      </c>
    </row>
    <row r="53">
      <c r="A53" s="6" t="n"/>
      <c r="B53" s="27" t="inlineStr">
        <is>
          <t>SWKS</t>
        </is>
      </c>
      <c r="C53" s="10" t="n">
        <v>85.48</v>
      </c>
      <c r="D53" s="16" t="n">
        <v>0.0147</v>
      </c>
      <c r="E53" s="15" t="n">
        <v>-0.0653</v>
      </c>
      <c r="F53" s="9" t="n">
        <v>1.32</v>
      </c>
      <c r="G53" s="17" t="n"/>
      <c r="H53" s="9" t="n">
        <v>0.752</v>
      </c>
      <c r="I53" s="9" t="n">
        <v>0.9340000000000001</v>
      </c>
      <c r="J53" s="3" t="inlineStr">
        <is>
          <t>C1a 事件日、C1b 熱錢、C4 波幅減低</t>
        </is>
      </c>
      <c r="K53" s="3" t="inlineStr">
        <is>
          <t>C1a 事件日：高位前 60 日最大量日只有 3.6× 50日均量（當日 +1.9%）；要 ≥3× 兼當日 ≥+8% 或開市跳空 ≥+5%；C1b 熱錢：升浪成交額係之前 60 日嘅 1.32×（要 ≥2.0×）；C4 波幅減低：ATR5/ATR20 0.75（要 ≤0.9）；ATR5 係升浪期 ATR 嘅 0.93×（要 ≤0.7）</t>
        </is>
      </c>
    </row>
    <row r="54">
      <c r="A54" s="6" t="n"/>
      <c r="B54" s="27" t="inlineStr">
        <is>
          <t>TARS</t>
        </is>
      </c>
      <c r="C54" s="10" t="n">
        <v>78.61</v>
      </c>
      <c r="D54" s="16" t="n">
        <v>-0.0129</v>
      </c>
      <c r="E54" s="15" t="n">
        <v>-0.1341</v>
      </c>
      <c r="F54" s="9" t="n">
        <v>1.05</v>
      </c>
      <c r="G54" s="17" t="n"/>
      <c r="H54" s="9" t="n">
        <v>0.787</v>
      </c>
      <c r="I54" s="9" t="n">
        <v>0.714</v>
      </c>
      <c r="J54" s="3" t="inlineStr">
        <is>
          <t>C1a 事件日、C1b 熱錢、C4 波幅減低</t>
        </is>
      </c>
      <c r="K54" s="3" t="inlineStr">
        <is>
          <t>C1a 事件日：高位前 60 日最大量日只有 4.0× 50日均量（當日 -3.3%）；要 ≥3× 兼當日 ≥+8% 或開市跳空 ≥+5%；C1b 熱錢：升浪成交額係之前 60 日嘅 1.05×（要 ≥2.0×）；C4 波幅減低：ATR5/ATR20 0.79（要 ≤0.9）；ATR5 係升浪期 ATR 嘅 0.71×（要 ≤0.7）</t>
        </is>
      </c>
    </row>
    <row r="55">
      <c r="A55" s="6" t="n"/>
      <c r="B55" s="27" t="inlineStr">
        <is>
          <t>TH</t>
        </is>
      </c>
      <c r="C55" s="10" t="n">
        <v>19.72</v>
      </c>
      <c r="D55" s="16" t="n">
        <v>-0.0047</v>
      </c>
      <c r="E55" s="15" t="n">
        <v>-0.08069999999999999</v>
      </c>
      <c r="F55" s="9" t="n">
        <v>1.35</v>
      </c>
      <c r="G55" s="17" t="n"/>
      <c r="H55" s="9" t="n">
        <v>1.035</v>
      </c>
      <c r="I55" s="9" t="n">
        <v>0.875</v>
      </c>
      <c r="J55" s="3" t="inlineStr">
        <is>
          <t>C1a 事件日、C1b 熱錢、C4 波幅減低</t>
        </is>
      </c>
      <c r="K55" s="3" t="inlineStr">
        <is>
          <t>C1a 事件日：高位前 60 日最大量日只有 9.2× 50日均量（當日 -5.2%）；要 ≥3× 兼當日 ≥+8% 或開市跳空 ≥+5%；C1b 熱錢：升浪成交額係之前 60 日嘅 1.35×（要 ≥2.0×）；C4 波幅減低：ATR5/ATR20 1.03（要 ≤0.9）；ATR5 係升浪期 ATR 嘅 0.87×（要 ≤0.7）</t>
        </is>
      </c>
    </row>
    <row r="56">
      <c r="A56" s="6" t="n"/>
      <c r="B56" s="27" t="inlineStr">
        <is>
          <t>VLO</t>
        </is>
      </c>
      <c r="C56" s="10" t="n">
        <v>387.61</v>
      </c>
      <c r="D56" s="16" t="n">
        <v>0.0009</v>
      </c>
      <c r="E56" s="15" t="n">
        <v>-0.0621</v>
      </c>
      <c r="F56" s="9" t="n">
        <v>1.25</v>
      </c>
      <c r="G56" s="17" t="n"/>
      <c r="H56" s="9" t="n">
        <v>0.921</v>
      </c>
      <c r="I56" s="9" t="n">
        <v>1.041</v>
      </c>
      <c r="J56" s="3" t="inlineStr">
        <is>
          <t>C1a 事件日、C1b 熱錢、C4 波幅減低</t>
        </is>
      </c>
      <c r="K56" s="3" t="inlineStr">
        <is>
          <t>C1a 事件日：高位前 60 日最大量日只有 3.4× 50日均量（當日 +0.2%）；要 ≥3× 兼當日 ≥+8% 或開市跳空 ≥+5%；C1b 熱錢：升浪成交額係之前 60 日嘅 1.25×（要 ≥2.0×）；C4 波幅減低：ATR5/ATR20 0.92（要 ≤0.9）；ATR5 係升浪期 ATR 嘅 1.04×（要 ≤0.7）</t>
        </is>
      </c>
    </row>
    <row r="57">
      <c r="A57" s="6" t="n"/>
      <c r="B57" s="27" t="inlineStr">
        <is>
          <t>SNX</t>
        </is>
      </c>
      <c r="C57" s="10" t="n">
        <v>256.85</v>
      </c>
      <c r="D57" s="16" t="n">
        <v>-0.027</v>
      </c>
      <c r="E57" s="15" t="n">
        <v>-0.1078</v>
      </c>
      <c r="F57" s="9" t="n">
        <v>0.91</v>
      </c>
      <c r="G57" s="17" t="n"/>
      <c r="H57" s="9" t="n">
        <v>1.504</v>
      </c>
      <c r="I57" s="9" t="n">
        <v>1.916</v>
      </c>
      <c r="J57" s="3" t="inlineStr">
        <is>
          <t>C1a 事件日、C1b 熱錢、C2 曾有10MA上升、C4 波幅減低</t>
        </is>
      </c>
      <c r="K57" s="3" t="inlineStr">
        <is>
          <t>C1a 事件日：高位前 60 日最大量日只有 4.4× 50日均量（當日 +0.7%）；要 ≥3× 兼當日 ≥+8% 或開市跳空 ≥+5%；C1b 熱錢：升浪成交額係之前 60 日嘅 0.91×（要 ≥2.0×）；C2 曾有10MA上升：近 30 日 MA10 最大 10 日升幅 +4.9%（2026-09-24；要 ≥5%），嗰時最後三值遞升、10 步升 100%（要 ≥70%）；C4 波幅減低：ATR5/ATR20 1.50（要 ≤0.9）；ATR5 係升浪期 ATR 嘅 1.92×（要 ≤0.7）</t>
        </is>
      </c>
    </row>
  </sheetData>
  <autoFilter ref="A3:K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100" customWidth="1" min="5" max="5"/>
  </cols>
  <sheetData>
    <row r="1">
      <c r="A1" s="1" t="inlineStr">
        <is>
          <t>R22（2026-09-28 收市，高動能回到 20MA）名單 vs R23.00（2026-09-30 收市，新條件）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R22 排名</t>
        </is>
      </c>
      <c r="D3" s="4" t="inlineStr">
        <is>
          <t>R23.00 排名</t>
        </is>
      </c>
      <c r="E3" s="4" t="inlineStr">
        <is>
          <t>說明</t>
        </is>
      </c>
    </row>
    <row r="4">
      <c r="A4" s="2" t="inlineStr">
        <is>
          <t>兩版都上榜</t>
        </is>
      </c>
      <c r="B4" s="27" t="inlineStr">
        <is>
          <t>PURR</t>
        </is>
      </c>
      <c r="C4" s="6" t="n">
        <v>10</v>
      </c>
      <c r="D4" s="6" t="n">
        <v>11</v>
      </c>
      <c r="E4" s="3" t="inlineStr">
        <is>
          <t>第 2 梯隊</t>
        </is>
      </c>
    </row>
    <row r="5">
      <c r="A5" s="2" t="inlineStr">
        <is>
          <t>兩版都上榜</t>
        </is>
      </c>
      <c r="B5" s="27" t="inlineStr">
        <is>
          <t>PLSE</t>
        </is>
      </c>
      <c r="C5" s="6" t="n">
        <v>4</v>
      </c>
      <c r="D5" s="6" t="n">
        <v>16</v>
      </c>
      <c r="E5" s="3" t="inlineStr">
        <is>
          <t>第 2 梯隊</t>
        </is>
      </c>
    </row>
    <row r="6">
      <c r="A6" s="2" t="inlineStr">
        <is>
          <t>新上榜</t>
        </is>
      </c>
      <c r="B6" s="31" t="inlineStr">
        <is>
          <t>RLGT</t>
        </is>
      </c>
      <c r="C6" s="6" t="n"/>
      <c r="D6" s="6" t="n">
        <v>1</v>
      </c>
      <c r="E6" s="3" t="inlineStr">
        <is>
          <t>第 1 梯隊；R22 舊規則：S1 唔過</t>
        </is>
      </c>
    </row>
    <row r="7">
      <c r="A7" s="2" t="inlineStr">
        <is>
          <t>新上榜</t>
        </is>
      </c>
      <c r="B7" s="31" t="inlineStr">
        <is>
          <t>CSR</t>
        </is>
      </c>
      <c r="C7" s="6" t="n"/>
      <c r="D7" s="6" t="n">
        <v>2</v>
      </c>
      <c r="E7" s="3" t="inlineStr">
        <is>
          <t>第 1 梯隊；R22 舊規則：S2 唔過</t>
        </is>
      </c>
    </row>
    <row r="8">
      <c r="A8" s="2" t="inlineStr">
        <is>
          <t>新上榜</t>
        </is>
      </c>
      <c r="B8" s="31" t="inlineStr">
        <is>
          <t>BSVN</t>
        </is>
      </c>
      <c r="C8" s="6" t="n"/>
      <c r="D8" s="6" t="n">
        <v>3</v>
      </c>
      <c r="E8" s="3" t="inlineStr">
        <is>
          <t>第 1 梯隊；R22 舊規則：S3、S5 唔過</t>
        </is>
      </c>
    </row>
    <row r="9">
      <c r="A9" s="2" t="inlineStr">
        <is>
          <t>新上榜</t>
        </is>
      </c>
      <c r="B9" s="31" t="inlineStr">
        <is>
          <t>CRSR</t>
        </is>
      </c>
      <c r="C9" s="6" t="n"/>
      <c r="D9" s="6" t="n">
        <v>4</v>
      </c>
      <c r="E9" s="3" t="inlineStr">
        <is>
          <t>第 2 梯隊；R22 舊規則：S2、S5 唔過</t>
        </is>
      </c>
    </row>
    <row r="10">
      <c r="A10" s="2" t="inlineStr">
        <is>
          <t>新上榜</t>
        </is>
      </c>
      <c r="B10" s="31" t="inlineStr">
        <is>
          <t>CMRC</t>
        </is>
      </c>
      <c r="C10" s="6" t="n"/>
      <c r="D10" s="6" t="n">
        <v>5</v>
      </c>
      <c r="E10" s="3" t="inlineStr">
        <is>
          <t>第 2 梯隊；R22 舊規則：S2、S5 唔過</t>
        </is>
      </c>
    </row>
    <row r="11">
      <c r="A11" s="2" t="inlineStr">
        <is>
          <t>新上榜</t>
        </is>
      </c>
      <c r="B11" s="31" t="inlineStr">
        <is>
          <t>OMER</t>
        </is>
      </c>
      <c r="C11" s="6" t="n"/>
      <c r="D11" s="6" t="n">
        <v>6</v>
      </c>
      <c r="E11" s="3" t="inlineStr">
        <is>
          <t>第 2 梯隊；R22 舊規則：S5 唔過</t>
        </is>
      </c>
    </row>
    <row r="12">
      <c r="A12" s="2" t="inlineStr">
        <is>
          <t>新上榜</t>
        </is>
      </c>
      <c r="B12" s="31" t="inlineStr">
        <is>
          <t>HAE</t>
        </is>
      </c>
      <c r="C12" s="6" t="n"/>
      <c r="D12" s="6" t="n">
        <v>7</v>
      </c>
      <c r="E12" s="3" t="inlineStr">
        <is>
          <t>第 2 梯隊；R22 舊規則：S3 唔過</t>
        </is>
      </c>
    </row>
    <row r="13">
      <c r="A13" s="2" t="inlineStr">
        <is>
          <t>新上榜</t>
        </is>
      </c>
      <c r="B13" s="31" t="inlineStr">
        <is>
          <t>ASST</t>
        </is>
      </c>
      <c r="C13" s="6" t="n"/>
      <c r="D13" s="6" t="n">
        <v>8</v>
      </c>
      <c r="E13" s="3" t="inlineStr">
        <is>
          <t>第 2 梯隊；R22 舊規則：S2、S5 唔過</t>
        </is>
      </c>
    </row>
    <row r="14">
      <c r="A14" s="2" t="inlineStr">
        <is>
          <t>新上榜</t>
        </is>
      </c>
      <c r="B14" s="31" t="inlineStr">
        <is>
          <t>GEMI</t>
        </is>
      </c>
      <c r="C14" s="6" t="n"/>
      <c r="D14" s="6" t="n">
        <v>9</v>
      </c>
      <c r="E14" s="3" t="inlineStr">
        <is>
          <t>第 2 梯隊；R22 舊規則：S2、S5 唔過</t>
        </is>
      </c>
    </row>
    <row r="15">
      <c r="A15" s="2" t="inlineStr">
        <is>
          <t>新上榜</t>
        </is>
      </c>
      <c r="B15" s="31" t="inlineStr">
        <is>
          <t>UMAC</t>
        </is>
      </c>
      <c r="C15" s="6" t="n"/>
      <c r="D15" s="6" t="n">
        <v>10</v>
      </c>
      <c r="E15" s="3" t="inlineStr">
        <is>
          <t>第 2 梯隊；R22 舊規則：S1、S2、S4 唔過</t>
        </is>
      </c>
    </row>
    <row r="16">
      <c r="A16" s="2" t="inlineStr">
        <is>
          <t>新上榜</t>
        </is>
      </c>
      <c r="B16" s="31" t="inlineStr">
        <is>
          <t>UTMD</t>
        </is>
      </c>
      <c r="C16" s="6" t="n"/>
      <c r="D16" s="6" t="n">
        <v>12</v>
      </c>
      <c r="E16" s="3" t="inlineStr">
        <is>
          <t>第 2 梯隊；R22 舊規則：S3、S4、S5 唔過</t>
        </is>
      </c>
    </row>
    <row r="17">
      <c r="A17" s="2" t="inlineStr">
        <is>
          <t>新上榜</t>
        </is>
      </c>
      <c r="B17" s="31" t="inlineStr">
        <is>
          <t>RNG</t>
        </is>
      </c>
      <c r="C17" s="6" t="n"/>
      <c r="D17" s="6" t="n">
        <v>13</v>
      </c>
      <c r="E17" s="3" t="inlineStr">
        <is>
          <t>第 2 梯隊；R22 舊規則：S5 唔過</t>
        </is>
      </c>
    </row>
    <row r="18">
      <c r="A18" s="2" t="inlineStr">
        <is>
          <t>新上榜</t>
        </is>
      </c>
      <c r="B18" s="31" t="inlineStr">
        <is>
          <t>ASO</t>
        </is>
      </c>
      <c r="C18" s="6" t="n"/>
      <c r="D18" s="6" t="n">
        <v>14</v>
      </c>
      <c r="E18" s="3" t="inlineStr">
        <is>
          <t>第 2 梯隊；R22 舊規則：S2 唔過</t>
        </is>
      </c>
    </row>
    <row r="19">
      <c r="A19" s="2" t="inlineStr">
        <is>
          <t>新上榜</t>
        </is>
      </c>
      <c r="B19" s="31" t="inlineStr">
        <is>
          <t>BVS</t>
        </is>
      </c>
      <c r="C19" s="6" t="n"/>
      <c r="D19" s="6" t="n">
        <v>15</v>
      </c>
      <c r="E19" s="3" t="inlineStr">
        <is>
          <t>第 2 梯隊；R22 舊規則：S1、S2、S4、S5 唔過</t>
        </is>
      </c>
    </row>
    <row r="20">
      <c r="A20" s="2" t="inlineStr">
        <is>
          <t>新上榜</t>
        </is>
      </c>
      <c r="B20" s="31" t="inlineStr">
        <is>
          <t>BBNX</t>
        </is>
      </c>
      <c r="C20" s="6" t="n"/>
      <c r="D20" s="6" t="n">
        <v>17</v>
      </c>
      <c r="E20" s="3" t="inlineStr">
        <is>
          <t>第 2 梯隊；R22 舊規則：S2 唔過</t>
        </is>
      </c>
    </row>
    <row r="21">
      <c r="A21" s="2" t="inlineStr">
        <is>
          <t>新上榜</t>
        </is>
      </c>
      <c r="B21" s="31" t="inlineStr">
        <is>
          <t>PKOH</t>
        </is>
      </c>
      <c r="C21" s="6" t="n"/>
      <c r="D21" s="6" t="n">
        <v>18</v>
      </c>
      <c r="E21" s="3" t="inlineStr">
        <is>
          <t>第 2 梯隊；R22 舊規則：S2、S4 唔過</t>
        </is>
      </c>
    </row>
    <row r="22">
      <c r="A22" s="2" t="inlineStr">
        <is>
          <t>新上榜</t>
        </is>
      </c>
      <c r="B22" s="31" t="inlineStr">
        <is>
          <t>KN</t>
        </is>
      </c>
      <c r="C22" s="6" t="n"/>
      <c r="D22" s="6" t="n">
        <v>19</v>
      </c>
      <c r="E22" s="3" t="inlineStr">
        <is>
          <t>第 2 梯隊；R22 舊規則：S1、S2、S4、S5 唔過</t>
        </is>
      </c>
    </row>
    <row r="23">
      <c r="A23" s="2" t="inlineStr">
        <is>
          <t>新上榜</t>
        </is>
      </c>
      <c r="B23" s="31" t="inlineStr">
        <is>
          <t>FLXS</t>
        </is>
      </c>
      <c r="C23" s="6" t="n"/>
      <c r="D23" s="6" t="n">
        <v>20</v>
      </c>
      <c r="E23" s="3" t="inlineStr">
        <is>
          <t>第 2 梯隊；R22 舊規則：S2、S3、S5 唔過</t>
        </is>
      </c>
    </row>
    <row r="24">
      <c r="A24" s="2" t="inlineStr">
        <is>
          <t>新上榜</t>
        </is>
      </c>
      <c r="B24" s="31" t="inlineStr">
        <is>
          <t>AVTR</t>
        </is>
      </c>
      <c r="C24" s="6" t="n"/>
      <c r="D24" s="6" t="n">
        <v>21</v>
      </c>
      <c r="E24" s="3" t="inlineStr">
        <is>
          <t>第 2 梯隊；R22 舊規則：S4 唔過</t>
        </is>
      </c>
    </row>
    <row r="25">
      <c r="A25" s="2" t="inlineStr">
        <is>
          <t>新上榜</t>
        </is>
      </c>
      <c r="B25" s="31" t="inlineStr">
        <is>
          <t>AMBA</t>
        </is>
      </c>
      <c r="C25" s="6" t="n"/>
      <c r="D25" s="6" t="n">
        <v>22</v>
      </c>
      <c r="E25" s="3" t="inlineStr">
        <is>
          <t>第 2 梯隊；R22 舊規則：S1、S2 唔過</t>
        </is>
      </c>
    </row>
    <row r="26">
      <c r="A26" s="2" t="inlineStr">
        <is>
          <t>跌出</t>
        </is>
      </c>
      <c r="B26" s="7" t="inlineStr">
        <is>
          <t>IRD</t>
        </is>
      </c>
      <c r="C26" s="6" t="n">
        <v>1</v>
      </c>
      <c r="D26" s="6" t="n"/>
      <c r="E26" s="3" t="inlineStr">
        <is>
          <t>C3 回落20MA：收市距 MA20 -6.2%；C4 波幅減低：ATR5/ATR20 0.69（要 ≤0.9）；ATR5 係升浪期 ATR 嘅 0.83×（要 ≤0.7）</t>
        </is>
      </c>
    </row>
    <row r="27">
      <c r="A27" s="2" t="inlineStr">
        <is>
          <t>跌出</t>
        </is>
      </c>
      <c r="B27" s="7" t="inlineStr">
        <is>
          <t>TTRX</t>
        </is>
      </c>
      <c r="C27" s="6" t="n">
        <v>2</v>
      </c>
      <c r="D27" s="6" t="n"/>
      <c r="E27" s="3" t="inlineStr">
        <is>
          <t>C3 回落20MA：收市距 MA20 +9.8%；C4 波幅減低：ATR5/ATR20 0.89（要 ≤0.9）；ATR5 係升浪期 ATR 嘅 0.98×（要 ≤0.7）</t>
        </is>
      </c>
    </row>
    <row r="28">
      <c r="A28" s="2" t="inlineStr">
        <is>
          <t>跌出</t>
        </is>
      </c>
      <c r="B28" s="7" t="inlineStr">
        <is>
          <t>DELL</t>
        </is>
      </c>
      <c r="C28" s="6" t="n">
        <v>3</v>
      </c>
      <c r="D28" s="6" t="n"/>
      <c r="E28" s="3" t="inlineStr">
        <is>
          <t>C1b 熱錢：升浪成交額係之前 60 日嘅 1.18×（要 ≥2.0×）</t>
        </is>
      </c>
    </row>
    <row r="29">
      <c r="A29" s="2" t="inlineStr">
        <is>
          <t>跌出</t>
        </is>
      </c>
      <c r="B29" s="7" t="inlineStr">
        <is>
          <t>TITN</t>
        </is>
      </c>
      <c r="C29" s="6" t="n">
        <v>5</v>
      </c>
      <c r="D29" s="6" t="n"/>
      <c r="E29" s="3" t="inlineStr">
        <is>
          <t>C1b 熱錢：升浪成交額係之前 60 日嘅 1.45×（要 ≥2.0×）；C3 回落20MA：收市距 MA20 -3.3%</t>
        </is>
      </c>
    </row>
    <row r="30">
      <c r="A30" s="2" t="inlineStr">
        <is>
          <t>跌出</t>
        </is>
      </c>
      <c r="B30" s="7" t="inlineStr">
        <is>
          <t>ESTC</t>
        </is>
      </c>
      <c r="C30" s="6" t="n">
        <v>6</v>
      </c>
      <c r="D30" s="6" t="n"/>
      <c r="E30" s="3" t="inlineStr">
        <is>
          <t>C1b 熱錢：升浪成交額係之前 60 日嘅 1.51×（要 ≥2.0×）；C3 回落20MA：MA20 唔係向上；收市距 MA20 +3.7%；C4 波幅減低：ATR5/ATR20 0.92（要 ≤0.9）；ATR5 係升浪期 ATR 嘅 0.73×（要 ≤0.7）</t>
        </is>
      </c>
    </row>
    <row r="31">
      <c r="A31" s="2" t="inlineStr">
        <is>
          <t>跌出</t>
        </is>
      </c>
      <c r="B31" s="7" t="inlineStr">
        <is>
          <t>FIVN</t>
        </is>
      </c>
      <c r="C31" s="6" t="n">
        <v>7</v>
      </c>
      <c r="D31" s="6" t="n"/>
      <c r="E31" s="3" t="inlineStr">
        <is>
          <t>C1a 事件日：高位前 60 日最大量日只有 5.8× 50日均量（當日 -0.5%）；要 ≥3× 兼當日 ≥+8% 或開市跳空 ≥+5%；C1b 熱錢：升浪成交額係之前 60 日嘅 1.17×（要 ≥2.0×）；C4 波幅減低：ATR5/ATR20 0.77（要 ≤0.9）；ATR5 係升浪期 ATR 嘅 0.71×（要 ≤0.7）</t>
        </is>
      </c>
    </row>
    <row r="32">
      <c r="A32" s="2" t="inlineStr">
        <is>
          <t>跌出</t>
        </is>
      </c>
      <c r="B32" s="7" t="inlineStr">
        <is>
          <t>DHX</t>
        </is>
      </c>
      <c r="C32" s="6" t="n">
        <v>8</v>
      </c>
      <c r="D32" s="6" t="n"/>
      <c r="E32" s="3" t="inlineStr">
        <is>
          <t>C1a 事件日：高位前 60 日最大量日只有 3.0× 50日均量（當日 +3.8%）；要 ≥3× 兼當日 ≥+8% 或開市跳空 ≥+5%；C1b 熱錢：升浪成交額係之前 60 日嘅 1.10×（要 ≥2.0×）</t>
        </is>
      </c>
    </row>
    <row r="33">
      <c r="A33" s="2" t="inlineStr">
        <is>
          <t>跌出</t>
        </is>
      </c>
      <c r="B33" s="7" t="inlineStr">
        <is>
          <t>VLO</t>
        </is>
      </c>
      <c r="C33" s="6" t="n">
        <v>9</v>
      </c>
      <c r="D33" s="6" t="n"/>
      <c r="E33" s="3" t="inlineStr">
        <is>
          <t>C1a 事件日：高位前 60 日最大量日只有 3.4× 50日均量（當日 +0.2%）；要 ≥3× 兼當日 ≥+8% 或開市跳空 ≥+5%；C1b 熱錢：升浪成交額係之前 60 日嘅 1.25×（要 ≥2.0×）；C4 波幅減低：ATR5/ATR20 0.92（要 ≤0.9）；ATR5 係升浪期 ATR 嘅 1.04×（要 ≤0.7）</t>
        </is>
      </c>
    </row>
    <row r="34">
      <c r="A34" s="2" t="inlineStr">
        <is>
          <t>跌出</t>
        </is>
      </c>
      <c r="B34" s="7" t="inlineStr">
        <is>
          <t>SNOW</t>
        </is>
      </c>
      <c r="C34" s="6" t="n">
        <v>11</v>
      </c>
      <c r="D34" s="6" t="n"/>
      <c r="E34" s="3" t="inlineStr">
        <is>
          <t>C1b 熱錢：升浪成交額係之前 60 日嘅 1.00×（要 ≥2.0×）；C4 波幅減低：ATR5/ATR20 0.80（要 ≤0.9）；ATR5 係升浪期 ATR 嘅 0.83×（要 ≤0.7）</t>
        </is>
      </c>
    </row>
    <row r="35">
      <c r="A35" s="2" t="inlineStr">
        <is>
          <t>跌出</t>
        </is>
      </c>
      <c r="B35" s="7" t="inlineStr">
        <is>
          <t>MPC</t>
        </is>
      </c>
      <c r="C35" s="6" t="n">
        <v>12</v>
      </c>
      <c r="D35" s="6" t="n"/>
      <c r="E35" s="3" t="inlineStr">
        <is>
          <t>C1a 事件日：高位前 60 日最大量日只有 4.2× 50日均量（當日 +0.7%）；要 ≥3× 兼當日 ≥+8% 或開市跳空 ≥+5%；C1b 熱錢：升浪成交額係之前 60 日嘅 1.46×（要 ≥2.0×）；C4 波幅減低：ATR5/ATR20 0.87（要 ≤0.9）；ATR5 係升浪期 ATR 嘅 1.01×（要 ≤0.7）</t>
        </is>
      </c>
    </row>
    <row r="36">
      <c r="A36" s="2" t="inlineStr">
        <is>
          <t>跌出</t>
        </is>
      </c>
      <c r="B36" s="7" t="inlineStr">
        <is>
          <t>KGEI</t>
        </is>
      </c>
      <c r="C36" s="6" t="n">
        <v>13</v>
      </c>
      <c r="D36" s="6" t="n"/>
      <c r="E36" s="3" t="inlineStr">
        <is>
          <t>C1a 事件日：高位前 60 日最大量日只有 2.4× 50日均量（當日 +0.4%）；要 ≥3× 兼當日 ≥+8% 或開市跳空 ≥+5%；C1b 熱錢：升浪成交額係之前 60 日嘅 0.69×（要 ≥2.0×）；C3 回落20MA：收市距 MA20 -5.1%；C4 波幅減低：ATR5/ATR20 0.93（要 ≤0.9）；ATR5 係升浪期 ATR 嘅 0.81×（要 ≤0.7）</t>
        </is>
      </c>
    </row>
    <row r="37">
      <c r="A37" s="2" t="inlineStr">
        <is>
          <t>跌出</t>
        </is>
      </c>
      <c r="B37" s="7" t="inlineStr">
        <is>
          <t>IBTA</t>
        </is>
      </c>
      <c r="C37" s="6" t="n">
        <v>14</v>
      </c>
      <c r="D37" s="6" t="n"/>
      <c r="E37" s="3" t="inlineStr">
        <is>
          <t>C1b 熱錢：升浪成交額係之前 60 日嘅 1.70×（要 ≥2.0×）；C4 波幅減低：ATR5/ATR20 1.04（要 ≤0.9）；ATR5 係升浪期 ATR 嘅 0.63×（要 ≤0.7）</t>
        </is>
      </c>
    </row>
    <row r="38">
      <c r="A38" s="2" t="inlineStr">
        <is>
          <t>跌出</t>
        </is>
      </c>
      <c r="B38" s="7" t="inlineStr">
        <is>
          <t>ELMT</t>
        </is>
      </c>
      <c r="C38" s="6" t="n">
        <v>15</v>
      </c>
      <c r="D38" s="6" t="n"/>
      <c r="E38" s="3" t="inlineStr">
        <is>
          <t>C1b 熱錢：升浪成交額係之前 60 日嘅 1.49×（要 ≥2.0×）；C3 回落20MA：收市距 MA20 +4.9%；C4 波幅減低：ATR5/ATR20 0.69（要 ≤0.9）；ATR5 係升浪期 ATR 嘅 0.81×（要 ≤0.7）</t>
        </is>
      </c>
    </row>
    <row r="39">
      <c r="A39" s="2" t="inlineStr">
        <is>
          <t>跌出</t>
        </is>
      </c>
      <c r="B39" s="7" t="inlineStr">
        <is>
          <t>LPG</t>
        </is>
      </c>
      <c r="C39" s="6" t="n">
        <v>16</v>
      </c>
      <c r="D39" s="6" t="n"/>
      <c r="E39" s="3" t="inlineStr">
        <is>
          <t>C1a 事件日：高位前 60 日最大量日只有 2.3× 50日均量（當日 -2.4%）；要 ≥3× 兼當日 ≥+8% 或開市跳空 ≥+5%；C1b 熱錢：升浪成交額係之前 60 日嘅 1.10×（要 ≥2.0×）；C4 波幅減低：ATR5/ATR20 1.05（要 ≤0.9）；ATR5 係升浪期 ATR 嘅 0.94×（要 ≤0.7）</t>
        </is>
      </c>
    </row>
    <row r="40">
      <c r="A40" s="2" t="inlineStr">
        <is>
          <t>跌出</t>
        </is>
      </c>
      <c r="B40" s="7" t="inlineStr">
        <is>
          <t>DC</t>
        </is>
      </c>
      <c r="C40" s="6" t="n">
        <v>17</v>
      </c>
      <c r="D40" s="6" t="n"/>
      <c r="E40" s="3" t="inlineStr">
        <is>
          <t>C1a 事件日：高位前 60 日最大量日只有 4.9× 50日均量（當日 +3.9%）；要 ≥3× 兼當日 ≥+8% 或開市跳空 ≥+5%；C1b 熱錢：升浪成交額係之前 60 日嘅 1.09×（要 ≥2.0×）；C4 波幅減低：ATR5/ATR20 0.84（要 ≤0.9）；ATR5 係升浪期 ATR 嘅 0.84×（要 ≤0.7）</t>
        </is>
      </c>
    </row>
    <row r="41">
      <c r="A41" s="2" t="inlineStr">
        <is>
          <t>跌出</t>
        </is>
      </c>
      <c r="B41" s="7" t="inlineStr">
        <is>
          <t>BBY</t>
        </is>
      </c>
      <c r="C41" s="6" t="n">
        <v>18</v>
      </c>
      <c r="D41" s="6" t="n"/>
      <c r="E41" s="3" t="inlineStr">
        <is>
          <t>C1a 事件日：高位前 60 日最大量日只有 2.5× 50日均量（當日 -4.4%）；要 ≥3× 兼當日 ≥+8% 或開市跳空 ≥+5%；C1b 熱錢：升浪成交額係之前 60 日嘅 1.16×（要 ≥2.0×）；C4 波幅減低：ATR5/ATR20 0.88（要 ≤0.9）；ATR5 係升浪期 ATR 嘅 0.84×（要 ≤0.7）</t>
        </is>
      </c>
    </row>
    <row r="42">
      <c r="A42" s="2" t="inlineStr">
        <is>
          <t>跌出</t>
        </is>
      </c>
      <c r="B42" s="7" t="inlineStr">
        <is>
          <t>TH</t>
        </is>
      </c>
      <c r="C42" s="6" t="n">
        <v>19</v>
      </c>
      <c r="D42" s="6" t="n"/>
      <c r="E42" s="3" t="inlineStr">
        <is>
          <t>C1a 事件日：高位前 60 日最大量日只有 9.2× 50日均量（當日 -5.2%）；要 ≥3× 兼當日 ≥+8% 或開市跳空 ≥+5%；C1b 熱錢：升浪成交額係之前 60 日嘅 1.35×（要 ≥2.0×）；C4 波幅減低：ATR5/ATR20 1.03（要 ≤0.9）；ATR5 係升浪期 ATR 嘅 0.87×（要 ≤0.7）</t>
        </is>
      </c>
    </row>
    <row r="43">
      <c r="A43" s="2" t="inlineStr">
        <is>
          <t>跌出</t>
        </is>
      </c>
      <c r="B43" s="7" t="inlineStr">
        <is>
          <t>DINO</t>
        </is>
      </c>
      <c r="C43" s="6" t="n">
        <v>20</v>
      </c>
      <c r="D43" s="6" t="n"/>
      <c r="E43" s="3" t="inlineStr">
        <is>
          <t>C1a 事件日：高位前 60 日最大量日只有 1.9× 50日均量（當日 +2.8%）；要 ≥3× 兼當日 ≥+8% 或開市跳空 ≥+5%；C1b 熱錢：升浪成交額係之前 60 日嘅 1.59×（要 ≥2.0×）；C4 波幅減低：ATR5/ATR20 0.86（要 ≤0.9）；ATR5 係升浪期 ATR 嘅 0.93×（要 ≤0.7）</t>
        </is>
      </c>
    </row>
    <row r="44">
      <c r="A44" s="2" t="inlineStr">
        <is>
          <t>跌出</t>
        </is>
      </c>
      <c r="B44" s="7" t="inlineStr">
        <is>
          <t>PSX</t>
        </is>
      </c>
      <c r="C44" s="6" t="n">
        <v>21</v>
      </c>
      <c r="D44" s="6" t="n"/>
      <c r="E44" s="3" t="inlineStr">
        <is>
          <t>C1a 事件日：高位前 60 日最大量日只有 1.6× 50日均量（當日 +1.1%）；要 ≥3× 兼當日 ≥+8% 或開市跳空 ≥+5%；C1b 熱錢：升浪成交額係之前 60 日嘅 1.30×（要 ≥2.0×）；C4 波幅減低：ATR5/ATR20 0.84（要 ≤0.9）；ATR5 係升浪期 ATR 嘅 0.88×（要 ≤0.7）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1" customWidth="1" min="4" max="4"/>
    <col width="9" customWidth="1" min="5" max="5"/>
    <col width="10" customWidth="1" min="6" max="6"/>
    <col width="10" customWidth="1" min="7" max="7"/>
    <col width="18" customWidth="1" min="8" max="8"/>
    <col width="30" customWidth="1" min="9" max="9"/>
    <col width="8" customWidth="1" min="10" max="10"/>
    <col width="40" customWidth="1" min="11" max="11"/>
  </cols>
  <sheetData>
    <row r="1">
      <c r="A1" s="1" t="inlineStr">
        <is>
          <t>R22 名單（2026-09-28 收市）之後 2 個交易日點行（至 2026-09-30 收市）</t>
        </is>
      </c>
    </row>
    <row r="3" ht="32" customHeight="1">
      <c r="A3" s="29" t="inlineStr">
        <is>
          <t>整體</t>
        </is>
      </c>
      <c r="B3" s="3" t="inlineStr">
        <is>
          <t>R22 21 隻由 2026-09-28 收市到 2026-09-30 收市（2 個交易日）中位數 +0.69%，11 隻升；同期全體合資格股票中位數 -1.02%。最好 TTRX +10.4%，最差 PLSE -4.6%。</t>
        </is>
      </c>
    </row>
    <row r="4" ht="32" customHeight="1">
      <c r="A4" s="29" t="inlineStr">
        <is>
          <t>排名有冇用</t>
        </is>
      </c>
      <c r="B4" s="3" t="inlineStr">
        <is>
          <t>前 10 名中位數 -0.75%（4/10 升），其餘 +1.05%（7/11 升）；爆發潛力分數同期間回報嘅排名相關 -0.12。2 日樣本，唔可以當證明。</t>
        </is>
      </c>
    </row>
    <row r="5" ht="32" customHeight="1">
      <c r="A5" s="29" t="inlineStr">
        <is>
          <t>收市喺 MA20 上定下</t>
        </is>
      </c>
      <c r="B5" s="3" t="inlineStr">
        <is>
          <t>2026-09-28 收市企喺 MA20 上面嘅 6 隻中位數 -1.23%；收喺 MA20 下面嘅 15 隻 +1.25%。</t>
        </is>
      </c>
    </row>
    <row r="6" ht="32" customHeight="1">
      <c r="A6" s="29" t="inlineStr">
        <is>
          <t>審視標記</t>
        </is>
      </c>
      <c r="B6" s="3" t="inlineStr">
        <is>
          <t>有標記嘅 12 隻中位數 +0.10%，冇標記嘅 9 隻 +1.25%。</t>
        </is>
      </c>
    </row>
    <row r="7" ht="32" customHeight="1">
      <c r="A7" s="29" t="inlineStr">
        <is>
          <t>而家狀態</t>
        </is>
      </c>
      <c r="B7" s="3" t="inlineStr">
        <is>
          <t>仍喺 MA20 附近 13 隻；跌穿 MA20 超過 3% 3 隻；已反彈離開 MA20 3 隻；符合新條件（第 2 梯隊） 2 隻</t>
        </is>
      </c>
    </row>
    <row r="9" ht="42" customHeight="1">
      <c r="A9" s="4" t="inlineStr">
        <is>
          <t>R22 排名</t>
        </is>
      </c>
      <c r="B9" s="4" t="inlineStr">
        <is>
          <t>代號</t>
        </is>
      </c>
      <c r="C9" s="4" t="inlineStr">
        <is>
          <t>2026-09-28 收市</t>
        </is>
      </c>
      <c r="D9" s="4" t="inlineStr">
        <is>
          <t>2026-09-30 收市</t>
        </is>
      </c>
      <c r="E9" s="4" t="inlineStr">
        <is>
          <t>期間回報</t>
        </is>
      </c>
      <c r="F9" s="4" t="inlineStr">
        <is>
          <t>減大市中位數</t>
        </is>
      </c>
      <c r="G9" s="4" t="inlineStr">
        <is>
          <t>2026-09-30 距 MA20%</t>
        </is>
      </c>
      <c r="H9" s="4" t="inlineStr">
        <is>
          <t>狀態</t>
        </is>
      </c>
      <c r="I9" s="4" t="inlineStr">
        <is>
          <t>新條件唔過嘅</t>
        </is>
      </c>
      <c r="J9" s="4" t="inlineStr">
        <is>
          <t>R23.00 排名</t>
        </is>
      </c>
      <c r="K9" s="4" t="inlineStr">
        <is>
          <t>R22 標記</t>
        </is>
      </c>
    </row>
    <row r="10">
      <c r="A10" s="6" t="n">
        <v>1</v>
      </c>
      <c r="B10" s="7" t="inlineStr">
        <is>
          <t>IRD</t>
        </is>
      </c>
      <c r="C10" s="10" t="n">
        <v>5.07</v>
      </c>
      <c r="D10" s="10" t="n">
        <v>4.84</v>
      </c>
      <c r="E10" s="11">
        <f>D10/C10-1</f>
        <v/>
      </c>
      <c r="F10" s="11">
        <f>E10-(-0.010241163364280326)</f>
        <v/>
      </c>
      <c r="G10" s="16" t="n">
        <v>-0.0625</v>
      </c>
      <c r="H10" s="2" t="inlineStr">
        <is>
          <t>跌穿 MA20 超過 3%</t>
        </is>
      </c>
      <c r="I10" s="3" t="inlineStr">
        <is>
          <t>C3 回落20MA、C4 波幅減低</t>
        </is>
      </c>
      <c r="J10" s="6" t="n"/>
      <c r="K10" s="3" t="inlineStr">
        <is>
          <t>二元事件就喺今個星期：10 月 1–4 日 EURETINA 大會公佈 OPGx-BEST1 詳細數據；R21 已標記佢嘅升浪同回調都係臨床消息帶動</t>
        </is>
      </c>
    </row>
    <row r="11">
      <c r="A11" s="6" t="n">
        <v>2</v>
      </c>
      <c r="B11" s="7" t="inlineStr">
        <is>
          <t>TTRX</t>
        </is>
      </c>
      <c r="C11" s="10" t="n">
        <v>13.04</v>
      </c>
      <c r="D11" s="10" t="n">
        <v>14.39</v>
      </c>
      <c r="E11" s="11">
        <f>D11/C11-1</f>
        <v/>
      </c>
      <c r="F11" s="11">
        <f>E11-(-0.010241163364280326)</f>
        <v/>
      </c>
      <c r="G11" s="16" t="n">
        <v>0.0979</v>
      </c>
      <c r="H11" s="2" t="inlineStr">
        <is>
          <t>已反彈離開 MA20</t>
        </is>
      </c>
      <c r="I11" s="3" t="inlineStr">
        <is>
          <t>C3 回落20MA、C4 波幅減低</t>
        </is>
      </c>
      <c r="J11" s="6" t="n"/>
      <c r="K11" s="3" t="inlineStr">
        <is>
          <t>回調唔係有序回落：期內有一日跌 -11.6%；臨床期生物科技，升浪由試驗消息帶動（3 月 $3.22 → 9 月約 $14.8），唔係業績動能；20 日成交額中位數只有 $1.7M（股票池下限 $1M），入市出市都會有滑價</t>
        </is>
      </c>
    </row>
    <row r="12">
      <c r="A12" s="6" t="n">
        <v>3</v>
      </c>
      <c r="B12" s="27" t="inlineStr">
        <is>
          <t>DELL</t>
        </is>
      </c>
      <c r="C12" s="10" t="n">
        <v>543.42</v>
      </c>
      <c r="D12" s="10" t="n">
        <v>537.95</v>
      </c>
      <c r="E12" s="11">
        <f>D12/C12-1</f>
        <v/>
      </c>
      <c r="F12" s="11">
        <f>E12-(-0.010241163364280326)</f>
        <v/>
      </c>
      <c r="G12" s="16" t="n">
        <v>-0.01</v>
      </c>
      <c r="H12" s="2" t="inlineStr">
        <is>
          <t>仍喺 MA20 附近</t>
        </is>
      </c>
      <c r="I12" s="3" t="inlineStr">
        <is>
          <t>C1b 熱錢</t>
        </is>
      </c>
      <c r="J12" s="6" t="n"/>
      <c r="K12" s="3" t="inlineStr"/>
    </row>
    <row r="13">
      <c r="A13" s="6" t="n">
        <v>4</v>
      </c>
      <c r="B13" s="7" t="inlineStr">
        <is>
          <t>PLSE</t>
        </is>
      </c>
      <c r="C13" s="10" t="n">
        <v>52.32</v>
      </c>
      <c r="D13" s="10" t="n">
        <v>49.92</v>
      </c>
      <c r="E13" s="11">
        <f>D13/C13-1</f>
        <v/>
      </c>
      <c r="F13" s="11">
        <f>E13-(-0.010241163364280326)</f>
        <v/>
      </c>
      <c r="G13" s="16" t="n">
        <v>-0.0473</v>
      </c>
      <c r="H13" s="2" t="inlineStr">
        <is>
          <t>符合新條件（第 2 梯隊）</t>
        </is>
      </c>
      <c r="I13" s="3" t="inlineStr">
        <is>
          <t>C3 回落20MA、C4 波幅減低</t>
        </is>
      </c>
      <c r="J13" s="6" t="n">
        <v>16</v>
      </c>
      <c r="K13" s="3" t="inlineStr">
        <is>
          <t>回調唔係有序回落：期內有一日跌 -10.1%</t>
        </is>
      </c>
    </row>
    <row r="14">
      <c r="A14" s="6" t="n">
        <v>5</v>
      </c>
      <c r="B14" s="7" t="inlineStr">
        <is>
          <t>TITN</t>
        </is>
      </c>
      <c r="C14" s="10" t="n">
        <v>23.47</v>
      </c>
      <c r="D14" s="10" t="n">
        <v>23.08</v>
      </c>
      <c r="E14" s="11">
        <f>D14/C14-1</f>
        <v/>
      </c>
      <c r="F14" s="11">
        <f>E14-(-0.010241163364280326)</f>
        <v/>
      </c>
      <c r="G14" s="16" t="n">
        <v>-0.0328</v>
      </c>
      <c r="H14" s="2" t="inlineStr">
        <is>
          <t>跌穿 MA20 超過 3%</t>
        </is>
      </c>
      <c r="I14" s="3" t="inlineStr">
        <is>
          <t>C1b 熱錢、C3 回落20MA</t>
        </is>
      </c>
      <c r="J14" s="6" t="n"/>
      <c r="K14" s="3" t="inlineStr">
        <is>
          <t>升浪來自券商升級（08-31 Baird），同期收入 −9.2%、虧損擴大 —— 動能冇基本面支持</t>
        </is>
      </c>
    </row>
    <row r="15">
      <c r="A15" s="6" t="n">
        <v>6</v>
      </c>
      <c r="B15" s="27" t="inlineStr">
        <is>
          <t>ESTC</t>
        </is>
      </c>
      <c r="C15" s="10" t="n">
        <v>87.95</v>
      </c>
      <c r="D15" s="10" t="n">
        <v>91.7</v>
      </c>
      <c r="E15" s="11">
        <f>D15/C15-1</f>
        <v/>
      </c>
      <c r="F15" s="11">
        <f>E15-(-0.010241163364280326)</f>
        <v/>
      </c>
      <c r="G15" s="16" t="n">
        <v>0.0369</v>
      </c>
      <c r="H15" s="2" t="inlineStr">
        <is>
          <t>已反彈離開 MA20</t>
        </is>
      </c>
      <c r="I15" s="3" t="inlineStr">
        <is>
          <t>C1b 熱錢、C3 回落20MA、C4 波幅減低</t>
        </is>
      </c>
      <c r="J15" s="6" t="n"/>
      <c r="K15" s="3" t="inlineStr"/>
    </row>
    <row r="16">
      <c r="A16" s="6" t="n">
        <v>7</v>
      </c>
      <c r="B16" s="27" t="inlineStr">
        <is>
          <t>FIVN</t>
        </is>
      </c>
      <c r="C16" s="10" t="n">
        <v>34.66</v>
      </c>
      <c r="D16" s="10" t="n">
        <v>34.01</v>
      </c>
      <c r="E16" s="11">
        <f>D16/C16-1</f>
        <v/>
      </c>
      <c r="F16" s="11">
        <f>E16-(-0.010241163364280326)</f>
        <v/>
      </c>
      <c r="G16" s="16" t="n">
        <v>0.0036</v>
      </c>
      <c r="H16" s="2" t="inlineStr">
        <is>
          <t>仍喺 MA20 附近</t>
        </is>
      </c>
      <c r="I16" s="3" t="inlineStr">
        <is>
          <t>C1a 事件日、C1b 熱錢、C4 波幅減低</t>
        </is>
      </c>
      <c r="J16" s="6" t="n"/>
      <c r="K16" s="3" t="inlineStr"/>
    </row>
    <row r="17">
      <c r="A17" s="6" t="n">
        <v>8</v>
      </c>
      <c r="B17" s="7" t="inlineStr">
        <is>
          <t>DHX</t>
        </is>
      </c>
      <c r="C17" s="10" t="n">
        <v>4.62</v>
      </c>
      <c r="D17" s="10" t="n">
        <v>4.7</v>
      </c>
      <c r="E17" s="11">
        <f>D17/C17-1</f>
        <v/>
      </c>
      <c r="F17" s="11">
        <f>E17-(-0.010241163364280326)</f>
        <v/>
      </c>
      <c r="G17" s="16" t="n">
        <v>0.0021</v>
      </c>
      <c r="H17" s="2" t="inlineStr">
        <is>
          <t>仍喺 MA20 附近</t>
        </is>
      </c>
      <c r="I17" s="3" t="inlineStr">
        <is>
          <t>C1a 事件日、C1b 熱錢</t>
        </is>
      </c>
      <c r="J17" s="6" t="n"/>
      <c r="K17" s="3" t="inlineStr">
        <is>
          <t>20 日成交額中位數只有 $1.3M（股票池下限 $1M），入市出市都會有滑價</t>
        </is>
      </c>
    </row>
    <row r="18">
      <c r="A18" s="6" t="n">
        <v>9</v>
      </c>
      <c r="B18" s="7" t="inlineStr">
        <is>
          <t>VLO</t>
        </is>
      </c>
      <c r="C18" s="10" t="n">
        <v>389.57</v>
      </c>
      <c r="D18" s="10" t="n">
        <v>387.61</v>
      </c>
      <c r="E18" s="11">
        <f>D18/C18-1</f>
        <v/>
      </c>
      <c r="F18" s="11">
        <f>E18-(-0.010241163364280326)</f>
        <v/>
      </c>
      <c r="G18" s="16" t="n">
        <v>0.0009</v>
      </c>
      <c r="H18" s="2" t="inlineStr">
        <is>
          <t>仍喺 MA20 附近</t>
        </is>
      </c>
      <c r="I18" s="3" t="inlineStr">
        <is>
          <t>C1a 事件日、C1b 熱錢、C4 波幅減低</t>
        </is>
      </c>
      <c r="J18" s="6" t="n"/>
      <c r="K18" s="3" t="inlineStr">
        <is>
          <t>同名單入面 MPC、DINO、PSX 同向（21 日相關系數中位數 +0.91，名單其餘 +0.07）：當一個交易睇</t>
        </is>
      </c>
    </row>
    <row r="19">
      <c r="A19" s="6" t="n">
        <v>10</v>
      </c>
      <c r="B19" s="7" t="inlineStr">
        <is>
          <t>PURR</t>
        </is>
      </c>
      <c r="C19" s="10" t="n">
        <v>12.08</v>
      </c>
      <c r="D19" s="10" t="n">
        <v>12.27</v>
      </c>
      <c r="E19" s="11">
        <f>D19/C19-1</f>
        <v/>
      </c>
      <c r="F19" s="11">
        <f>E19-(-0.010241163364280326)</f>
        <v/>
      </c>
      <c r="G19" s="16" t="n">
        <v>-0.0141</v>
      </c>
      <c r="H19" s="2" t="inlineStr">
        <is>
          <t>符合新條件（第 2 梯隊）</t>
        </is>
      </c>
      <c r="I19" s="3" t="inlineStr">
        <is>
          <t>C4 波幅減低</t>
        </is>
      </c>
      <c r="J19" s="6" t="n">
        <v>11</v>
      </c>
      <c r="K19" s="3" t="inlineStr">
        <is>
          <t>回調唔係有序回落：期內有一日跌 -8.8%；加密貨幣庫存公司，股價跟 HYPE 代幣走；09-25 監管負面消息</t>
        </is>
      </c>
    </row>
    <row r="20">
      <c r="A20" s="6" t="n">
        <v>11</v>
      </c>
      <c r="B20" s="27" t="inlineStr">
        <is>
          <t>SNOW</t>
        </is>
      </c>
      <c r="C20" s="10" t="n">
        <v>328.12</v>
      </c>
      <c r="D20" s="10" t="n">
        <v>339.56</v>
      </c>
      <c r="E20" s="11">
        <f>D20/C20-1</f>
        <v/>
      </c>
      <c r="F20" s="11">
        <f>E20-(-0.010241163364280326)</f>
        <v/>
      </c>
      <c r="G20" s="16" t="n">
        <v>0.0195</v>
      </c>
      <c r="H20" s="2" t="inlineStr">
        <is>
          <t>仍喺 MA20 附近</t>
        </is>
      </c>
      <c r="I20" s="3" t="inlineStr">
        <is>
          <t>C1b 熱錢、C4 波幅減低</t>
        </is>
      </c>
      <c r="J20" s="6" t="n"/>
      <c r="K20" s="3" t="inlineStr"/>
    </row>
    <row r="21">
      <c r="A21" s="6" t="n">
        <v>12</v>
      </c>
      <c r="B21" s="7" t="inlineStr">
        <is>
          <t>MPC</t>
        </is>
      </c>
      <c r="C21" s="10" t="n">
        <v>389.55</v>
      </c>
      <c r="D21" s="10" t="n">
        <v>395.42</v>
      </c>
      <c r="E21" s="11">
        <f>D21/C21-1</f>
        <v/>
      </c>
      <c r="F21" s="11">
        <f>E21-(-0.010241163364280326)</f>
        <v/>
      </c>
      <c r="G21" s="16" t="n">
        <v>-0.0064</v>
      </c>
      <c r="H21" s="2" t="inlineStr">
        <is>
          <t>仍喺 MA20 附近</t>
        </is>
      </c>
      <c r="I21" s="3" t="inlineStr">
        <is>
          <t>C1a 事件日、C1b 熱錢、C4 波幅減低</t>
        </is>
      </c>
      <c r="J21" s="6" t="n"/>
      <c r="K21" s="3" t="inlineStr">
        <is>
          <t>同名單入面 VLO、DINO、PSX 同向（21 日相關系數中位數 +0.91，名單其餘 +0.07）：當一個交易睇</t>
        </is>
      </c>
    </row>
    <row r="22">
      <c r="A22" s="6" t="n">
        <v>13</v>
      </c>
      <c r="B22" s="7" t="inlineStr">
        <is>
          <t>KGEI</t>
        </is>
      </c>
      <c r="C22" s="10" t="n">
        <v>6.44</v>
      </c>
      <c r="D22" s="10" t="n">
        <v>6.18</v>
      </c>
      <c r="E22" s="11">
        <f>D22/C22-1</f>
        <v/>
      </c>
      <c r="F22" s="11">
        <f>E22-(-0.010241163364280326)</f>
        <v/>
      </c>
      <c r="G22" s="16" t="n">
        <v>-0.0511</v>
      </c>
      <c r="H22" s="2" t="inlineStr">
        <is>
          <t>跌穿 MA20 超過 3%</t>
        </is>
      </c>
      <c r="I22" s="3" t="inlineStr">
        <is>
          <t>C1a 事件日、C1b 熱錢、C3 回落20MA、C4 波幅減低</t>
        </is>
      </c>
      <c r="J22" s="6" t="n"/>
      <c r="K22" s="3" t="inlineStr">
        <is>
          <t>今日放量（1.8× 50日均量）收喺 20MA 下面；20 日成交額中位數只有 $1.0M（股票池下限 $1M），入市出市都會有滑價</t>
        </is>
      </c>
    </row>
    <row r="23">
      <c r="A23" s="6" t="n">
        <v>14</v>
      </c>
      <c r="B23" s="7" t="inlineStr">
        <is>
          <t>IBTA</t>
        </is>
      </c>
      <c r="C23" s="10" t="n">
        <v>40.05</v>
      </c>
      <c r="D23" s="10" t="n">
        <v>39.4</v>
      </c>
      <c r="E23" s="11">
        <f>D23/C23-1</f>
        <v/>
      </c>
      <c r="F23" s="11">
        <f>E23-(-0.010241163364280326)</f>
        <v/>
      </c>
      <c r="G23" s="16" t="n">
        <v>-0.0225</v>
      </c>
      <c r="H23" s="2" t="inlineStr">
        <is>
          <t>仍喺 MA20 附近</t>
        </is>
      </c>
      <c r="I23" s="3" t="inlineStr">
        <is>
          <t>C1b 熱錢、C4 波幅減低</t>
        </is>
      </c>
      <c r="J23" s="6" t="n"/>
      <c r="K23" s="3" t="inlineStr">
        <is>
          <t>升幅過半來自單日：2026-07-31 起計升 77%，最大單日 +51.9%</t>
        </is>
      </c>
    </row>
    <row r="24">
      <c r="A24" s="6" t="n">
        <v>15</v>
      </c>
      <c r="B24" s="27" t="inlineStr">
        <is>
          <t>ELMT</t>
        </is>
      </c>
      <c r="C24" s="10" t="n">
        <v>18.605</v>
      </c>
      <c r="D24" s="10" t="n">
        <v>19.96</v>
      </c>
      <c r="E24" s="11">
        <f>D24/C24-1</f>
        <v/>
      </c>
      <c r="F24" s="11">
        <f>E24-(-0.010241163364280326)</f>
        <v/>
      </c>
      <c r="G24" s="16" t="n">
        <v>0.0485</v>
      </c>
      <c r="H24" s="2" t="inlineStr">
        <is>
          <t>已反彈離開 MA20</t>
        </is>
      </c>
      <c r="I24" s="3" t="inlineStr">
        <is>
          <t>C1b 熱錢、C3 回落20MA、C4 波幅減低</t>
        </is>
      </c>
      <c r="J24" s="6" t="n"/>
      <c r="K24" s="3" t="inlineStr"/>
    </row>
    <row r="25">
      <c r="A25" s="6" t="n">
        <v>16</v>
      </c>
      <c r="B25" s="27" t="inlineStr">
        <is>
          <t>LPG</t>
        </is>
      </c>
      <c r="C25" s="10" t="n">
        <v>54.38</v>
      </c>
      <c r="D25" s="10" t="n">
        <v>55.06</v>
      </c>
      <c r="E25" s="11">
        <f>D25/C25-1</f>
        <v/>
      </c>
      <c r="F25" s="11">
        <f>E25-(-0.010241163364280326)</f>
        <v/>
      </c>
      <c r="G25" s="16" t="n">
        <v>0.0024</v>
      </c>
      <c r="H25" s="2" t="inlineStr">
        <is>
          <t>仍喺 MA20 附近</t>
        </is>
      </c>
      <c r="I25" s="3" t="inlineStr">
        <is>
          <t>C1a 事件日、C1b 熱錢、C4 波幅減低</t>
        </is>
      </c>
      <c r="J25" s="6" t="n"/>
      <c r="K25" s="3" t="inlineStr"/>
    </row>
    <row r="26">
      <c r="A26" s="6" t="n">
        <v>17</v>
      </c>
      <c r="B26" s="27" t="inlineStr">
        <is>
          <t>DC</t>
        </is>
      </c>
      <c r="C26" s="10" t="n">
        <v>6.18</v>
      </c>
      <c r="D26" s="10" t="n">
        <v>6.09</v>
      </c>
      <c r="E26" s="11">
        <f>D26/C26-1</f>
        <v/>
      </c>
      <c r="F26" s="11">
        <f>E26-(-0.010241163364280326)</f>
        <v/>
      </c>
      <c r="G26" s="16" t="n">
        <v>-0.0094</v>
      </c>
      <c r="H26" s="2" t="inlineStr">
        <is>
          <t>仍喺 MA20 附近</t>
        </is>
      </c>
      <c r="I26" s="3" t="inlineStr">
        <is>
          <t>C1a 事件日、C1b 熱錢、C4 波幅減低</t>
        </is>
      </c>
      <c r="J26" s="6" t="n"/>
      <c r="K26" s="3" t="inlineStr"/>
    </row>
    <row r="27">
      <c r="A27" s="6" t="n">
        <v>18</v>
      </c>
      <c r="B27" s="27" t="inlineStr">
        <is>
          <t>BBY</t>
        </is>
      </c>
      <c r="C27" s="10" t="n">
        <v>89.95999999999999</v>
      </c>
      <c r="D27" s="10" t="n">
        <v>88.23999999999999</v>
      </c>
      <c r="E27" s="11">
        <f>D27/C27-1</f>
        <v/>
      </c>
      <c r="F27" s="11">
        <f>E27-(-0.010241163364280326)</f>
        <v/>
      </c>
      <c r="G27" s="16" t="n">
        <v>-0.0283</v>
      </c>
      <c r="H27" s="2" t="inlineStr">
        <is>
          <t>仍喺 MA20 附近</t>
        </is>
      </c>
      <c r="I27" s="3" t="inlineStr">
        <is>
          <t>C1a 事件日、C1b 熱錢、C4 波幅減低</t>
        </is>
      </c>
      <c r="J27" s="6" t="n"/>
      <c r="K27" s="3" t="inlineStr"/>
    </row>
    <row r="28">
      <c r="A28" s="6" t="n">
        <v>19</v>
      </c>
      <c r="B28" s="27" t="inlineStr">
        <is>
          <t>TH</t>
        </is>
      </c>
      <c r="C28" s="10" t="n">
        <v>19.3</v>
      </c>
      <c r="D28" s="10" t="n">
        <v>19.72</v>
      </c>
      <c r="E28" s="11">
        <f>D28/C28-1</f>
        <v/>
      </c>
      <c r="F28" s="11">
        <f>E28-(-0.010241163364280326)</f>
        <v/>
      </c>
      <c r="G28" s="16" t="n">
        <v>-0.0047</v>
      </c>
      <c r="H28" s="2" t="inlineStr">
        <is>
          <t>仍喺 MA20 附近</t>
        </is>
      </c>
      <c r="I28" s="3" t="inlineStr">
        <is>
          <t>C1a 事件日、C1b 熱錢、C4 波幅減低</t>
        </is>
      </c>
      <c r="J28" s="6" t="n"/>
      <c r="K28" s="3" t="inlineStr"/>
    </row>
    <row r="29">
      <c r="A29" s="6" t="n">
        <v>20</v>
      </c>
      <c r="B29" s="7" t="inlineStr">
        <is>
          <t>DINO</t>
        </is>
      </c>
      <c r="C29" s="10" t="n">
        <v>106.2</v>
      </c>
      <c r="D29" s="10" t="n">
        <v>107.32</v>
      </c>
      <c r="E29" s="11">
        <f>D29/C29-1</f>
        <v/>
      </c>
      <c r="F29" s="11">
        <f>E29-(-0.010241163364280326)</f>
        <v/>
      </c>
      <c r="G29" s="16" t="n">
        <v>-0.0105</v>
      </c>
      <c r="H29" s="2" t="inlineStr">
        <is>
          <t>仍喺 MA20 附近</t>
        </is>
      </c>
      <c r="I29" s="3" t="inlineStr">
        <is>
          <t>C1a 事件日、C1b 熱錢、C4 波幅減低</t>
        </is>
      </c>
      <c r="J29" s="6" t="n"/>
      <c r="K29" s="3" t="inlineStr">
        <is>
          <t>同名單入面 VLO、MPC、PSX 同向（21 日相關系數中位數 +0.91，名單其餘 +0.07）：當一個交易睇</t>
        </is>
      </c>
    </row>
    <row r="30">
      <c r="A30" s="6" t="n">
        <v>21</v>
      </c>
      <c r="B30" s="7" t="inlineStr">
        <is>
          <t>PSX</t>
        </is>
      </c>
      <c r="C30" s="10" t="n">
        <v>253.55</v>
      </c>
      <c r="D30" s="10" t="n">
        <v>255.31</v>
      </c>
      <c r="E30" s="11">
        <f>D30/C30-1</f>
        <v/>
      </c>
      <c r="F30" s="11">
        <f>E30-(-0.010241163364280326)</f>
        <v/>
      </c>
      <c r="G30" s="16" t="n">
        <v>-0.0153</v>
      </c>
      <c r="H30" s="2" t="inlineStr">
        <is>
          <t>仍喺 MA20 附近</t>
        </is>
      </c>
      <c r="I30" s="3" t="inlineStr">
        <is>
          <t>C1a 事件日、C1b 熱錢、C4 波幅減低</t>
        </is>
      </c>
      <c r="J30" s="6" t="n"/>
      <c r="K30" s="3" t="inlineStr">
        <is>
          <t>同名單入面 VLO、MPC、DINO 同向（21 日相關系數中位數 +0.91，名單其餘 +0.07）：當一個交易睇</t>
        </is>
      </c>
    </row>
  </sheetData>
  <autoFilter ref="A9:K30"/>
  <mergeCells count="5">
    <mergeCell ref="B7:J7"/>
    <mergeCell ref="B3:J3"/>
    <mergeCell ref="B5:J5"/>
    <mergeCell ref="B4:J4"/>
    <mergeCell ref="B6:J6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2" r:id="rId13"/>
    <hyperlink xmlns:r="http://schemas.openxmlformats.org/officeDocument/2006/relationships" ref="B23" r:id="rId14"/>
    <hyperlink xmlns:r="http://schemas.openxmlformats.org/officeDocument/2006/relationships" ref="B24" r:id="rId15"/>
    <hyperlink xmlns:r="http://schemas.openxmlformats.org/officeDocument/2006/relationships" ref="B25" r:id="rId16"/>
    <hyperlink xmlns:r="http://schemas.openxmlformats.org/officeDocument/2006/relationships" ref="B26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0" r:id="rId2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0" customWidth="1" min="5" max="5"/>
  </cols>
  <sheetData>
    <row r="1">
      <c r="A1" s="1" t="inlineStr">
        <is>
          <t>同一套條件回算 2026-09-29 收市（兩個梯隊），對比 2026-09-30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2026-09-29 排名</t>
        </is>
      </c>
      <c r="D3" s="4" t="inlineStr">
        <is>
          <t>2026-09-30 排名</t>
        </is>
      </c>
      <c r="E3" s="4" t="inlineStr">
        <is>
          <t>說明</t>
        </is>
      </c>
    </row>
    <row r="4">
      <c r="A4" s="2" t="inlineStr">
        <is>
          <t>兩日都上榜</t>
        </is>
      </c>
      <c r="B4" s="27" t="inlineStr">
        <is>
          <t>RLGT</t>
        </is>
      </c>
      <c r="C4" s="6" t="n">
        <v>1</v>
      </c>
      <c r="D4" s="6" t="n">
        <v>1</v>
      </c>
      <c r="E4" s="3" t="inlineStr">
        <is>
          <t>梯隊 1 → 1</t>
        </is>
      </c>
    </row>
    <row r="5">
      <c r="A5" s="2" t="inlineStr">
        <is>
          <t>兩日都上榜</t>
        </is>
      </c>
      <c r="B5" s="27" t="inlineStr">
        <is>
          <t>CSR</t>
        </is>
      </c>
      <c r="C5" s="6" t="n">
        <v>3</v>
      </c>
      <c r="D5" s="6" t="n">
        <v>2</v>
      </c>
      <c r="E5" s="3" t="inlineStr">
        <is>
          <t>梯隊 1 → 1</t>
        </is>
      </c>
    </row>
    <row r="6">
      <c r="A6" s="2" t="inlineStr">
        <is>
          <t>兩日都上榜</t>
        </is>
      </c>
      <c r="B6" s="27" t="inlineStr">
        <is>
          <t>BSVN</t>
        </is>
      </c>
      <c r="C6" s="6" t="n">
        <v>4</v>
      </c>
      <c r="D6" s="6" t="n">
        <v>3</v>
      </c>
      <c r="E6" s="3" t="inlineStr">
        <is>
          <t>梯隊 1 → 1</t>
        </is>
      </c>
    </row>
    <row r="7">
      <c r="A7" s="2" t="inlineStr">
        <is>
          <t>兩日都上榜</t>
        </is>
      </c>
      <c r="B7" s="27" t="inlineStr">
        <is>
          <t>CRSR</t>
        </is>
      </c>
      <c r="C7" s="6" t="n">
        <v>5</v>
      </c>
      <c r="D7" s="6" t="n">
        <v>4</v>
      </c>
      <c r="E7" s="3" t="inlineStr">
        <is>
          <t>梯隊 2 → 2</t>
        </is>
      </c>
    </row>
    <row r="8">
      <c r="A8" s="2" t="inlineStr">
        <is>
          <t>兩日都上榜</t>
        </is>
      </c>
      <c r="B8" s="27" t="inlineStr">
        <is>
          <t>CMRC</t>
        </is>
      </c>
      <c r="C8" s="6" t="n">
        <v>6</v>
      </c>
      <c r="D8" s="6" t="n">
        <v>5</v>
      </c>
      <c r="E8" s="3" t="inlineStr">
        <is>
          <t>梯隊 2 → 2</t>
        </is>
      </c>
    </row>
    <row r="9">
      <c r="A9" s="2" t="inlineStr">
        <is>
          <t>兩日都上榜</t>
        </is>
      </c>
      <c r="B9" s="27" t="inlineStr">
        <is>
          <t>OMER</t>
        </is>
      </c>
      <c r="C9" s="6" t="n">
        <v>8</v>
      </c>
      <c r="D9" s="6" t="n">
        <v>6</v>
      </c>
      <c r="E9" s="3" t="inlineStr">
        <is>
          <t>梯隊 2 → 2</t>
        </is>
      </c>
    </row>
    <row r="10">
      <c r="A10" s="2" t="inlineStr">
        <is>
          <t>兩日都上榜</t>
        </is>
      </c>
      <c r="B10" s="27" t="inlineStr">
        <is>
          <t>ASST</t>
        </is>
      </c>
      <c r="C10" s="6" t="n">
        <v>9</v>
      </c>
      <c r="D10" s="6" t="n">
        <v>8</v>
      </c>
      <c r="E10" s="3" t="inlineStr">
        <is>
          <t>梯隊 2 → 2</t>
        </is>
      </c>
    </row>
    <row r="11">
      <c r="A11" s="2" t="inlineStr">
        <is>
          <t>兩日都上榜</t>
        </is>
      </c>
      <c r="B11" s="27" t="inlineStr">
        <is>
          <t>PURR</t>
        </is>
      </c>
      <c r="C11" s="6" t="n">
        <v>13</v>
      </c>
      <c r="D11" s="6" t="n">
        <v>11</v>
      </c>
      <c r="E11" s="3" t="inlineStr">
        <is>
          <t>梯隊 2 → 2</t>
        </is>
      </c>
    </row>
    <row r="12">
      <c r="A12" s="2" t="inlineStr">
        <is>
          <t>兩日都上榜</t>
        </is>
      </c>
      <c r="B12" s="27" t="inlineStr">
        <is>
          <t>RNG</t>
        </is>
      </c>
      <c r="C12" s="6" t="n">
        <v>10</v>
      </c>
      <c r="D12" s="6" t="n">
        <v>13</v>
      </c>
      <c r="E12" s="3" t="inlineStr">
        <is>
          <t>梯隊 2 → 2</t>
        </is>
      </c>
    </row>
    <row r="13">
      <c r="A13" s="2" t="inlineStr">
        <is>
          <t>兩日都上榜</t>
        </is>
      </c>
      <c r="B13" s="27" t="inlineStr">
        <is>
          <t>ASO</t>
        </is>
      </c>
      <c r="C13" s="6" t="n">
        <v>15</v>
      </c>
      <c r="D13" s="6" t="n">
        <v>14</v>
      </c>
      <c r="E13" s="3" t="inlineStr">
        <is>
          <t>梯隊 2 → 2</t>
        </is>
      </c>
    </row>
    <row r="14">
      <c r="A14" s="2" t="inlineStr">
        <is>
          <t>兩日都上榜</t>
        </is>
      </c>
      <c r="B14" s="27" t="inlineStr">
        <is>
          <t>PLSE</t>
        </is>
      </c>
      <c r="C14" s="6" t="n">
        <v>16</v>
      </c>
      <c r="D14" s="6" t="n">
        <v>16</v>
      </c>
      <c r="E14" s="3" t="inlineStr">
        <is>
          <t>梯隊 2 → 2</t>
        </is>
      </c>
    </row>
    <row r="15">
      <c r="A15" s="2" t="inlineStr">
        <is>
          <t>兩日都上榜</t>
        </is>
      </c>
      <c r="B15" s="27" t="inlineStr">
        <is>
          <t>BBNX</t>
        </is>
      </c>
      <c r="C15" s="6" t="n">
        <v>14</v>
      </c>
      <c r="D15" s="6" t="n">
        <v>17</v>
      </c>
      <c r="E15" s="3" t="inlineStr">
        <is>
          <t>梯隊 2 → 2</t>
        </is>
      </c>
    </row>
    <row r="16">
      <c r="A16" s="2" t="inlineStr">
        <is>
          <t>兩日都上榜</t>
        </is>
      </c>
      <c r="B16" s="27" t="inlineStr">
        <is>
          <t>PKOH</t>
        </is>
      </c>
      <c r="C16" s="6" t="n">
        <v>17</v>
      </c>
      <c r="D16" s="6" t="n">
        <v>18</v>
      </c>
      <c r="E16" s="3" t="inlineStr">
        <is>
          <t>梯隊 2 → 2</t>
        </is>
      </c>
    </row>
    <row r="17">
      <c r="A17" s="2" t="inlineStr">
        <is>
          <t>兩日都上榜</t>
        </is>
      </c>
      <c r="B17" s="27" t="inlineStr">
        <is>
          <t>AVTR</t>
        </is>
      </c>
      <c r="C17" s="6" t="n">
        <v>19</v>
      </c>
      <c r="D17" s="6" t="n">
        <v>21</v>
      </c>
      <c r="E17" s="3" t="inlineStr">
        <is>
          <t>梯隊 2 → 2</t>
        </is>
      </c>
    </row>
    <row r="18">
      <c r="A18" s="2" t="inlineStr">
        <is>
          <t>今日新上榜</t>
        </is>
      </c>
      <c r="B18" s="31" t="inlineStr">
        <is>
          <t>HAE</t>
        </is>
      </c>
      <c r="C18" s="6" t="n"/>
      <c r="D18" s="6" t="n">
        <v>7</v>
      </c>
      <c r="E18" s="3" t="inlineStr">
        <is>
          <t>第 2 梯隊；上日：C1a 事件日：高位前 60 日最大量日只有 2.8× 50日均量（當日 +15.9%）；要 ≥3× 兼當日 ≥+8% 或開市跳空 ≥+5%；C1b 熱錢：升浪成交額係之前 60 日嘅 1.54×（要 ≥2.0×）；C3 回落20MA：高位喺 26 日前；距高位 -2.8%</t>
        </is>
      </c>
    </row>
    <row r="19">
      <c r="A19" s="2" t="inlineStr">
        <is>
          <t>今日新上榜</t>
        </is>
      </c>
      <c r="B19" s="31" t="inlineStr">
        <is>
          <t>GEMI</t>
        </is>
      </c>
      <c r="C19" s="6" t="n"/>
      <c r="D19" s="6" t="n">
        <v>9</v>
      </c>
      <c r="E19" s="3" t="inlineStr">
        <is>
          <t>第 2 梯隊；上日：C3 回落20MA：收市距 MA20 +7.1%；近 3 日最低價距 MA20 +5.3%</t>
        </is>
      </c>
    </row>
    <row r="20">
      <c r="A20" s="2" t="inlineStr">
        <is>
          <t>今日新上榜</t>
        </is>
      </c>
      <c r="B20" s="31" t="inlineStr">
        <is>
          <t>UMAC</t>
        </is>
      </c>
      <c r="C20" s="6" t="n"/>
      <c r="D20" s="6" t="n">
        <v>10</v>
      </c>
      <c r="E20" s="3" t="inlineStr">
        <is>
          <t>第 2 梯隊；上日：C3 回落20MA：MA20 唔係向上；高位喺 31 日前；收市距 MA20 +5.3%；C4 波幅減低：ATR5/ATR20 1.00（要 ≤0.9）；ATR5 係升浪期 ATR 嘅 0.51×（要 ≤0.7）</t>
        </is>
      </c>
    </row>
    <row r="21">
      <c r="A21" s="2" t="inlineStr">
        <is>
          <t>今日新上榜</t>
        </is>
      </c>
      <c r="B21" s="31" t="inlineStr">
        <is>
          <t>UTMD</t>
        </is>
      </c>
      <c r="C21" s="6" t="n"/>
      <c r="D21" s="6" t="n">
        <v>12</v>
      </c>
      <c r="E21" s="3" t="inlineStr">
        <is>
          <t>第 2 梯隊；上日：C3 回落20MA：距高位 -2.2%；高位時只高過 MA20 6.5%；近 3 日最低價距 MA20 +1.6%</t>
        </is>
      </c>
    </row>
    <row r="22">
      <c r="A22" s="2" t="inlineStr">
        <is>
          <t>今日新上榜</t>
        </is>
      </c>
      <c r="B22" s="31" t="inlineStr">
        <is>
          <t>BVS</t>
        </is>
      </c>
      <c r="C22" s="6" t="n"/>
      <c r="D22" s="6" t="n">
        <v>15</v>
      </c>
      <c r="E22" s="3" t="inlineStr">
        <is>
          <t>第 2 梯隊；上日：C1b 熱錢：升浪成交額係之前 60 日嘅 1.68×（要 ≥2.0×）；C3 回落20MA：MA20 唔係向上；高位喺 38 日前；收市距 MA20 +3.4%</t>
        </is>
      </c>
    </row>
    <row r="23">
      <c r="A23" s="2" t="inlineStr">
        <is>
          <t>今日新上榜</t>
        </is>
      </c>
      <c r="B23" s="31" t="inlineStr">
        <is>
          <t>KN</t>
        </is>
      </c>
      <c r="C23" s="6" t="n"/>
      <c r="D23" s="6" t="n">
        <v>19</v>
      </c>
      <c r="E23" s="3" t="inlineStr">
        <is>
          <t>第 2 梯隊；上日：C1a 事件日：高位前 60 日最大量日只有 5.0× 50日均量（當日 -1.8%）；要 ≥3× 兼當日 ≥+8% 或開市跳空 ≥+5%；C3 回落20MA：高位喺 62 日前；高位時只高過 MA20 1.5%；收市距 MA20 +4.1%；近 3 日最低價距 MA20 +2.7%</t>
        </is>
      </c>
    </row>
    <row r="24">
      <c r="A24" s="2" t="inlineStr">
        <is>
          <t>今日新上榜</t>
        </is>
      </c>
      <c r="B24" s="31" t="inlineStr">
        <is>
          <t>FLXS</t>
        </is>
      </c>
      <c r="C24" s="6" t="n"/>
      <c r="D24" s="6" t="n">
        <v>20</v>
      </c>
      <c r="E24" s="3" t="inlineStr">
        <is>
          <t>第 2 梯隊；上日：C1b 熱錢：升浪成交額係之前 60 日嘅 1.78×（要 ≥2.0×）；C3 回落20MA：收市距 MA20 +4.0%；近 3 日最低價距 MA20 +3.5%；C4 波幅減低：ATR5/ATR20 0.88（要 ≤0.9）；ATR5 係升浪期 ATR 嘅 0.80×（要 ≤0.7）</t>
        </is>
      </c>
    </row>
    <row r="25">
      <c r="A25" s="2" t="inlineStr">
        <is>
          <t>今日新上榜</t>
        </is>
      </c>
      <c r="B25" s="31" t="inlineStr">
        <is>
          <t>AMBA</t>
        </is>
      </c>
      <c r="C25" s="6" t="n"/>
      <c r="D25" s="6" t="n">
        <v>22</v>
      </c>
      <c r="E25" s="3" t="inlineStr">
        <is>
          <t>第 2 梯隊；上日：C1b 熱錢：升浪成交額係之前 60 日嘅 1.70×（要 ≥2.0×）；C2 曾有10MA上升：近 30 日 MA10 最大 10 日升幅 +13.4%（2026-08-17；要 ≥5%），嗰時最後三值唔遞升、10 步升 80%（要 ≥70%）；C3 回落20MA：MA20 唔係向上；高位喺 62 日前；C4 波幅減低：ATR5/ATR20 1.06（要 ≤0.9）；ATR5 係升浪期 ATR 嘅 1.00×（要 ≤0.7）</t>
        </is>
      </c>
    </row>
    <row r="26">
      <c r="A26" s="2" t="inlineStr">
        <is>
          <t>今日跌出</t>
        </is>
      </c>
      <c r="B26" s="7" t="inlineStr">
        <is>
          <t>AMWL</t>
        </is>
      </c>
      <c r="C26" s="6" t="n">
        <v>2</v>
      </c>
      <c r="D26" s="6" t="n"/>
      <c r="E26" s="3" t="inlineStr">
        <is>
          <t>今日：C3 回落20MA：距高位 -2.1%</t>
        </is>
      </c>
    </row>
    <row r="27">
      <c r="A27" s="2" t="inlineStr">
        <is>
          <t>今日跌出</t>
        </is>
      </c>
      <c r="B27" s="7" t="inlineStr">
        <is>
          <t>IRD</t>
        </is>
      </c>
      <c r="C27" s="6" t="n">
        <v>7</v>
      </c>
      <c r="D27" s="6" t="n"/>
      <c r="E27" s="3" t="inlineStr">
        <is>
          <t>今日：C3 回落20MA：收市距 MA20 -6.2%；C4 波幅減低：ATR5/ATR20 0.69（要 ≤0.9）；ATR5 係升浪期 ATR 嘅 0.83×（要 ≤0.7）</t>
        </is>
      </c>
    </row>
    <row r="28">
      <c r="A28" s="2" t="inlineStr">
        <is>
          <t>今日跌出</t>
        </is>
      </c>
      <c r="B28" s="7" t="inlineStr">
        <is>
          <t>ESTC</t>
        </is>
      </c>
      <c r="C28" s="6" t="n">
        <v>11</v>
      </c>
      <c r="D28" s="6" t="n"/>
      <c r="E28" s="3" t="inlineStr">
        <is>
          <t>今日：C1b 熱錢：升浪成交額係之前 60 日嘅 1.51×（要 ≥2.0×）；C3 回落20MA：MA20 唔係向上；收市距 MA20 +3.7%；C4 波幅減低：ATR5/ATR20 0.92（要 ≤0.9）；ATR5 係升浪期 ATR 嘅 0.73×（要 ≤0.7）</t>
        </is>
      </c>
    </row>
    <row r="29">
      <c r="A29" s="2" t="inlineStr">
        <is>
          <t>今日跌出</t>
        </is>
      </c>
      <c r="B29" s="7" t="inlineStr">
        <is>
          <t>DOCS</t>
        </is>
      </c>
      <c r="C29" s="6" t="n">
        <v>12</v>
      </c>
      <c r="D29" s="6" t="n"/>
      <c r="E29" s="3" t="inlineStr">
        <is>
          <t>今日：C1b 熱錢：升浪成交額係之前 60 日嘅 1.48×（要 ≥2.0×）；C3 回落20MA：高位喺 0 日前；距高位 +0.0%；收市距 MA20 +8.4%；C4 波幅減低：ATR5/ATR20 1.19（要 ≤0.9）；ATR5 係升浪期 ATR 嘅 0.76×（要 ≤0.7）</t>
        </is>
      </c>
    </row>
    <row r="30">
      <c r="A30" s="2" t="inlineStr">
        <is>
          <t>今日跌出</t>
        </is>
      </c>
      <c r="B30" s="7" t="inlineStr">
        <is>
          <t>FTK</t>
        </is>
      </c>
      <c r="C30" s="6" t="n">
        <v>18</v>
      </c>
      <c r="D30" s="6" t="n"/>
      <c r="E30" s="3" t="inlineStr">
        <is>
          <t>今日：C3 回落20MA：高位喺 35 日前；收市距 MA20 +5.1%；C4 波幅減低：ATR5/ATR20 0.95（要 ≤0.9）；ATR5 係升浪期 ATR 嘅 0.77×（要 ≤0.7）</t>
        </is>
      </c>
    </row>
    <row r="31">
      <c r="A31" s="2" t="inlineStr">
        <is>
          <t>今日跌出</t>
        </is>
      </c>
      <c r="B31" s="7" t="inlineStr">
        <is>
          <t>AGCO</t>
        </is>
      </c>
      <c r="C31" s="6" t="n">
        <v>20</v>
      </c>
      <c r="D31" s="6" t="n"/>
      <c r="E31" s="3" t="inlineStr">
        <is>
          <t>今日：C1a 事件日：高位前 60 日最大量日只有 3.1× 50日均量（當日 -7.8%）；要 ≥3× 兼當日 ≥+8% 或開市跳空 ≥+5%；C1b 熱錢：升浪成交額係之前 60 日嘅 1.89×（要 ≥2.0×）；C3 回落20MA：收市距 MA20 -6.2%；C4 波幅減低：ATR5/ATR20 0.88（要 ≤0.9）；ATR5 係升浪期 ATR 嘅 0.77×（要 ≤0.7）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0" customWidth="1" min="4" max="4"/>
    <col width="36" customWidth="1" min="5" max="5"/>
  </cols>
  <sheetData>
    <row r="1">
      <c r="A1" s="1" t="inlineStr">
        <is>
          <t>批判性覆核：規則捉唔到、但會令名單誤導嘅情況</t>
        </is>
      </c>
    </row>
    <row r="3" ht="42" customHeight="1">
      <c r="A3" s="4" t="inlineStr">
        <is>
          <t>代號</t>
        </is>
      </c>
      <c r="B3" s="4" t="inlineStr">
        <is>
          <t>總表排名</t>
        </is>
      </c>
      <c r="C3" s="4" t="inlineStr">
        <is>
          <t>類別</t>
        </is>
      </c>
      <c r="D3" s="4" t="inlineStr">
        <is>
          <t>說明</t>
        </is>
      </c>
      <c r="E3" s="4" t="inlineStr">
        <is>
          <t>處理</t>
        </is>
      </c>
    </row>
    <row r="4">
      <c r="A4" s="27" t="inlineStr">
        <is>
          <t>RLGT</t>
        </is>
      </c>
      <c r="B4" s="6">
        <f>'總表'!B2</f>
        <v/>
      </c>
      <c r="C4" s="2" t="inlineStr">
        <is>
          <t>流動性低</t>
        </is>
      </c>
      <c r="D4" s="3" t="inlineStr">
        <is>
          <t>20 日成交額中位數只有 $1.7M（股票池下限 $1M），入市出市都會有滑價</t>
        </is>
      </c>
      <c r="E4" s="3" t="inlineStr">
        <is>
          <t>保留、標橙底；落單注意滑價</t>
        </is>
      </c>
    </row>
    <row r="5">
      <c r="A5" s="27" t="inlineStr">
        <is>
          <t>CSR</t>
        </is>
      </c>
      <c r="B5" s="6">
        <f>'總表'!B3</f>
        <v/>
      </c>
      <c r="C5" s="2" t="inlineStr">
        <is>
          <t>併購目標</t>
        </is>
      </c>
      <c r="D5" s="3" t="inlineStr">
        <is>
          <t>全換股併購目標：09-09 起每股 CSR = 3.800 股 IRT，股價跟收購方 IRT 走。升浪係併購溢價、回調係 IRT 跌，唔係資金追入後嘅回調；交割前基本上冇自己嘅走勢</t>
        </is>
      </c>
      <c r="E5" s="3" t="inlineStr">
        <is>
          <t>保留喺名單但標橙底；併購目標跟收購方走，唔係呢個條件想捉嘅股票（待你決定要唔要剔走）</t>
        </is>
      </c>
    </row>
    <row r="6">
      <c r="A6" s="27" t="inlineStr">
        <is>
          <t>BSVN</t>
        </is>
      </c>
      <c r="B6" s="6">
        <f>'總表'!B4</f>
        <v/>
      </c>
      <c r="C6" s="2" t="inlineStr">
        <is>
          <t>放量跌穿</t>
        </is>
      </c>
      <c r="D6" s="3" t="inlineStr">
        <is>
          <t>今日放量（2.1× 50日均量）收喺 20MA 下面</t>
        </is>
      </c>
      <c r="E6" s="3" t="inlineStr">
        <is>
          <t>保留、標橙底；睇之後幾日企唔企得返 MA20</t>
        </is>
      </c>
    </row>
    <row r="7">
      <c r="A7" s="27" t="inlineStr">
        <is>
          <t>BSVN</t>
        </is>
      </c>
      <c r="B7" s="6">
        <f>'總表'!B4</f>
        <v/>
      </c>
      <c r="C7" s="2" t="inlineStr">
        <is>
          <t>流動性低</t>
        </is>
      </c>
      <c r="D7" s="3" t="inlineStr">
        <is>
          <t>20 日成交額中位數只有 $2.6M（股票池下限 $1M），入市出市都會有滑價</t>
        </is>
      </c>
      <c r="E7" s="3" t="inlineStr">
        <is>
          <t>保留、標橙底；落單注意滑價</t>
        </is>
      </c>
    </row>
    <row r="8">
      <c r="A8" s="27" t="inlineStr">
        <is>
          <t>CRSR</t>
        </is>
      </c>
      <c r="B8" s="6">
        <f>'總表'!B5</f>
        <v/>
      </c>
      <c r="C8" s="2" t="inlineStr">
        <is>
          <t>窄幅（要查併購）</t>
        </is>
      </c>
      <c r="D8" s="3" t="inlineStr">
        <is>
          <t>疑似釘價：10 日收市區間只有 2.1%，之前有單日 +35%</t>
        </is>
      </c>
      <c r="E8" s="3" t="inlineStr">
        <is>
          <t>保留、標橙底；要查併購</t>
        </is>
      </c>
    </row>
    <row r="9">
      <c r="A9" s="27" t="inlineStr">
        <is>
          <t>CMRC</t>
        </is>
      </c>
      <c r="B9" s="6">
        <f>'總表'!B6</f>
        <v/>
      </c>
      <c r="C9" s="2" t="inlineStr">
        <is>
          <t>流動性低</t>
        </is>
      </c>
      <c r="D9" s="3" t="inlineStr">
        <is>
          <t>20 日成交額中位數只有 $2.2M（股票池下限 $1M），入市出市都會有滑價</t>
        </is>
      </c>
      <c r="E9" s="3" t="inlineStr">
        <is>
          <t>保留、標橙底；落單注意滑價</t>
        </is>
      </c>
    </row>
    <row r="10">
      <c r="A10" s="27" t="inlineStr">
        <is>
          <t>ASST</t>
        </is>
      </c>
      <c r="B10" s="6">
        <f>'總表'!B9</f>
        <v/>
      </c>
      <c r="C10" s="2" t="inlineStr">
        <is>
          <t>事件驅動</t>
        </is>
      </c>
      <c r="D10" s="3" t="inlineStr">
        <is>
          <t>比特幣庫存公司，股價跟比特幣走</t>
        </is>
      </c>
      <c r="E10" s="3" t="inlineStr">
        <is>
          <t>保留、標橙底；要當事件交易睇</t>
        </is>
      </c>
    </row>
    <row r="11">
      <c r="A11" s="27" t="inlineStr">
        <is>
          <t>ASST</t>
        </is>
      </c>
      <c r="B11" s="6">
        <f>'總表'!B9</f>
        <v/>
      </c>
      <c r="C11" s="2" t="inlineStr">
        <is>
          <t>同向群組</t>
        </is>
      </c>
      <c r="D11" s="3" t="inlineStr">
        <is>
          <t>同名單入面 GEMI、PURR 同向（21 日相關系數中位數 +0.66，名單其餘 +0.08）：當一個交易睇</t>
        </is>
      </c>
      <c r="E11" s="3" t="inlineStr">
        <is>
          <t>保留、標橙底；當一個交易睇</t>
        </is>
      </c>
    </row>
    <row r="12">
      <c r="A12" s="27" t="inlineStr">
        <is>
          <t>GEMI</t>
        </is>
      </c>
      <c r="B12" s="6">
        <f>'總表'!B10</f>
        <v/>
      </c>
      <c r="C12" s="2" t="inlineStr">
        <is>
          <t>事件驅動</t>
        </is>
      </c>
      <c r="D12" s="3" t="inlineStr">
        <is>
          <t>09-18 +31% 係加密板塊因 SEC 代幣化豁免同升；一年跌 76%，升浪係低位反彈而非趨勢</t>
        </is>
      </c>
      <c r="E12" s="3" t="inlineStr">
        <is>
          <t>保留、標橙底；要當事件交易睇</t>
        </is>
      </c>
    </row>
    <row r="13">
      <c r="A13" s="27" t="inlineStr">
        <is>
          <t>GEMI</t>
        </is>
      </c>
      <c r="B13" s="6">
        <f>'總表'!B10</f>
        <v/>
      </c>
      <c r="C13" s="2" t="inlineStr">
        <is>
          <t>同向群組</t>
        </is>
      </c>
      <c r="D13" s="3" t="inlineStr">
        <is>
          <t>同名單入面 ASST、PURR 同向（21 日相關系數中位數 +0.66，名單其餘 +0.08）：當一個交易睇</t>
        </is>
      </c>
      <c r="E13" s="3" t="inlineStr">
        <is>
          <t>保留、標橙底；當一個交易睇</t>
        </is>
      </c>
    </row>
    <row r="14">
      <c r="A14" s="27" t="inlineStr">
        <is>
          <t>UMAC</t>
        </is>
      </c>
      <c r="B14" s="6">
        <f>'總表'!B11</f>
        <v/>
      </c>
      <c r="C14" s="2" t="inlineStr">
        <is>
          <t>急跌非有序回調</t>
        </is>
      </c>
      <c r="D14" s="3" t="inlineStr">
        <is>
          <t>回調唔係有序回落：期內有一日跌 -11.5%</t>
        </is>
      </c>
      <c r="E14" s="3" t="inlineStr">
        <is>
          <t>保留、標橙底；回調入面有急跌日</t>
        </is>
      </c>
    </row>
    <row r="15">
      <c r="A15" s="27" t="inlineStr">
        <is>
          <t>UMAC</t>
        </is>
      </c>
      <c r="B15" s="6">
        <f>'總表'!B11</f>
        <v/>
      </c>
      <c r="C15" s="2" t="inlineStr">
        <is>
          <t>事件驅動</t>
        </is>
      </c>
      <c r="D15" s="3" t="inlineStr">
        <is>
          <t>05-28 +57% 係 WSJ 傳聞（政府資助無人機公司）帶動；距高位 −28%</t>
        </is>
      </c>
      <c r="E15" s="3" t="inlineStr">
        <is>
          <t>保留、標橙底；要當事件交易睇</t>
        </is>
      </c>
    </row>
    <row r="16">
      <c r="A16" s="27" t="inlineStr">
        <is>
          <t>PURR</t>
        </is>
      </c>
      <c r="B16" s="6">
        <f>'總表'!B12</f>
        <v/>
      </c>
      <c r="C16" s="2" t="inlineStr">
        <is>
          <t>急跌非有序回調</t>
        </is>
      </c>
      <c r="D16" s="3" t="inlineStr">
        <is>
          <t>回調唔係有序回落：期內有一日跌 -8.8%</t>
        </is>
      </c>
      <c r="E16" s="3" t="inlineStr">
        <is>
          <t>保留、標橙底；回調入面有急跌日</t>
        </is>
      </c>
    </row>
    <row r="17">
      <c r="A17" s="27" t="inlineStr">
        <is>
          <t>PURR</t>
        </is>
      </c>
      <c r="B17" s="6">
        <f>'總表'!B12</f>
        <v/>
      </c>
      <c r="C17" s="2" t="inlineStr">
        <is>
          <t>事件驅動</t>
        </is>
      </c>
      <c r="D17" s="3" t="inlineStr">
        <is>
          <t>加密貨幣（HYPE 代幣）庫存公司，股價跟代幣走；09-25 監管負面消息</t>
        </is>
      </c>
      <c r="E17" s="3" t="inlineStr">
        <is>
          <t>保留、標橙底；要當事件交易睇</t>
        </is>
      </c>
    </row>
    <row r="18">
      <c r="A18" s="27" t="inlineStr">
        <is>
          <t>PURR</t>
        </is>
      </c>
      <c r="B18" s="6">
        <f>'總表'!B12</f>
        <v/>
      </c>
      <c r="C18" s="2" t="inlineStr">
        <is>
          <t>同向群組</t>
        </is>
      </c>
      <c r="D18" s="3" t="inlineStr">
        <is>
          <t>同名單入面 ASST、GEMI 同向（21 日相關系數中位數 +0.66，名單其餘 +0.08）：當一個交易睇</t>
        </is>
      </c>
      <c r="E18" s="3" t="inlineStr">
        <is>
          <t>保留、標橙底；當一個交易睇</t>
        </is>
      </c>
    </row>
    <row r="19">
      <c r="A19" s="27" t="inlineStr">
        <is>
          <t>UTMD</t>
        </is>
      </c>
      <c r="B19" s="6">
        <f>'總表'!B13</f>
        <v/>
      </c>
      <c r="C19" s="2" t="inlineStr">
        <is>
          <t>數據出入</t>
        </is>
      </c>
      <c r="D19" s="3" t="inlineStr">
        <is>
          <t>事件日升幅：媒體 +6.6% vs 我哋數據 +10.6%，未對得上</t>
        </is>
      </c>
      <c r="E19" s="3" t="inlineStr">
        <is>
          <t>保留；數據同媒體有出入，見催化劑頁</t>
        </is>
      </c>
    </row>
    <row r="20">
      <c r="A20" s="27" t="inlineStr">
        <is>
          <t>UTMD</t>
        </is>
      </c>
      <c r="B20" s="6">
        <f>'總表'!B13</f>
        <v/>
      </c>
      <c r="C20" s="2" t="inlineStr">
        <is>
          <t>流動性低</t>
        </is>
      </c>
      <c r="D20" s="3" t="inlineStr">
        <is>
          <t>20 日成交額中位數只有 $2.2M（股票池下限 $1M），入市出市都會有滑價</t>
        </is>
      </c>
      <c r="E20" s="3" t="inlineStr">
        <is>
          <t>保留、標橙底；落單注意滑價</t>
        </is>
      </c>
    </row>
    <row r="21">
      <c r="A21" s="27" t="inlineStr">
        <is>
          <t>BVS</t>
        </is>
      </c>
      <c r="B21" s="6">
        <f>'總表'!B16</f>
        <v/>
      </c>
      <c r="C21" s="2" t="inlineStr">
        <is>
          <t>急跌非有序回調</t>
        </is>
      </c>
      <c r="D21" s="3" t="inlineStr">
        <is>
          <t>回調唔係有序回落：期內有一日跌 -8.4%</t>
        </is>
      </c>
      <c r="E21" s="3" t="inlineStr">
        <is>
          <t>保留、標橙底；回調入面有急跌日</t>
        </is>
      </c>
    </row>
    <row r="22">
      <c r="A22" s="27" t="inlineStr">
        <is>
          <t>PLSE</t>
        </is>
      </c>
      <c r="B22" s="6">
        <f>'總表'!B17</f>
        <v/>
      </c>
      <c r="C22" s="2" t="inlineStr">
        <is>
          <t>急跌非有序回調</t>
        </is>
      </c>
      <c r="D22" s="3" t="inlineStr">
        <is>
          <t>回調唔係有序回落：期內有一日跌 -10.1%</t>
        </is>
      </c>
      <c r="E22" s="3" t="inlineStr">
        <is>
          <t>保留、標橙底；回調入面有急跌日</t>
        </is>
      </c>
    </row>
    <row r="23">
      <c r="A23" s="27" t="inlineStr">
        <is>
          <t>BBNX</t>
        </is>
      </c>
      <c r="B23" s="6">
        <f>'總表'!B18</f>
        <v/>
      </c>
      <c r="C23" s="2" t="inlineStr">
        <is>
          <t>配售</t>
        </is>
      </c>
      <c r="D23" s="3" t="inlineStr">
        <is>
          <t>事件日同時宣布 $1.25 億配售（後定價 $1.5 億）；配售價係下面嘅參考位</t>
        </is>
      </c>
      <c r="E23" s="3" t="inlineStr">
        <is>
          <t>保留、標橙底；留意配售價</t>
        </is>
      </c>
    </row>
    <row r="24">
      <c r="A24" s="27" t="inlineStr">
        <is>
          <t>PKOH</t>
        </is>
      </c>
      <c r="B24" s="6">
        <f>'總表'!B19</f>
        <v/>
      </c>
      <c r="C24" s="2" t="inlineStr">
        <is>
          <t>急跌非有序回調</t>
        </is>
      </c>
      <c r="D24" s="3" t="inlineStr">
        <is>
          <t>回調唔係有序回落：期內有一日跌 -8.9%</t>
        </is>
      </c>
      <c r="E24" s="3" t="inlineStr">
        <is>
          <t>保留、標橙底；回調入面有急跌日</t>
        </is>
      </c>
    </row>
    <row r="25">
      <c r="A25" s="27" t="inlineStr">
        <is>
          <t>PKOH</t>
        </is>
      </c>
      <c r="B25" s="6">
        <f>'總表'!B19</f>
        <v/>
      </c>
      <c r="C25" s="2" t="inlineStr">
        <is>
          <t>數據出入</t>
        </is>
      </c>
      <c r="D25" s="3" t="inlineStr">
        <is>
          <t>最大升日 08-07 同業績日 08-05 差兩日，當日消息未查到</t>
        </is>
      </c>
      <c r="E25" s="3" t="inlineStr">
        <is>
          <t>保留；數據同媒體有出入，見催化劑頁</t>
        </is>
      </c>
    </row>
    <row r="26">
      <c r="A26" s="27" t="inlineStr">
        <is>
          <t>PKOH</t>
        </is>
      </c>
      <c r="B26" s="6">
        <f>'總表'!B19</f>
        <v/>
      </c>
      <c r="C26" s="2" t="inlineStr">
        <is>
          <t>流動性低</t>
        </is>
      </c>
      <c r="D26" s="3" t="inlineStr">
        <is>
          <t>20 日成交額中位數只有 $2.8M（股票池下限 $1M），入市出市都會有滑價</t>
        </is>
      </c>
      <c r="E26" s="3" t="inlineStr">
        <is>
          <t>保留、標橙底；落單注意滑價</t>
        </is>
      </c>
    </row>
    <row r="27">
      <c r="A27" s="27" t="inlineStr">
        <is>
          <t>AMBA</t>
        </is>
      </c>
      <c r="B27" s="6">
        <f>'總表'!B23</f>
        <v/>
      </c>
      <c r="C27" s="2" t="inlineStr">
        <is>
          <t>事件驅動</t>
        </is>
      </c>
      <c r="D27" s="3" t="inlineStr">
        <is>
          <t>升浪由分析員推介（Rosenblatt 首選）帶動，唔係業績</t>
        </is>
      </c>
      <c r="E27" s="3" t="inlineStr">
        <is>
          <t>保留、標橙底；要當事件交易睇</t>
        </is>
      </c>
    </row>
    <row r="29" ht="90" customHeight="1">
      <c r="A29" s="29" t="inlineStr">
        <is>
          <t>F1</t>
        </is>
      </c>
      <c r="B29" s="32" t="inlineStr">
        <is>
          <t>新條件下只有 3 隻完全符合，所以加咗第二梯隊（19 隻）</t>
        </is>
      </c>
      <c r="D29" s="3" t="inlineStr">
        <is>
          <t>漏斗：合資格 2,762 → 有事件日 658 → 加升浪熱錢 203 → 加曾有 10MA 上升 140 → 加回落到 20MA 6 → 加波幅減低 3。單獨睇，全市只有 54 隻而家處於「上升中 20MA 嘅回調位」（近六日大市闊度：09-23 -1.30%；09-24 -0.22%；09-25 +0.25%；09-28 -0.71%；09-29 -0.33%；09-30 -0.61%），而曾經係熱錢股嘅只係當中少數 —— 熱錢股而家唔係仲喺高位（距 MA20 太遠）就係已經跌穿。每個門檻放寬一級後有 22 隻（全部收緊一級剩 0 隻）：第二梯隊就係呢 19 隻，總表「唔過嘅條件」欄列明每隻差邊項，最常差嘅係 C3 回落20MA 13 隻、C1b 熱錢 11 隻、C4 波幅減低 7 隻、C1a 事件日 3 隻、C2 曾有10MA上升 2 隻。</t>
        </is>
      </c>
      <c r="E29" s="3" t="inlineStr">
        <is>
          <t>第二梯隊入總表、底色較淺；佢哋唔係合格股，係「差一步」</t>
        </is>
      </c>
    </row>
    <row r="30" ht="45" customHeight="1">
      <c r="A30" s="29" t="inlineStr">
        <is>
          <t>F2</t>
        </is>
      </c>
      <c r="B30" s="32" t="inlineStr">
        <is>
          <t>CSR 係全換股併購目標，升浪同回調都唔係自己嘅</t>
        </is>
      </c>
      <c r="D30" s="3" t="inlineStr">
        <is>
          <t>CSR 09-09 嘅事件日係同 IRT 嘅全換股合併公佈（每股換 3.800 股 IRT），之後股價跟 IRT 走：規則見到嘅「熱錢追入後回落到 20MA、波幅收窄」其實係併購溢價收窄同 IRT 自己嘅走勢。呢類股喺 R1–R20 一直有「併購釘價」標記、而且係未決嘅剔走問題。第一梯隊剩低 RLGT（業績＋升級）同 BSVN（收購人＋評級）係真正嘅消息驅動。</t>
        </is>
      </c>
      <c r="E30" s="3" t="inlineStr">
        <is>
          <t>保留但標橙底；待你決定要唔要將換股／現金併購目標直接剔走</t>
        </is>
      </c>
    </row>
    <row r="31" ht="45" customHeight="1">
      <c r="A31" s="29" t="inlineStr">
        <is>
          <t>F3</t>
        </is>
      </c>
      <c r="B31" s="32" t="inlineStr">
        <is>
          <t>第二梯隊入面 5 隻嘅「消息」唔係業績：加密貨幣、傳聞、分析員推介</t>
        </is>
      </c>
      <c r="D31" s="3" t="inlineStr">
        <is>
          <t>GEMI、ASST、PURR、UMAC、AMBA。加密貨幣庫存股（ASST、PURR、GEMI）嘅股價係代幣嘅槓桿；UMAC 嘅 +57% 係 WSJ 傳聞；AMBA 係 Rosenblatt 推介；GEMI 嘅 +31% 係加密板塊同升而且一年跌咗 76%。「News driven」條件規則上只睇「大升日＋放量」，分唔到消息嘅質素，所以逐隻查咗事件日當日嘅新聞（催化劑頁有來源）。</t>
        </is>
      </c>
      <c r="E31" s="3" t="inlineStr">
        <is>
          <t>標橙底；事件類型列喺催化劑頁</t>
        </is>
      </c>
    </row>
    <row r="32" ht="75" customHeight="1">
      <c r="A32" s="29" t="inlineStr">
        <is>
          <t>F4</t>
        </is>
      </c>
      <c r="B32" s="32" t="inlineStr">
        <is>
          <t>R22 向前測試（2 個交易日）：中位數 +0.69%，大市 -1.02%</t>
        </is>
      </c>
      <c r="D32" s="3" t="inlineStr">
        <is>
          <t>R22 21 隻由 2026-09-28 到 2026-09-30：中位數 +0.69%（11 隻升），全體合資格股票 -1.02%；前 10 名 -0.75%、其餘 +1.05%，分數同回報排名相關 -0.12；有標記嘅 +0.10% vs 冇標記嘅 +1.25%。而家狀態：仍喺 MA20 附近 13 隻；跌穿 MA20 超過 3% 3 隻；已反彈離開 MA20 3 隻；符合新條件（第 2 梯隊） 2 隻。R22 名單跑贏大市 1.72 個百分點（R21 向前 3 日係 −1.57% vs −0.68%，跑輸）；兩次都只係二三十隻、幾日嘅樣本，方向相反，暫時睇唔出規則有冇優勢。</t>
        </is>
      </c>
      <c r="E32" s="3" t="inlineStr">
        <is>
          <t>逐隻列喺「R22向前測試」頁</t>
        </is>
      </c>
    </row>
    <row r="33" ht="45" customHeight="1">
      <c r="A33" s="29" t="inlineStr">
        <is>
          <t>F5</t>
        </is>
      </c>
      <c r="B33" s="32" t="inlineStr">
        <is>
          <t>R22 嘅 21 隻用新條件睇：2 隻仍然上榜</t>
        </is>
      </c>
      <c r="D33" s="3" t="inlineStr">
        <is>
          <t>R22（高動能回到 20MA）21 隻入面，新條件下 2 隻上榜（PURR 第 2 梯隊、PLSE 第 2 梯隊）。其餘唔過嘅原因（一隻可以幾個）：C1b 熱錢 17 隻、C4 波幅減低 16 隻、C1a 事件日 11 隻、C3 回落20MA 6 隻。最多係差「升浪熱錢」：R22 嘅動能股好多係慢慢升上去，升浪期成交額唔夠之前 60 日嘅兩倍；其次係波幅未收窄。</t>
        </is>
      </c>
      <c r="E33" s="3" t="inlineStr">
        <is>
          <t>逐隻原因列喺「同R22對照」頁</t>
        </is>
      </c>
    </row>
    <row r="34" ht="45" customHeight="1">
      <c r="A34" s="29" t="inlineStr">
        <is>
          <t>F6</t>
        </is>
      </c>
      <c r="B34" s="32" t="inlineStr">
        <is>
          <t>20MA 回調池：54 隻而家處於回調位，差邊項一目了然</t>
        </is>
      </c>
      <c r="D34" s="3" t="inlineStr">
        <is>
          <t>全市 54 隻通過 C3（上升中 20MA、高位 2–25 日前、回調 3–30%、收市 ±3% 兼近 3 日觸及）。佢哋唔過嘅條件：C1b 熱錢 47 隻、C4 波幅減低 43 隻、C1a 事件日 32 隻、C2 曾有10MA上升 1 隻。只差波幅減低嘅：PURR、MTW、NEO；只差升浪熱錢嘅：ASO、CMRC、OMER、DELL、GTLB。呢頁係「下一兩日最有機會變成合格」嘅觀察名單。</t>
        </is>
      </c>
      <c r="E34" s="3" t="inlineStr">
        <is>
          <t>新增「20MA回調池」頁</t>
        </is>
      </c>
    </row>
    <row r="35" ht="75" customHeight="1">
      <c r="A35" s="29" t="inlineStr">
        <is>
          <t>F7</t>
        </is>
      </c>
      <c r="B35" s="32" t="inlineStr">
        <is>
          <t>數據：序列檔喺容器重設後消失、Nasdaq 快照又遲一日</t>
        </is>
      </c>
      <c r="D35" s="3" t="inlineStr">
        <is>
          <t>R1–R22 用嚟做第二來源同上市日期嘅 Nasdaq 序列（data/series*.pkl）係 gitignore 嘅，10-01 容器重設後冇咗；上市日期改由 R21／R22 審計保存嘅 data/nasdaq_listing_dates.json 提供，另加 SPAC 空殼期偵測（今次捉到 15 隻，全部唔喺名單）。兩源核對只剩收市後快照：2026-09-28 檔其實係 2026-09-25；2026-09-30 檔其實係 2026-09-29（Nasdaq API 到美東早上五點都未轉日），所以 2026-09-30 收市只得 Yahoo 一個來源（日線齊全，3,861 隻）。 另外 PKOH、UTMD 嘅事件日升幅同媒體數字對唔上，已標記。</t>
        </is>
      </c>
      <c r="E35" s="3" t="inlineStr">
        <is>
          <t>要重建序列先可以再跑 R1–R20 嘅舊規則管線（README 有步驟）</t>
        </is>
      </c>
    </row>
    <row r="36" ht="45" customHeight="1">
      <c r="A36" s="29" t="inlineStr">
        <is>
          <t>F8</t>
        </is>
      </c>
      <c r="B36" s="32" t="inlineStr">
        <is>
          <t>門檻敏感度：第一梯隊 0/3 隻喺 26 個單門檻測試都留低</t>
        </is>
      </c>
      <c r="D36" s="3" t="inlineStr">
        <is>
          <t>留低嘅：冇。變動最大嘅門檻：升浪成交額比 2.0→1.5：+3／−0；MA10 10日升幅 0.05→0.08：+0／−2；事件日升幅 0.08→0.1：+0／−1；事件日量比 3.0→4.0：+0／−1；高位時高過MA20 0.08→0.1：+0／−1。名單細，每個門檻都係邊緣。</t>
        </is>
      </c>
      <c r="E36" s="3" t="inlineStr">
        <is>
          <t>逐項列喺「敏感度」頁</t>
        </is>
      </c>
    </row>
    <row r="37" ht="30" customHeight="1">
      <c r="A37" s="29" t="inlineStr">
        <is>
          <t>F9</t>
        </is>
      </c>
      <c r="B37" s="32" t="inlineStr">
        <is>
          <t>今次冇做嘅嘢</t>
        </is>
      </c>
      <c r="D37" s="3" t="inlineStr">
        <is>
          <t>冇查業績日期（10 月中開始業績期）；沿用舊研究嘅 PLSE、PURR 冇重新核實；冇用新條件回測之前幾日（上日回算有）；HTML 報告冇按新規則重做。</t>
        </is>
      </c>
      <c r="E37" s="3" t="inlineStr">
        <is>
          <t>如有需要下一版補</t>
        </is>
      </c>
    </row>
    <row r="38" ht="30" customHeight="1">
      <c r="A38" s="29" t="inlineStr">
        <is>
          <t>待決1</t>
        </is>
      </c>
      <c r="B38" s="32" t="inlineStr">
        <is>
          <t>待你決定</t>
        </is>
      </c>
      <c r="D38" s="3" t="inlineStr">
        <is>
          <t>換股／現金併購目標（今次 CSR）要唔要直接剔走？R1–R20 嘅「併購釘價」問題一直未決。</t>
        </is>
      </c>
      <c r="E38" s="3" t="inlineStr">
        <is>
          <t>今次未改</t>
        </is>
      </c>
    </row>
    <row r="39" ht="30" customHeight="1">
      <c r="A39" s="29" t="inlineStr">
        <is>
          <t>待決2</t>
        </is>
      </c>
      <c r="B39" s="32" t="inlineStr">
        <is>
          <t>待你決定</t>
        </is>
      </c>
      <c r="D39" s="3" t="inlineStr">
        <is>
          <t>加密貨幣庫存股（ASST、PURR、GEMI）要唔要當「有熱錢及 news driven」？佢哋嘅消息係代幣價格。</t>
        </is>
      </c>
      <c r="E39" s="3" t="inlineStr">
        <is>
          <t>今次未改</t>
        </is>
      </c>
    </row>
    <row r="40" ht="30" customHeight="1">
      <c r="A40" s="29" t="inlineStr">
        <is>
          <t>待決3</t>
        </is>
      </c>
      <c r="B40" s="32" t="inlineStr">
        <is>
          <t>待你決定</t>
        </is>
      </c>
      <c r="D40" s="3" t="inlineStr">
        <is>
          <t>「有熱錢」而家定義係升浪期成交額 ≥ 前 60 日 2 倍；R22 嘅慢升動能股大部分過唔到。要唔要降到 1.5 倍（第二梯隊用嘅）？</t>
        </is>
      </c>
      <c r="E40" s="3" t="inlineStr">
        <is>
          <t>今次未改</t>
        </is>
      </c>
    </row>
    <row r="41" ht="30" customHeight="1">
      <c r="A41" s="29" t="inlineStr">
        <is>
          <t>待決4</t>
        </is>
      </c>
      <c r="B41" s="32" t="inlineStr">
        <is>
          <t>待你決定</t>
        </is>
      </c>
      <c r="D41" s="3" t="inlineStr">
        <is>
          <t>「波幅減低」而家要 ATR5 ≤ 0.9× ATR20 兼 ≤ 0.7× 升浪期 ATR；只差呢項嘅有 PURR、MTW、NEO。</t>
        </is>
      </c>
      <c r="E41" s="3" t="inlineStr">
        <is>
          <t>今次未改</t>
        </is>
      </c>
    </row>
    <row r="42" ht="30" customHeight="1">
      <c r="A42" s="29" t="inlineStr">
        <is>
          <t>待決5</t>
        </is>
      </c>
      <c r="B42" s="32" t="inlineStr">
        <is>
          <t>待你決定</t>
        </is>
      </c>
      <c r="D42" s="3" t="inlineStr">
        <is>
          <t>第二梯隊要唔要繼續出？佢哋唔合格，但第一梯隊得幾隻。</t>
        </is>
      </c>
      <c r="E42" s="3" t="inlineStr">
        <is>
          <t>今次未改</t>
        </is>
      </c>
    </row>
  </sheetData>
  <autoFilter ref="A3:E3"/>
  <mergeCells count="14">
    <mergeCell ref="B39:C39"/>
    <mergeCell ref="B30:C30"/>
    <mergeCell ref="B38:C38"/>
    <mergeCell ref="B29:C29"/>
    <mergeCell ref="B33:C33"/>
    <mergeCell ref="B34:C34"/>
    <mergeCell ref="B37:C37"/>
    <mergeCell ref="B42:C42"/>
    <mergeCell ref="B36:C36"/>
    <mergeCell ref="B32:C32"/>
    <mergeCell ref="B31:C31"/>
    <mergeCell ref="B40:C40"/>
    <mergeCell ref="B41:C41"/>
    <mergeCell ref="B35:C35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Yahoo 日線 vs Nasdaq 收市後快照</t>
        </is>
      </c>
    </row>
    <row r="3" ht="32" customHeight="1">
      <c r="A3" s="29" t="inlineStr">
        <is>
          <t>快照 2026-09-28</t>
        </is>
      </c>
      <c r="B3" s="3" t="inlineStr">
        <is>
          <t>檔名係 2026-09-28，但入面係 2026-09-25 嘅收市（吻合 99.9%，同 2026-09-28 只有 26.7%）：當 2026-09-25 快照用；Nasdaq API 到美東早上五點都仲未轉日</t>
        </is>
      </c>
    </row>
    <row r="4" ht="32" customHeight="1">
      <c r="A4" s="29" t="inlineStr">
        <is>
          <t>快照 2026-09-30</t>
        </is>
      </c>
      <c r="B4" s="3" t="inlineStr">
        <is>
          <t>檔名係 2026-09-30，但入面係 2026-09-29 嘅收市（吻合 100.0%，同 2026-09-30 只有 26.1%）：當 2026-09-29 快照用；Nasdaq API 到美東早上五點都仲未轉日</t>
        </is>
      </c>
    </row>
    <row r="5" ht="32" customHeight="1">
      <c r="A5" s="29" t="inlineStr">
        <is>
          <t>2026-09-29 收市</t>
        </is>
      </c>
      <c r="B5" s="3" t="inlineStr">
        <is>
          <t>Yahoo 對 Nasdaq 收市後快照（檔 2026-09-30）：3,830 隻，100.0% 喺 0.5% 之內</t>
        </is>
      </c>
    </row>
    <row r="6" ht="32" customHeight="1">
      <c r="A6" s="29" t="inlineStr">
        <is>
          <t>2026-09-28 收市</t>
        </is>
      </c>
      <c r="B6" s="3" t="inlineStr">
        <is>
          <t>Yahoo 對 2026-09-29 快照「收市 − 升跌」反推嘅前收：3,830 隻，100.0% 喺 0.5% 之內</t>
        </is>
      </c>
    </row>
    <row r="7" ht="32" customHeight="1">
      <c r="A7" s="29" t="inlineStr">
        <is>
          <t>2026-09-30 收市</t>
        </is>
      </c>
      <c r="B7" s="3" t="inlineStr">
        <is>
          <t>冇官方快照（Nasdaq API 未轉日）；Yahoo 日線齊全（3,861 隻），只得一個來源</t>
        </is>
      </c>
    </row>
    <row r="8" ht="32" customHeight="1">
      <c r="A8" s="29" t="inlineStr">
        <is>
          <t>Nasdaq 序列</t>
        </is>
      </c>
      <c r="B8" s="3" t="inlineStr">
        <is>
          <t>R1–R22 用嚟做第二來源同上市日期嘅序列檔（data/series*.pkl，gitignore）喺 10-01 容器重設後消失；上市日期改由 data/nasdaq_listing_dates.json（R21／R22 審計所存，164 隻）提供，另加 SPAC 空殼期偵測（今次捉到 15 隻）；兩源核對只剩收市後快照</t>
        </is>
      </c>
    </row>
    <row r="9" ht="32" customHeight="1">
      <c r="A9" s="29" t="inlineStr">
        <is>
          <t>名單逐隻</t>
        </is>
      </c>
      <c r="B9" s="3" t="inlineStr">
        <is>
          <t>22 隻（兩個梯隊）對快照日嘅最大差 0.000%；第一梯隊最大 0.000%（RLGT）</t>
        </is>
      </c>
    </row>
    <row r="11" ht="42" customHeight="1">
      <c r="A11" s="4" t="inlineStr">
        <is>
          <t>代號</t>
        </is>
      </c>
      <c r="B11" s="4" t="inlineStr">
        <is>
          <t>總表排名</t>
        </is>
      </c>
      <c r="C11" s="4" t="inlineStr">
        <is>
          <t>比較點數</t>
        </is>
      </c>
      <c r="D11" s="4" t="inlineStr">
        <is>
          <t>最大差%</t>
        </is>
      </c>
      <c r="E11" s="4" t="inlineStr">
        <is>
          <t>2026-09-23 收市差%</t>
        </is>
      </c>
      <c r="F11" s="4" t="inlineStr">
        <is>
          <t>2026-09-25 收市差%</t>
        </is>
      </c>
      <c r="G11" s="4" t="inlineStr">
        <is>
          <t>2026-09-29 收市差%</t>
        </is>
      </c>
    </row>
    <row r="12">
      <c r="A12" s="27" t="inlineStr">
        <is>
          <t>RLGT</t>
        </is>
      </c>
      <c r="B12" s="6">
        <f>'總表'!B2</f>
        <v/>
      </c>
      <c r="C12" s="6" t="n">
        <v>6</v>
      </c>
      <c r="D12" s="23" t="n">
        <v>0</v>
      </c>
      <c r="E12" s="23" t="n">
        <v>0</v>
      </c>
      <c r="F12" s="23" t="n">
        <v>0</v>
      </c>
      <c r="G12" s="23" t="n">
        <v>0</v>
      </c>
    </row>
    <row r="13">
      <c r="A13" s="27" t="inlineStr">
        <is>
          <t>CSR</t>
        </is>
      </c>
      <c r="B13" s="6">
        <f>'總表'!B3</f>
        <v/>
      </c>
      <c r="C13" s="6" t="n">
        <v>6</v>
      </c>
      <c r="D13" s="23" t="n">
        <v>0</v>
      </c>
      <c r="E13" s="23" t="n">
        <v>0</v>
      </c>
      <c r="F13" s="23" t="n">
        <v>0</v>
      </c>
      <c r="G13" s="23" t="n">
        <v>0</v>
      </c>
    </row>
    <row r="14">
      <c r="A14" s="27" t="inlineStr">
        <is>
          <t>BSVN</t>
        </is>
      </c>
      <c r="B14" s="6">
        <f>'總表'!B4</f>
        <v/>
      </c>
      <c r="C14" s="6" t="n">
        <v>6</v>
      </c>
      <c r="D14" s="23" t="n">
        <v>0</v>
      </c>
      <c r="E14" s="23" t="n">
        <v>0</v>
      </c>
      <c r="F14" s="23" t="n">
        <v>0</v>
      </c>
      <c r="G14" s="23" t="n">
        <v>0</v>
      </c>
    </row>
    <row r="15">
      <c r="A15" s="27" t="inlineStr">
        <is>
          <t>CRSR</t>
        </is>
      </c>
      <c r="B15" s="6">
        <f>'總表'!B5</f>
        <v/>
      </c>
      <c r="C15" s="6" t="n">
        <v>6</v>
      </c>
      <c r="D15" s="23" t="n">
        <v>0</v>
      </c>
      <c r="E15" s="23" t="n">
        <v>0</v>
      </c>
      <c r="F15" s="23" t="n">
        <v>0</v>
      </c>
      <c r="G15" s="23" t="n">
        <v>0</v>
      </c>
    </row>
    <row r="16">
      <c r="A16" s="27" t="inlineStr">
        <is>
          <t>CMRC</t>
        </is>
      </c>
      <c r="B16" s="6">
        <f>'總表'!B6</f>
        <v/>
      </c>
      <c r="C16" s="6" t="n">
        <v>6</v>
      </c>
      <c r="D16" s="23" t="n">
        <v>0</v>
      </c>
      <c r="E16" s="23" t="n">
        <v>0</v>
      </c>
      <c r="F16" s="23" t="n">
        <v>0</v>
      </c>
      <c r="G16" s="23" t="n">
        <v>0</v>
      </c>
    </row>
    <row r="17">
      <c r="A17" s="27" t="inlineStr">
        <is>
          <t>OMER</t>
        </is>
      </c>
      <c r="B17" s="6">
        <f>'總表'!B7</f>
        <v/>
      </c>
      <c r="C17" s="6" t="n">
        <v>6</v>
      </c>
      <c r="D17" s="23" t="n">
        <v>0</v>
      </c>
      <c r="E17" s="23" t="n">
        <v>0</v>
      </c>
      <c r="F17" s="23" t="n">
        <v>0</v>
      </c>
      <c r="G17" s="23" t="n">
        <v>0</v>
      </c>
    </row>
    <row r="18">
      <c r="A18" s="27" t="inlineStr">
        <is>
          <t>HAE</t>
        </is>
      </c>
      <c r="B18" s="6">
        <f>'總表'!B8</f>
        <v/>
      </c>
      <c r="C18" s="6" t="n">
        <v>6</v>
      </c>
      <c r="D18" s="23" t="n">
        <v>0</v>
      </c>
      <c r="E18" s="23" t="n">
        <v>0</v>
      </c>
      <c r="F18" s="23" t="n">
        <v>0</v>
      </c>
      <c r="G18" s="23" t="n">
        <v>0</v>
      </c>
    </row>
    <row r="19">
      <c r="A19" s="27" t="inlineStr">
        <is>
          <t>ASST</t>
        </is>
      </c>
      <c r="B19" s="6">
        <f>'總表'!B9</f>
        <v/>
      </c>
      <c r="C19" s="6" t="n">
        <v>6</v>
      </c>
      <c r="D19" s="23" t="n">
        <v>0</v>
      </c>
      <c r="E19" s="23" t="n">
        <v>0</v>
      </c>
      <c r="F19" s="23" t="n">
        <v>0</v>
      </c>
      <c r="G19" s="23" t="n">
        <v>0</v>
      </c>
    </row>
    <row r="20">
      <c r="A20" s="27" t="inlineStr">
        <is>
          <t>GEMI</t>
        </is>
      </c>
      <c r="B20" s="6">
        <f>'總表'!B10</f>
        <v/>
      </c>
      <c r="C20" s="6" t="n">
        <v>6</v>
      </c>
      <c r="D20" s="23" t="n">
        <v>0</v>
      </c>
      <c r="E20" s="23" t="n">
        <v>0</v>
      </c>
      <c r="F20" s="23" t="n">
        <v>0</v>
      </c>
      <c r="G20" s="23" t="n">
        <v>0</v>
      </c>
    </row>
    <row r="21">
      <c r="A21" s="27" t="inlineStr">
        <is>
          <t>UMAC</t>
        </is>
      </c>
      <c r="B21" s="6">
        <f>'總表'!B11</f>
        <v/>
      </c>
      <c r="C21" s="6" t="n">
        <v>6</v>
      </c>
      <c r="D21" s="23" t="n">
        <v>0</v>
      </c>
      <c r="E21" s="23" t="n">
        <v>0</v>
      </c>
      <c r="F21" s="23" t="n">
        <v>0</v>
      </c>
      <c r="G21" s="23" t="n">
        <v>0</v>
      </c>
    </row>
    <row r="22">
      <c r="A22" s="27" t="inlineStr">
        <is>
          <t>PURR</t>
        </is>
      </c>
      <c r="B22" s="6">
        <f>'總表'!B12</f>
        <v/>
      </c>
      <c r="C22" s="6" t="n">
        <v>6</v>
      </c>
      <c r="D22" s="23" t="n">
        <v>0</v>
      </c>
      <c r="E22" s="23" t="n">
        <v>0</v>
      </c>
      <c r="F22" s="23" t="n">
        <v>0</v>
      </c>
      <c r="G22" s="23" t="n">
        <v>0</v>
      </c>
    </row>
    <row r="23">
      <c r="A23" s="27" t="inlineStr">
        <is>
          <t>UTMD</t>
        </is>
      </c>
      <c r="B23" s="6">
        <f>'總表'!B13</f>
        <v/>
      </c>
      <c r="C23" s="6" t="n">
        <v>6</v>
      </c>
      <c r="D23" s="23" t="n">
        <v>0</v>
      </c>
      <c r="E23" s="23" t="n">
        <v>0</v>
      </c>
      <c r="F23" s="23" t="n">
        <v>0</v>
      </c>
      <c r="G23" s="23" t="n">
        <v>0</v>
      </c>
    </row>
    <row r="24">
      <c r="A24" s="27" t="inlineStr">
        <is>
          <t>RNG</t>
        </is>
      </c>
      <c r="B24" s="6">
        <f>'總表'!B14</f>
        <v/>
      </c>
      <c r="C24" s="6" t="n">
        <v>6</v>
      </c>
      <c r="D24" s="23" t="n">
        <v>0</v>
      </c>
      <c r="E24" s="23" t="n">
        <v>0</v>
      </c>
      <c r="F24" s="23" t="n">
        <v>0</v>
      </c>
      <c r="G24" s="23" t="n">
        <v>0</v>
      </c>
    </row>
    <row r="25">
      <c r="A25" s="27" t="inlineStr">
        <is>
          <t>ASO</t>
        </is>
      </c>
      <c r="B25" s="6">
        <f>'總表'!B15</f>
        <v/>
      </c>
      <c r="C25" s="6" t="n">
        <v>6</v>
      </c>
      <c r="D25" s="23" t="n">
        <v>0</v>
      </c>
      <c r="E25" s="23" t="n">
        <v>0</v>
      </c>
      <c r="F25" s="23" t="n">
        <v>0</v>
      </c>
      <c r="G25" s="23" t="n">
        <v>0</v>
      </c>
    </row>
    <row r="26">
      <c r="A26" s="27" t="inlineStr">
        <is>
          <t>BVS</t>
        </is>
      </c>
      <c r="B26" s="6">
        <f>'總表'!B16</f>
        <v/>
      </c>
      <c r="C26" s="6" t="n">
        <v>6</v>
      </c>
      <c r="D26" s="23" t="n">
        <v>0</v>
      </c>
      <c r="E26" s="23" t="n">
        <v>0</v>
      </c>
      <c r="F26" s="23" t="n">
        <v>0</v>
      </c>
      <c r="G26" s="23" t="n">
        <v>0</v>
      </c>
    </row>
    <row r="27">
      <c r="A27" s="27" t="inlineStr">
        <is>
          <t>PLSE</t>
        </is>
      </c>
      <c r="B27" s="6">
        <f>'總表'!B17</f>
        <v/>
      </c>
      <c r="C27" s="6" t="n">
        <v>6</v>
      </c>
      <c r="D27" s="23" t="n">
        <v>0</v>
      </c>
      <c r="E27" s="23" t="n">
        <v>0</v>
      </c>
      <c r="F27" s="23" t="n">
        <v>0</v>
      </c>
      <c r="G27" s="23" t="n">
        <v>0</v>
      </c>
    </row>
    <row r="28">
      <c r="A28" s="27" t="inlineStr">
        <is>
          <t>BBNX</t>
        </is>
      </c>
      <c r="B28" s="6">
        <f>'總表'!B18</f>
        <v/>
      </c>
      <c r="C28" s="6" t="n">
        <v>6</v>
      </c>
      <c r="D28" s="23" t="n">
        <v>0</v>
      </c>
      <c r="E28" s="23" t="n">
        <v>0</v>
      </c>
      <c r="F28" s="23" t="n">
        <v>0</v>
      </c>
      <c r="G28" s="23" t="n">
        <v>0</v>
      </c>
    </row>
    <row r="29">
      <c r="A29" s="27" t="inlineStr">
        <is>
          <t>PKOH</t>
        </is>
      </c>
      <c r="B29" s="6">
        <f>'總表'!B19</f>
        <v/>
      </c>
      <c r="C29" s="6" t="n">
        <v>6</v>
      </c>
      <c r="D29" s="23" t="n">
        <v>0</v>
      </c>
      <c r="E29" s="23" t="n">
        <v>0</v>
      </c>
      <c r="F29" s="23" t="n">
        <v>0</v>
      </c>
      <c r="G29" s="23" t="n">
        <v>0</v>
      </c>
    </row>
    <row r="30">
      <c r="A30" s="27" t="inlineStr">
        <is>
          <t>KN</t>
        </is>
      </c>
      <c r="B30" s="6">
        <f>'總表'!B20</f>
        <v/>
      </c>
      <c r="C30" s="6" t="n">
        <v>6</v>
      </c>
      <c r="D30" s="23" t="n">
        <v>0</v>
      </c>
      <c r="E30" s="23" t="n">
        <v>0</v>
      </c>
      <c r="F30" s="23" t="n">
        <v>0</v>
      </c>
      <c r="G30" s="23" t="n">
        <v>0</v>
      </c>
    </row>
    <row r="31">
      <c r="A31" s="27" t="inlineStr">
        <is>
          <t>FLXS</t>
        </is>
      </c>
      <c r="B31" s="6">
        <f>'總表'!B21</f>
        <v/>
      </c>
      <c r="C31" s="6" t="n">
        <v>6</v>
      </c>
      <c r="D31" s="23" t="n">
        <v>0</v>
      </c>
      <c r="E31" s="23" t="n">
        <v>0</v>
      </c>
      <c r="F31" s="23" t="n">
        <v>0</v>
      </c>
      <c r="G31" s="23" t="n">
        <v>0</v>
      </c>
    </row>
    <row r="32">
      <c r="A32" s="27" t="inlineStr">
        <is>
          <t>AVTR</t>
        </is>
      </c>
      <c r="B32" s="6">
        <f>'總表'!B22</f>
        <v/>
      </c>
      <c r="C32" s="6" t="n">
        <v>6</v>
      </c>
      <c r="D32" s="23" t="n">
        <v>0</v>
      </c>
      <c r="E32" s="23" t="n">
        <v>0</v>
      </c>
      <c r="F32" s="23" t="n">
        <v>0</v>
      </c>
      <c r="G32" s="23" t="n">
        <v>0</v>
      </c>
    </row>
    <row r="33">
      <c r="A33" s="27" t="inlineStr">
        <is>
          <t>AMBA</t>
        </is>
      </c>
      <c r="B33" s="6">
        <f>'總表'!B23</f>
        <v/>
      </c>
      <c r="C33" s="6" t="n">
        <v>6</v>
      </c>
      <c r="D33" s="23" t="n">
        <v>0</v>
      </c>
      <c r="E33" s="23" t="n">
        <v>0</v>
      </c>
      <c r="F33" s="23" t="n">
        <v>0</v>
      </c>
      <c r="G33" s="23" t="n">
        <v>0</v>
      </c>
    </row>
  </sheetData>
  <autoFilter ref="A11:G11"/>
  <mergeCells count="7">
    <mergeCell ref="B4:F4"/>
    <mergeCell ref="B7:F7"/>
    <mergeCell ref="B6:F6"/>
    <mergeCell ref="B3:F3"/>
    <mergeCell ref="B5:F5"/>
    <mergeCell ref="B8:F8"/>
    <mergeCell ref="B9:F9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0" customWidth="1" min="3" max="3"/>
    <col width="10" customWidth="1" min="4" max="4"/>
  </cols>
  <sheetData>
    <row r="1">
      <c r="A1" s="1" t="inlineStr">
        <is>
          <t>市況（2026-09-30 收市）</t>
        </is>
      </c>
    </row>
    <row r="3" ht="30" customHeight="1">
      <c r="A3" s="29" t="inlineStr">
        <is>
          <t>09-29（二）</t>
        </is>
      </c>
      <c r="B3" s="3" t="inlineStr">
        <is>
          <t>標普 −0.16% 至 7,670.84、道指 −0.26% 至 51,349.92、納指 −0.09% 至 26,797.54；長債息再創多年新高，三大指數連跌兩日。（AP、CNBC）</t>
        </is>
      </c>
    </row>
    <row r="4" ht="30" customHeight="1">
      <c r="A4" s="29" t="inlineStr">
        <is>
          <t>09-30（三）</t>
        </is>
      </c>
      <c r="B4" s="3" t="inlineStr">
        <is>
          <t>標普 −0.3% 至 7,651.54、道指 −0.9%、納指 +0.2%、羅素 2000 −0.4% 至 2,796.86；大部分股票下跌 —— 春季 GDP 上修令債息企硬。（AP）</t>
        </is>
      </c>
    </row>
    <row r="5" ht="18" customHeight="1">
      <c r="A5" s="29" t="inlineStr">
        <is>
          <t>背景</t>
        </is>
      </c>
      <c r="B5" s="3" t="inlineStr">
        <is>
          <t>09-28 10 年期美債息 5.23%（2007 年以來最高）、特朗普拒絕伊朗和平方案油價升（R22 記錄）；聯儲 09-16 加息至 3.75%–4.00%。</t>
        </is>
      </c>
    </row>
    <row r="6" ht="30" customHeight="1">
      <c r="A6" s="29" t="inlineStr">
        <is>
          <t>大市闊度</t>
        </is>
      </c>
      <c r="B6" s="3" t="inlineStr">
        <is>
          <t>合資格股票每日中位數：09-25 +0.25%（57% 上升）；09-28 -0.71%（31% 上升）；09-29 -0.33%（39% 上升）；09-30 -0.61%（32% 上升）</t>
        </is>
      </c>
    </row>
    <row r="8">
      <c r="A8" s="33" t="inlineStr">
        <is>
          <t>日期</t>
        </is>
      </c>
      <c r="B8" s="33" t="inlineStr">
        <is>
          <t>合資格股票當日中位數</t>
        </is>
      </c>
      <c r="C8" s="33" t="inlineStr">
        <is>
          <t>上升比例</t>
        </is>
      </c>
      <c r="D8" s="33" t="inlineStr">
        <is>
          <t>股票數</t>
        </is>
      </c>
    </row>
    <row r="9">
      <c r="A9" s="2" t="inlineStr">
        <is>
          <t>2026-09-23</t>
        </is>
      </c>
      <c r="B9" s="16" t="n">
        <v>-0.01295463645136474</v>
      </c>
      <c r="C9" s="15" t="n">
        <v>0.2168718320057929</v>
      </c>
      <c r="D9" s="34" t="n">
        <v>2762</v>
      </c>
    </row>
    <row r="10">
      <c r="A10" s="2" t="inlineStr">
        <is>
          <t>2026-09-24</t>
        </is>
      </c>
      <c r="B10" s="16" t="n">
        <v>-0.002170612891441215</v>
      </c>
      <c r="C10" s="15" t="n">
        <v>0.442070963070239</v>
      </c>
      <c r="D10" s="34" t="n">
        <v>2762</v>
      </c>
    </row>
    <row r="11">
      <c r="A11" s="2" t="inlineStr">
        <is>
          <t>2026-09-25</t>
        </is>
      </c>
      <c r="B11" s="16" t="n">
        <v>0.002518217955965296</v>
      </c>
      <c r="C11" s="15" t="n">
        <v>0.5669804489500362</v>
      </c>
      <c r="D11" s="34" t="n">
        <v>2762</v>
      </c>
    </row>
    <row r="12">
      <c r="A12" s="2" t="inlineStr">
        <is>
          <t>2026-09-28</t>
        </is>
      </c>
      <c r="B12" s="16" t="n">
        <v>-0.007062828404038546</v>
      </c>
      <c r="C12" s="15" t="n">
        <v>0.3070238957277335</v>
      </c>
      <c r="D12" s="34" t="n">
        <v>2762</v>
      </c>
    </row>
    <row r="13">
      <c r="A13" s="2" t="inlineStr">
        <is>
          <t>2026-09-29</t>
        </is>
      </c>
      <c r="B13" s="16" t="n">
        <v>-0.003329497087580791</v>
      </c>
      <c r="C13" s="15" t="n">
        <v>0.3917451122375091</v>
      </c>
      <c r="D13" s="34" t="n">
        <v>2762</v>
      </c>
    </row>
    <row r="14">
      <c r="A14" s="2" t="inlineStr">
        <is>
          <t>2026-09-30</t>
        </is>
      </c>
      <c r="B14" s="16" t="n">
        <v>-0.006141255154380021</v>
      </c>
      <c r="C14" s="15" t="n">
        <v>0.3189717595944968</v>
      </c>
      <c r="D14" s="34" t="n">
        <v>2762</v>
      </c>
    </row>
    <row r="16">
      <c r="A16" s="29" t="inlineStr">
        <is>
          <t>名單板塊分佈（兩個梯隊）</t>
        </is>
      </c>
    </row>
    <row r="17">
      <c r="A17" s="2" t="inlineStr">
        <is>
          <t>醫療保健</t>
        </is>
      </c>
      <c r="B17" s="6">
        <f>COUNTIF('總表'!F2:F23,A17)</f>
        <v/>
      </c>
    </row>
    <row r="18">
      <c r="A18" s="2" t="inlineStr">
        <is>
          <t>科技</t>
        </is>
      </c>
      <c r="B18" s="6">
        <f>COUNTIF('總表'!F2:F23,A18)</f>
        <v/>
      </c>
    </row>
    <row r="19">
      <c r="A19" s="2" t="inlineStr">
        <is>
          <t>金融</t>
        </is>
      </c>
      <c r="B19" s="6">
        <f>COUNTIF('總表'!F2:F23,A19)</f>
        <v/>
      </c>
    </row>
    <row r="20">
      <c r="A20" s="2" t="inlineStr">
        <is>
          <t>工業</t>
        </is>
      </c>
      <c r="B20" s="6">
        <f>COUNTIF('總表'!F2:F23,A20)</f>
        <v/>
      </c>
    </row>
    <row r="21">
      <c r="A21" s="2" t="inlineStr">
        <is>
          <t>非必需消費</t>
        </is>
      </c>
      <c r="B21" s="6">
        <f>COUNTIF('總表'!F2:F23,A21)</f>
        <v/>
      </c>
    </row>
    <row r="22">
      <c r="A22" s="2" t="inlineStr">
        <is>
          <t>房地產</t>
        </is>
      </c>
      <c r="B22" s="6">
        <f>COUNTIF('總表'!F2:F23,A22)</f>
        <v/>
      </c>
    </row>
    <row r="23">
      <c r="A23" s="2" t="inlineStr">
        <is>
          <t>必需消費</t>
        </is>
      </c>
      <c r="B23" s="6">
        <f>COUNTIF('總表'!F2:F23,A23)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26" customWidth="1" min="4" max="4"/>
    <col width="10" customWidth="1" min="5" max="5"/>
    <col width="8" customWidth="1" min="6" max="6"/>
    <col width="8" customWidth="1" min="7" max="7"/>
    <col width="14" customWidth="1" min="8" max="8"/>
    <col width="90" customWidth="1" min="9" max="9"/>
    <col width="40" customWidth="1" min="10" max="10"/>
  </cols>
  <sheetData>
    <row r="1">
      <c r="A1" s="1" t="inlineStr">
        <is>
          <t>事件日當日發生咗乜（「消息驅動」嘅核實；逐隻查）</t>
        </is>
      </c>
    </row>
    <row r="3" ht="42" customHeight="1">
      <c r="A3" s="4" t="inlineStr">
        <is>
          <t>梯隊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事件日</t>
        </is>
      </c>
      <c r="F3" s="4" t="inlineStr">
        <is>
          <t>事件日升幅</t>
        </is>
      </c>
      <c r="G3" s="4" t="inlineStr">
        <is>
          <t>事件日量比</t>
        </is>
      </c>
      <c r="H3" s="4" t="inlineStr">
        <is>
          <t>來源</t>
        </is>
      </c>
      <c r="I3" s="4" t="inlineStr">
        <is>
          <t>內容</t>
        </is>
      </c>
      <c r="J3" s="4" t="inlineStr">
        <is>
          <t>連結</t>
        </is>
      </c>
    </row>
    <row r="4" ht="32" customHeight="1">
      <c r="A4" s="6" t="n">
        <v>1</v>
      </c>
      <c r="B4" s="6">
        <f>'總表'!B2</f>
        <v/>
      </c>
      <c r="C4" s="27" t="inlineStr">
        <is>
          <t>RLGT</t>
        </is>
      </c>
      <c r="D4" s="2" t="inlineStr">
        <is>
          <t>Radiant Logistics Inc.</t>
        </is>
      </c>
      <c r="E4" s="2">
        <f>'總表'!AD2</f>
        <v/>
      </c>
      <c r="F4" s="13">
        <f>'總表'!AE2</f>
        <v/>
      </c>
      <c r="G4" s="20">
        <f>'總表'!AG2</f>
        <v/>
      </c>
      <c r="H4" s="2" t="inlineStr">
        <is>
          <t>R23.00 查證</t>
        </is>
      </c>
      <c r="I4" s="3" t="inlineStr">
        <is>
          <t>09-14 收市後公佈 FY26 Q4 業績勝預期，09-15 Citizens 由 Market Perform 升至 Outperform（目標 $10）→ 當日 +19.5%（媒體報 +20.8%），創歷史收市新高 $9.81。</t>
        </is>
      </c>
      <c r="J4" s="35" t="inlineStr">
        <is>
          <t>https://www.benzinga.com/quote/RLGT</t>
        </is>
      </c>
    </row>
    <row r="5" ht="32" customHeight="1">
      <c r="A5" s="6" t="n">
        <v>1</v>
      </c>
      <c r="B5" s="6">
        <f>'總表'!B3</f>
        <v/>
      </c>
      <c r="C5" s="27" t="inlineStr">
        <is>
          <t>CSR</t>
        </is>
      </c>
      <c r="D5" s="2" t="inlineStr">
        <is>
          <t>D/B/A Centerspace</t>
        </is>
      </c>
      <c r="E5" s="2">
        <f>'總表'!AD3</f>
        <v/>
      </c>
      <c r="F5" s="13">
        <f>'總表'!AE3</f>
        <v/>
      </c>
      <c r="G5" s="20">
        <f>'總表'!AG3</f>
        <v/>
      </c>
      <c r="H5" s="2" t="inlineStr">
        <is>
          <t>R23.00 查證</t>
        </is>
      </c>
      <c r="I5" s="3" t="inlineStr">
        <is>
          <t>09-09 公佈同 Independence Realty Trust（IRT）全換股合併：每股 CSR 換 3.800 股 IRT，交易值 $81 億，CSR 股東將持合併後約 22% → 當日跳空 +9.7% 開、收 +8.8%。</t>
        </is>
      </c>
      <c r="J5" s="35" t="inlineStr">
        <is>
          <t>https://www.stocktitan.net/sec-filings/CSR/8-k-centerspace-reports-material-event-e33b27466930.html</t>
        </is>
      </c>
    </row>
    <row r="6" ht="32" customHeight="1">
      <c r="A6" s="6" t="n">
        <v>1</v>
      </c>
      <c r="B6" s="6">
        <f>'總表'!B4</f>
        <v/>
      </c>
      <c r="C6" s="27" t="inlineStr">
        <is>
          <t>BSVN</t>
        </is>
      </c>
      <c r="D6" s="2" t="inlineStr">
        <is>
          <t>Bank7 Corp. Common stock</t>
        </is>
      </c>
      <c r="E6" s="2">
        <f>'總表'!AD4</f>
        <v/>
      </c>
      <c r="F6" s="13">
        <f>'總表'!AE4</f>
        <v/>
      </c>
      <c r="G6" s="20">
        <f>'總表'!AG4</f>
        <v/>
      </c>
      <c r="H6" s="2" t="inlineStr">
        <is>
          <t>R23.00 查證</t>
        </is>
      </c>
      <c r="I6" s="3" t="inlineStr">
        <is>
          <t>09-03 宣布中標收購 Century Financial Services 控股權；09-04 Piper Sandler 給予買入評級 → 當日 +9.5%。</t>
        </is>
      </c>
      <c r="J6" s="35" t="inlineStr">
        <is>
          <t>https://www.stocktitan.net/overview/BSVN/</t>
        </is>
      </c>
    </row>
    <row r="7" ht="32" customHeight="1">
      <c r="A7" s="6" t="n">
        <v>2</v>
      </c>
      <c r="B7" s="6">
        <f>'總表'!B5</f>
        <v/>
      </c>
      <c r="C7" s="27" t="inlineStr">
        <is>
          <t>CRSR</t>
        </is>
      </c>
      <c r="D7" s="2" t="inlineStr">
        <is>
          <t>Corsair Gaming Inc.</t>
        </is>
      </c>
      <c r="E7" s="2">
        <f>'總表'!AD5</f>
        <v/>
      </c>
      <c r="F7" s="13">
        <f>'總表'!AE5</f>
        <v/>
      </c>
      <c r="G7" s="20">
        <f>'總表'!AG5</f>
        <v/>
      </c>
      <c r="H7" s="2" t="inlineStr">
        <is>
          <t>R23.00 查證</t>
        </is>
      </c>
      <c r="I7" s="3" t="inlineStr">
        <is>
          <t>05-28 公佈轉向 AI 基建產品線後股價創 52 周新高（年內已倍升）；分析員認為升幅超出基本面。</t>
        </is>
      </c>
      <c r="J7" s="35" t="inlineStr">
        <is>
          <t>https://www.fool.com/investing/2026/05/28/corsair-gaming-stock-takes-off-after-unveiling-new/</t>
        </is>
      </c>
    </row>
    <row r="8" ht="32" customHeight="1">
      <c r="A8" s="6" t="n">
        <v>2</v>
      </c>
      <c r="B8" s="6">
        <f>'總表'!B6</f>
        <v/>
      </c>
      <c r="C8" s="27" t="inlineStr">
        <is>
          <t>CMRC</t>
        </is>
      </c>
      <c r="D8" s="2" t="inlineStr">
        <is>
          <t>Commerce.com Inc. Series 1</t>
        </is>
      </c>
      <c r="E8" s="2">
        <f>'總表'!AD6</f>
        <v/>
      </c>
      <c r="F8" s="13">
        <f>'總表'!AE6</f>
        <v/>
      </c>
      <c r="G8" s="20">
        <f>'總表'!AG6</f>
        <v/>
      </c>
      <c r="H8" s="2" t="inlineStr">
        <is>
          <t>R23.00 查證</t>
        </is>
      </c>
      <c r="I8" s="3" t="inlineStr">
        <is>
          <t>09-10 公佈年省 $6,000–8,000 萬成本計劃、2027 年起非 GAAP 營運利潤率 ≥20%、$5,000 萬回購、上調營運利潤指引 → 當日 +18.5%（媒體 +8% 至 +24% 不等）。</t>
        </is>
      </c>
      <c r="J8" s="35" t="inlineStr">
        <is>
          <t>https://www.investing.com/news/stock-market-news/commercecom-stock-jumps-8-on-profitability-plan-93CH-4895934</t>
        </is>
      </c>
    </row>
    <row r="9" ht="32" customHeight="1">
      <c r="A9" s="6" t="n">
        <v>2</v>
      </c>
      <c r="B9" s="6">
        <f>'總表'!B7</f>
        <v/>
      </c>
      <c r="C9" s="27" t="inlineStr">
        <is>
          <t>OMER</t>
        </is>
      </c>
      <c r="D9" s="2" t="inlineStr">
        <is>
          <t>Omeros Corporation</t>
        </is>
      </c>
      <c r="E9" s="2">
        <f>'總表'!AD7</f>
        <v/>
      </c>
      <c r="F9" s="13">
        <f>'總表'!AE7</f>
        <v/>
      </c>
      <c r="G9" s="20">
        <f>'總表'!AG7</f>
        <v/>
      </c>
      <c r="H9" s="2" t="inlineStr">
        <is>
          <t>R23.00 查證</t>
        </is>
      </c>
      <c r="I9" s="3" t="inlineStr">
        <is>
          <t>08-13 Q2：YARTEMLEA 上市後收入按季 +190%（淨收入 $2,850 萬 vs 預期 $1,300 萬），EPS $0.02 vs 預期 −$0.27 → 當日 +26.5%（媒體 +15% 至 +17%）。另有報道指同 Novo Nordisk 達成 $21 億協議，日期未核實。</t>
        </is>
      </c>
      <c r="J9" s="35" t="inlineStr">
        <is>
          <t>https://www.gurufocus.com/news/9031316/omeros-corp-omer-shares-surge-15-on-q2-boost-pricetosales-valuation-raises-growth-expectations</t>
        </is>
      </c>
    </row>
    <row r="10" ht="32" customHeight="1">
      <c r="A10" s="6" t="n">
        <v>2</v>
      </c>
      <c r="B10" s="6">
        <f>'總表'!B8</f>
        <v/>
      </c>
      <c r="C10" s="27" t="inlineStr">
        <is>
          <t>HAE</t>
        </is>
      </c>
      <c r="D10" s="2" t="inlineStr">
        <is>
          <t>Haemonetics Corporation</t>
        </is>
      </c>
      <c r="E10" s="2">
        <f>'總表'!AD8</f>
        <v/>
      </c>
      <c r="F10" s="13">
        <f>'總表'!AE8</f>
        <v/>
      </c>
      <c r="G10" s="20">
        <f>'總表'!AG8</f>
        <v/>
      </c>
      <c r="H10" s="2" t="inlineStr">
        <is>
          <t>R23.00 查證</t>
        </is>
      </c>
      <c r="I10" s="3" t="inlineStr">
        <is>
          <t>08-14 同 CSL Plasma 簽署 NexSys PCS 血漿採集設備供應協議（規模同時間表未定）→ 08-18 +15.9%（媒體 +9%）。業績本身喺 08-06。</t>
        </is>
      </c>
      <c r="J10" s="35" t="inlineStr">
        <is>
          <t>https://www.sec.gov/Archives/edgar/data/0000313143/000031314326000135/hae-20260818.htm</t>
        </is>
      </c>
    </row>
    <row r="11" ht="32" customHeight="1">
      <c r="A11" s="6" t="n">
        <v>2</v>
      </c>
      <c r="B11" s="6">
        <f>'總表'!B9</f>
        <v/>
      </c>
      <c r="C11" s="27" t="inlineStr">
        <is>
          <t>ASST</t>
        </is>
      </c>
      <c r="D11" s="2" t="inlineStr">
        <is>
          <t>Strive Inc. Class A</t>
        </is>
      </c>
      <c r="E11" s="2">
        <f>'總表'!AD9</f>
        <v/>
      </c>
      <c r="F11" s="13">
        <f>'總表'!AE9</f>
        <v/>
      </c>
      <c r="G11" s="20">
        <f>'總表'!AG9</f>
        <v/>
      </c>
      <c r="H11" s="2" t="inlineStr">
        <is>
          <t>R23.00 查證</t>
        </is>
      </c>
      <c r="I11" s="3" t="inlineStr">
        <is>
          <t>比特幣庫存公司（持 &gt;20,000 BTC）：08-21 Benchmark 重申買入（目標 $32）、Point72 新持倉、08-17–21 再買 1,110 BTC → +13%。股價基本上跟比特幣走。</t>
        </is>
      </c>
      <c r="J11" s="35" t="inlineStr">
        <is>
          <t>https://www.investing.com/news/stock-market-news/why-is-strive-stock-surging-over-8-today-93CH-4871604</t>
        </is>
      </c>
    </row>
    <row r="12" ht="32" customHeight="1">
      <c r="A12" s="6" t="n">
        <v>2</v>
      </c>
      <c r="B12" s="6">
        <f>'總表'!B10</f>
        <v/>
      </c>
      <c r="C12" s="27" t="inlineStr">
        <is>
          <t>GEMI</t>
        </is>
      </c>
      <c r="D12" s="2" t="inlineStr">
        <is>
          <t>Gemini Space Station Inc. Class A</t>
        </is>
      </c>
      <c r="E12" s="2">
        <f>'總表'!AD10</f>
        <v/>
      </c>
      <c r="F12" s="13">
        <f>'總表'!AE10</f>
        <v/>
      </c>
      <c r="G12" s="20">
        <f>'總表'!AG10</f>
        <v/>
      </c>
      <c r="H12" s="2" t="inlineStr">
        <is>
          <t>R23.00 查證</t>
        </is>
      </c>
      <c r="I12" s="3" t="inlineStr">
        <is>
          <t>09-18 SEC 推出代幣化股票五年豁免，加密板塊齊升，GEMI +31.2%；但過去 12 個月跌 76%，升浪係低位反彈。</t>
        </is>
      </c>
      <c r="J12" s="35" t="inlineStr">
        <is>
          <t>https://www.fool.com/investing/2026/09/18/why-gemini-space-station-stock-jumped-312-today/</t>
        </is>
      </c>
    </row>
    <row r="13" ht="32" customHeight="1">
      <c r="A13" s="6" t="n">
        <v>2</v>
      </c>
      <c r="B13" s="6">
        <f>'總表'!B11</f>
        <v/>
      </c>
      <c r="C13" s="27" t="inlineStr">
        <is>
          <t>UMAC</t>
        </is>
      </c>
      <c r="D13" s="2" t="inlineStr">
        <is>
          <t>Unusual Machines Inc.</t>
        </is>
      </c>
      <c r="E13" s="2">
        <f>'總表'!AD11</f>
        <v/>
      </c>
      <c r="F13" s="13">
        <f>'總表'!AE11</f>
        <v/>
      </c>
      <c r="G13" s="20">
        <f>'總表'!AG11</f>
        <v/>
      </c>
      <c r="H13" s="2" t="inlineStr">
        <is>
          <t>R23.00 查證</t>
        </is>
      </c>
      <c r="I13" s="3" t="inlineStr">
        <is>
          <t>05-28 WSJ 報道特朗普政府考慮資助美國無人機公司，市場估 UMAC 入圍（Donald Trump Jr. 係顧問）→ 當日 +57%；之後 05-14 業績後嘅沽壓逆轉。消息係傳聞性質。</t>
        </is>
      </c>
      <c r="J13" s="35" t="inlineStr">
        <is>
          <t>https://www.fool.com/investing/2026/05/28/why-unusual-machines-stock-is-having-a-massive-bul/</t>
        </is>
      </c>
    </row>
    <row r="14" ht="32" customHeight="1">
      <c r="A14" s="6" t="n">
        <v>2</v>
      </c>
      <c r="B14" s="6">
        <f>'總表'!B12</f>
        <v/>
      </c>
      <c r="C14" s="27" t="inlineStr">
        <is>
          <t>PURR</t>
        </is>
      </c>
      <c r="D14" s="2" t="inlineStr">
        <is>
          <t>Hyperliquid Strategies Inc</t>
        </is>
      </c>
      <c r="E14" s="2">
        <f>'總表'!AD12</f>
        <v/>
      </c>
      <c r="F14" s="13">
        <f>'總表'!AE12</f>
        <v/>
      </c>
      <c r="G14" s="20">
        <f>'總表'!AG12</f>
        <v/>
      </c>
      <c r="H14" s="2" t="inlineStr">
        <is>
          <t>R23.00 查證（沿用）</t>
        </is>
      </c>
      <c r="I14" s="3" t="inlineStr">
        <is>
          <t>持 HYPE 代幣嘅加密貨幣庫存公司：財年純利 $3.06 億大部分係代幣未實現收益；Cantor 目標 $34.2；09-25 監管負面消息回落。股價係 HYPE 代幣嘅槓桿。（沿用 R22）</t>
        </is>
      </c>
      <c r="J14" s="35" t="inlineStr">
        <is>
          <t>https://www.gurufocus.com/news/9096248/hyperliquid-strategies-inc-purr-shows-mixed-signals-amid-rising-options-optimism</t>
        </is>
      </c>
    </row>
    <row r="15" ht="32" customHeight="1">
      <c r="A15" s="6" t="n">
        <v>2</v>
      </c>
      <c r="B15" s="6">
        <f>'總表'!B13</f>
        <v/>
      </c>
      <c r="C15" s="27" t="inlineStr">
        <is>
          <t>UTMD</t>
        </is>
      </c>
      <c r="D15" s="2" t="inlineStr">
        <is>
          <t>Utah Medical Products Inc.</t>
        </is>
      </c>
      <c r="E15" s="2">
        <f>'總表'!AD13</f>
        <v/>
      </c>
      <c r="F15" s="13">
        <f>'總表'!AE13</f>
        <v/>
      </c>
      <c r="G15" s="20">
        <f>'總表'!AG13</f>
        <v/>
      </c>
      <c r="H15" s="2" t="inlineStr">
        <is>
          <t>R23.00 查證</t>
        </is>
      </c>
      <c r="I15" s="3" t="inlineStr">
        <is>
          <t>06-26 升 6.6%（我哋數據收市對收市 +10.6%，兩者有出入）；Q2 末收 $68.98，較 Q1 末 +11.3%。冇搵到當日個股消息。</t>
        </is>
      </c>
      <c r="J15" s="35" t="inlineStr">
        <is>
          <t>https://www.macrotrends.net/stocks/charts/UTMD/utah-medical-products/stock-price-history</t>
        </is>
      </c>
    </row>
    <row r="16" ht="32" customHeight="1">
      <c r="A16" s="6" t="n">
        <v>2</v>
      </c>
      <c r="B16" s="6">
        <f>'總表'!B14</f>
        <v/>
      </c>
      <c r="C16" s="27" t="inlineStr">
        <is>
          <t>RNG</t>
        </is>
      </c>
      <c r="D16" s="2" t="inlineStr">
        <is>
          <t>RingCentral Inc. Class A</t>
        </is>
      </c>
      <c r="E16" s="2">
        <f>'總表'!AD14</f>
        <v/>
      </c>
      <c r="F16" s="13">
        <f>'總表'!AE14</f>
        <v/>
      </c>
      <c r="G16" s="20">
        <f>'總表'!AG14</f>
        <v/>
      </c>
      <c r="H16" s="2" t="inlineStr">
        <is>
          <t>R23.00 查證</t>
        </is>
      </c>
      <c r="I16" s="3" t="inlineStr">
        <is>
          <t>07-24 Q2 收入 $6.57 億勝預期、EPS $1.22 勝 $1.16–1.17，上調全年指引（收入約 $26.4 億、EPS 約 $5.03），AI 產品佔 ARR 約 13%，加息息 → 當日 +25.1%。</t>
        </is>
      </c>
      <c r="J16" s="35" t="inlineStr">
        <is>
          <t>https://www.tikr.com/blog/rng-ringcentral-nyse-stock-skyrockets-after-reporting-strong-cash-flow-and-artificial-intelligence-momentum</t>
        </is>
      </c>
    </row>
    <row r="17" ht="32" customHeight="1">
      <c r="A17" s="6" t="n">
        <v>2</v>
      </c>
      <c r="B17" s="6">
        <f>'總表'!B15</f>
        <v/>
      </c>
      <c r="C17" s="27" t="inlineStr">
        <is>
          <t>ASO</t>
        </is>
      </c>
      <c r="D17" s="2" t="inlineStr">
        <is>
          <t>Academy Sports and Outdoors Inc.</t>
        </is>
      </c>
      <c r="E17" s="2">
        <f>'總表'!AD15</f>
        <v/>
      </c>
      <c r="F17" s="13">
        <f>'總表'!AE15</f>
        <v/>
      </c>
      <c r="G17" s="20">
        <f>'總表'!AG15</f>
        <v/>
      </c>
      <c r="H17" s="2" t="inlineStr">
        <is>
          <t>R23.00 查證</t>
        </is>
      </c>
      <c r="I17" s="3" t="inlineStr">
        <is>
          <t>09-09 Q2 經調整 EPS $2.31 勝預期 $2.09（毛利率升至 40.4%，關稅退款幫忙），上調全年 EPS 指引至 $6.50–6.90 → 當日 +14.4%。</t>
        </is>
      </c>
      <c r="J17" s="35" t="inlineStr">
        <is>
          <t>https://www.investing.com/news/company-news/academy-sports-q2-2026-slides-eps-beats-on-margin-gains-shares-jump-93CH-4894101</t>
        </is>
      </c>
    </row>
    <row r="18" ht="32" customHeight="1">
      <c r="A18" s="6" t="n">
        <v>2</v>
      </c>
      <c r="B18" s="6">
        <f>'總表'!B16</f>
        <v/>
      </c>
      <c r="C18" s="27" t="inlineStr">
        <is>
          <t>BVS</t>
        </is>
      </c>
      <c r="D18" s="2" t="inlineStr">
        <is>
          <t>Bioventus Inc. Class A</t>
        </is>
      </c>
      <c r="E18" s="2">
        <f>'總表'!AD16</f>
        <v/>
      </c>
      <c r="F18" s="13">
        <f>'總表'!AE16</f>
        <v/>
      </c>
      <c r="G18" s="20">
        <f>'總表'!AG16</f>
        <v/>
      </c>
      <c r="H18" s="2" t="inlineStr">
        <is>
          <t>R23.00 查證</t>
        </is>
      </c>
      <c r="I18" s="3" t="inlineStr">
        <is>
          <t>08-05 Q2 純利 $3,340 萬（去年 $750 萬，部分來自 $2,460 萬遞延稅項撥備回撥），經調整 EBITDA 利潤率 23%，公司同時進行策略檢討 → 當日先跌後升收 +13.7%。</t>
        </is>
      </c>
      <c r="J18" s="35" t="inlineStr">
        <is>
          <t>https://simplywall.st/stocks/us/healthcare/nasdaq-bvs/bioventus/news/bioventus-bvs-stock-jumps-on-profit-strength-as-growth-risks/amp</t>
        </is>
      </c>
    </row>
    <row r="19" ht="32" customHeight="1">
      <c r="A19" s="6" t="n">
        <v>2</v>
      </c>
      <c r="B19" s="6">
        <f>'總表'!B17</f>
        <v/>
      </c>
      <c r="C19" s="27" t="inlineStr">
        <is>
          <t>PLSE</t>
        </is>
      </c>
      <c r="D19" s="2" t="inlineStr">
        <is>
          <t>Pulse Biosciences Inc</t>
        </is>
      </c>
      <c r="E19" s="2">
        <f>'總表'!AD17</f>
        <v/>
      </c>
      <c r="F19" s="13">
        <f>'總表'!AE17</f>
        <v/>
      </c>
      <c r="G19" s="20">
        <f>'總表'!AG17</f>
        <v/>
      </c>
      <c r="H19" s="2" t="inlineStr">
        <is>
          <t>R23.00 查證（沿用）</t>
        </is>
      </c>
      <c r="I19" s="3" t="inlineStr">
        <is>
          <t>7/29 NANOPULSE-AF 入組過半；09-09 +8.6% 當日消息未查。（沿用 news20）</t>
        </is>
      </c>
      <c r="J19" s="35" t="inlineStr">
        <is>
          <t>https://www.stocktitan.net/overview/PLSE/</t>
        </is>
      </c>
    </row>
    <row r="20" ht="32" customHeight="1">
      <c r="A20" s="6" t="n">
        <v>2</v>
      </c>
      <c r="B20" s="6">
        <f>'總表'!B18</f>
        <v/>
      </c>
      <c r="C20" s="27" t="inlineStr">
        <is>
          <t>BBNX</t>
        </is>
      </c>
      <c r="D20" s="2" t="inlineStr">
        <is>
          <t>Beta Bionics Inc.</t>
        </is>
      </c>
      <c r="E20" s="2">
        <f>'總表'!AD18</f>
        <v/>
      </c>
      <c r="F20" s="13">
        <f>'總表'!AE18</f>
        <v/>
      </c>
      <c r="G20" s="20">
        <f>'總表'!AG18</f>
        <v/>
      </c>
      <c r="H20" s="2" t="inlineStr">
        <is>
          <t>R23.00 查證</t>
        </is>
      </c>
      <c r="I20" s="3" t="inlineStr">
        <is>
          <t>09-16 +15.3%：BofA 目標 $18→$20、Mint 貼片泵獲 FDA 批准、同時宣布 $1.25 億配售（之後定價 $1.5 億）。</t>
        </is>
      </c>
      <c r="J20" s="35" t="inlineStr">
        <is>
          <t>https://finance.yahoo.com/markets/stocks/articles/beta-bionics-inc-bbnx-surges-102100393.html</t>
        </is>
      </c>
    </row>
    <row r="21" ht="32" customHeight="1">
      <c r="A21" s="6" t="n">
        <v>2</v>
      </c>
      <c r="B21" s="6">
        <f>'總表'!B19</f>
        <v/>
      </c>
      <c r="C21" s="27" t="inlineStr">
        <is>
          <t>PKOH</t>
        </is>
      </c>
      <c r="D21" s="2" t="inlineStr">
        <is>
          <t>Park-Ohio Holdings Corp.</t>
        </is>
      </c>
      <c r="E21" s="2">
        <f>'總表'!AD19</f>
        <v/>
      </c>
      <c r="F21" s="13">
        <f>'總表'!AE19</f>
        <v/>
      </c>
      <c r="G21" s="20">
        <f>'總表'!AG19</f>
        <v/>
      </c>
      <c r="H21" s="2" t="inlineStr">
        <is>
          <t>R23.00 查證</t>
        </is>
      </c>
      <c r="I21" s="3" t="inlineStr">
        <is>
          <t>Q2 業績 08-05 公佈（收入創紀錄 $4.4 億 +10%、毛利率 2013 年以來最高、上調全年指引）；我哋數據嘅最大升日係 08-07（+12.9%），同業績日差兩日，當日另有消息未查到。</t>
        </is>
      </c>
      <c r="J21" s="35" t="inlineStr">
        <is>
          <t>https://www.sec.gov/Archives/edgar/data/0000076282/000007628226000025/pkoh20260630-ex991earnings.htm</t>
        </is>
      </c>
    </row>
    <row r="22" ht="32" customHeight="1">
      <c r="A22" s="6" t="n">
        <v>2</v>
      </c>
      <c r="B22" s="6">
        <f>'總表'!B20</f>
        <v/>
      </c>
      <c r="C22" s="27" t="inlineStr">
        <is>
          <t>KN</t>
        </is>
      </c>
      <c r="D22" s="2" t="inlineStr">
        <is>
          <t>Knowles Corporation</t>
        </is>
      </c>
      <c r="E22" s="2">
        <f>'總表'!AD20</f>
        <v/>
      </c>
      <c r="F22" s="13">
        <f>'總表'!AE20</f>
        <v/>
      </c>
      <c r="G22" s="20">
        <f>'總表'!AG20</f>
        <v/>
      </c>
      <c r="H22" s="2" t="inlineStr">
        <is>
          <t>R23.00 查證</t>
        </is>
      </c>
      <c r="I22" s="3" t="inlineStr">
        <is>
          <t>07-23 Q2 EPS $0.33 勝預期 $0.30、收入 $1.668 億勝 $1.57 億，上調 Q3 指引 → 當日 +7.2%（我哋收市對收市 +6.0%）。</t>
        </is>
      </c>
      <c r="J22" s="35" t="inlineStr">
        <is>
          <t>https://www.marketbeat.com/instant-alerts/knowles-nysekn-releases-earnings-results-beats-estimates-by-003-eps-2026-07-23/</t>
        </is>
      </c>
    </row>
    <row r="23" ht="32" customHeight="1">
      <c r="A23" s="6" t="n">
        <v>2</v>
      </c>
      <c r="B23" s="6">
        <f>'總表'!B21</f>
        <v/>
      </c>
      <c r="C23" s="27" t="inlineStr">
        <is>
          <t>FLXS</t>
        </is>
      </c>
      <c r="D23" s="2" t="inlineStr">
        <is>
          <t>Flexsteel Industries Inc.</t>
        </is>
      </c>
      <c r="E23" s="2">
        <f>'總表'!AD21</f>
        <v/>
      </c>
      <c r="F23" s="13">
        <f>'總表'!AE21</f>
        <v/>
      </c>
      <c r="G23" s="20">
        <f>'總表'!AG21</f>
        <v/>
      </c>
      <c r="H23" s="2" t="inlineStr">
        <is>
          <t>R23.00 查證</t>
        </is>
      </c>
      <c r="I23" s="3" t="inlineStr">
        <is>
          <t>08-18 FY26 Q4 經調整 EPS $1.33 勝預期 $1.09、收入 $1.154 億勝預期，派息加 25%、季內回購 $6,260 萬 → +8.9%（開市跳空 +14.3%）。</t>
        </is>
      </c>
      <c r="J23" s="35" t="inlineStr">
        <is>
          <t>https://simplywall.st/stocks/us/consumer-durables/nasdaq-flxs/flexsteel-industries/news/flexsteel-flxs-stock-jumps-as-margin-gains-outrun-cautious-o</t>
        </is>
      </c>
    </row>
    <row r="24" ht="32" customHeight="1">
      <c r="A24" s="6" t="n">
        <v>2</v>
      </c>
      <c r="B24" s="6">
        <f>'總表'!B22</f>
        <v/>
      </c>
      <c r="C24" s="27" t="inlineStr">
        <is>
          <t>AVTR</t>
        </is>
      </c>
      <c r="D24" s="2" t="inlineStr">
        <is>
          <t>Avantor Inc.</t>
        </is>
      </c>
      <c r="E24" s="2">
        <f>'總表'!AD22</f>
        <v/>
      </c>
      <c r="F24" s="13">
        <f>'總表'!AE22</f>
        <v/>
      </c>
      <c r="G24" s="20">
        <f>'總表'!AG22</f>
        <v/>
      </c>
      <c r="H24" s="2" t="inlineStr">
        <is>
          <t>R23.00 查證</t>
        </is>
      </c>
      <c r="I24" s="3" t="inlineStr">
        <is>
          <t>07-29 Q2 銷售勝預期約 $8,200 萬、EPS $0.21 勝 $0.19，VWR 分部重拾增長，上調有機銷售指引 → 當日 +15.8%。</t>
        </is>
      </c>
      <c r="J24" s="35" t="inlineStr">
        <is>
          <t>https://www.investing.com/news/company-news/avantor-q2-2026-presentation-vwr-returns-to-growth-shares-surge-93CH-4820448</t>
        </is>
      </c>
    </row>
    <row r="25" ht="32" customHeight="1">
      <c r="A25" s="6" t="n">
        <v>2</v>
      </c>
      <c r="B25" s="6">
        <f>'總表'!B23</f>
        <v/>
      </c>
      <c r="C25" s="27" t="inlineStr">
        <is>
          <t>AMBA</t>
        </is>
      </c>
      <c r="D25" s="2" t="inlineStr">
        <is>
          <t>Ambarella Inc.</t>
        </is>
      </c>
      <c r="E25" s="2">
        <f>'總表'!AD23</f>
        <v/>
      </c>
      <c r="F25" s="13">
        <f>'總表'!AE23</f>
        <v/>
      </c>
      <c r="G25" s="20">
        <f>'總表'!AG23</f>
        <v/>
      </c>
      <c r="H25" s="2" t="inlineStr">
        <is>
          <t>R23.00 查證</t>
        </is>
      </c>
      <c r="I25" s="3" t="inlineStr">
        <is>
          <t>06-30 Rosenblatt 將佢列為下半年首選（實體 AI 晶片）→ 當日 +22.8%（媒體 +28% 至 +32% 不等）；升浪由分析員推介帶動。</t>
        </is>
      </c>
      <c r="J25" s="35" t="inlineStr">
        <is>
          <t>https://www.gurufocus.com/news/8939101/ambarella-amba-sees-significant-228-surge-in-stock-price?mobile=true</t>
        </is>
      </c>
    </row>
    <row r="27">
      <c r="A27" s="29" t="inlineStr">
        <is>
          <t>市況來源</t>
        </is>
      </c>
    </row>
    <row r="28">
      <c r="I28" s="35" t="inlineStr">
        <is>
          <t>https://krmg.com/2026/09/29/how-major-us-stock-indexes-fared-tuesday-9-29-2026/</t>
        </is>
      </c>
    </row>
    <row r="29">
      <c r="I29" s="35" t="inlineStr">
        <is>
          <t>https://www.cnbc.com/2026/09/28/stock-market-today-live-updates.html</t>
        </is>
      </c>
    </row>
    <row r="30">
      <c r="I30" s="35" t="inlineStr">
        <is>
          <t>https://krmg.com/2026/09/30/how-major-us-stock-indexes-fared-wednesday-9-30-2026/</t>
        </is>
      </c>
    </row>
  </sheetData>
  <autoFilter ref="A3:J3"/>
  <hyperlinks>
    <hyperlink xmlns:r="http://schemas.openxmlformats.org/officeDocument/2006/relationships" ref="C4" r:id="rId1"/>
    <hyperlink xmlns:r="http://schemas.openxmlformats.org/officeDocument/2006/relationships" ref="J4" r:id="rId2"/>
    <hyperlink xmlns:r="http://schemas.openxmlformats.org/officeDocument/2006/relationships" ref="C5" r:id="rId3"/>
    <hyperlink xmlns:r="http://schemas.openxmlformats.org/officeDocument/2006/relationships" ref="J5" r:id="rId4"/>
    <hyperlink xmlns:r="http://schemas.openxmlformats.org/officeDocument/2006/relationships" ref="C6" r:id="rId5"/>
    <hyperlink xmlns:r="http://schemas.openxmlformats.org/officeDocument/2006/relationships" ref="J6" r:id="rId6"/>
    <hyperlink xmlns:r="http://schemas.openxmlformats.org/officeDocument/2006/relationships" ref="C7" r:id="rId7"/>
    <hyperlink xmlns:r="http://schemas.openxmlformats.org/officeDocument/2006/relationships" ref="J7" r:id="rId8"/>
    <hyperlink xmlns:r="http://schemas.openxmlformats.org/officeDocument/2006/relationships" ref="C8" r:id="rId9"/>
    <hyperlink xmlns:r="http://schemas.openxmlformats.org/officeDocument/2006/relationships" ref="J8" r:id="rId10"/>
    <hyperlink xmlns:r="http://schemas.openxmlformats.org/officeDocument/2006/relationships" ref="C9" r:id="rId11"/>
    <hyperlink xmlns:r="http://schemas.openxmlformats.org/officeDocument/2006/relationships" ref="J9" r:id="rId12"/>
    <hyperlink xmlns:r="http://schemas.openxmlformats.org/officeDocument/2006/relationships" ref="C10" r:id="rId13"/>
    <hyperlink xmlns:r="http://schemas.openxmlformats.org/officeDocument/2006/relationships" ref="J10" r:id="rId14"/>
    <hyperlink xmlns:r="http://schemas.openxmlformats.org/officeDocument/2006/relationships" ref="C11" r:id="rId15"/>
    <hyperlink xmlns:r="http://schemas.openxmlformats.org/officeDocument/2006/relationships" ref="J11" r:id="rId16"/>
    <hyperlink xmlns:r="http://schemas.openxmlformats.org/officeDocument/2006/relationships" ref="C12" r:id="rId17"/>
    <hyperlink xmlns:r="http://schemas.openxmlformats.org/officeDocument/2006/relationships" ref="J12" r:id="rId18"/>
    <hyperlink xmlns:r="http://schemas.openxmlformats.org/officeDocument/2006/relationships" ref="C13" r:id="rId19"/>
    <hyperlink xmlns:r="http://schemas.openxmlformats.org/officeDocument/2006/relationships" ref="J13" r:id="rId20"/>
    <hyperlink xmlns:r="http://schemas.openxmlformats.org/officeDocument/2006/relationships" ref="C14" r:id="rId21"/>
    <hyperlink xmlns:r="http://schemas.openxmlformats.org/officeDocument/2006/relationships" ref="J14" r:id="rId22"/>
    <hyperlink xmlns:r="http://schemas.openxmlformats.org/officeDocument/2006/relationships" ref="C15" r:id="rId23"/>
    <hyperlink xmlns:r="http://schemas.openxmlformats.org/officeDocument/2006/relationships" ref="J15" r:id="rId24"/>
    <hyperlink xmlns:r="http://schemas.openxmlformats.org/officeDocument/2006/relationships" ref="C16" r:id="rId25"/>
    <hyperlink xmlns:r="http://schemas.openxmlformats.org/officeDocument/2006/relationships" ref="J16" r:id="rId26"/>
    <hyperlink xmlns:r="http://schemas.openxmlformats.org/officeDocument/2006/relationships" ref="C17" r:id="rId27"/>
    <hyperlink xmlns:r="http://schemas.openxmlformats.org/officeDocument/2006/relationships" ref="J17" r:id="rId28"/>
    <hyperlink xmlns:r="http://schemas.openxmlformats.org/officeDocument/2006/relationships" ref="C18" r:id="rId29"/>
    <hyperlink xmlns:r="http://schemas.openxmlformats.org/officeDocument/2006/relationships" ref="J18" r:id="rId30"/>
    <hyperlink xmlns:r="http://schemas.openxmlformats.org/officeDocument/2006/relationships" ref="C19" r:id="rId31"/>
    <hyperlink xmlns:r="http://schemas.openxmlformats.org/officeDocument/2006/relationships" ref="J19" r:id="rId32"/>
    <hyperlink xmlns:r="http://schemas.openxmlformats.org/officeDocument/2006/relationships" ref="C20" r:id="rId33"/>
    <hyperlink xmlns:r="http://schemas.openxmlformats.org/officeDocument/2006/relationships" ref="J20" r:id="rId34"/>
    <hyperlink xmlns:r="http://schemas.openxmlformats.org/officeDocument/2006/relationships" ref="C21" r:id="rId35"/>
    <hyperlink xmlns:r="http://schemas.openxmlformats.org/officeDocument/2006/relationships" ref="J21" r:id="rId36"/>
    <hyperlink xmlns:r="http://schemas.openxmlformats.org/officeDocument/2006/relationships" ref="C22" r:id="rId37"/>
    <hyperlink xmlns:r="http://schemas.openxmlformats.org/officeDocument/2006/relationships" ref="J22" r:id="rId38"/>
    <hyperlink xmlns:r="http://schemas.openxmlformats.org/officeDocument/2006/relationships" ref="C23" r:id="rId39"/>
    <hyperlink xmlns:r="http://schemas.openxmlformats.org/officeDocument/2006/relationships" ref="J23" r:id="rId40"/>
    <hyperlink xmlns:r="http://schemas.openxmlformats.org/officeDocument/2006/relationships" ref="C24" r:id="rId41"/>
    <hyperlink xmlns:r="http://schemas.openxmlformats.org/officeDocument/2006/relationships" ref="J24" r:id="rId42"/>
    <hyperlink xmlns:r="http://schemas.openxmlformats.org/officeDocument/2006/relationships" ref="C25" r:id="rId43"/>
    <hyperlink xmlns:r="http://schemas.openxmlformats.org/officeDocument/2006/relationships" ref="J25" r:id="rId44"/>
    <hyperlink xmlns:r="http://schemas.openxmlformats.org/officeDocument/2006/relationships" ref="I28" r:id="rId45"/>
    <hyperlink xmlns:r="http://schemas.openxmlformats.org/officeDocument/2006/relationships" ref="I29" r:id="rId46"/>
    <hyperlink xmlns:r="http://schemas.openxmlformats.org/officeDocument/2006/relationships" ref="I30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2026-10-01T09:27:03Z</dcterms:created>
  <dcterms:modified xsi:type="dcterms:W3CDTF">2026-10-01T09:27:03Z</dcterms:modified>
</cp:coreProperties>
</file>