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本版更新" sheetId="1" state="visible" r:id="rId1"/>
    <sheet xmlns:r="http://schemas.openxmlformats.org/officeDocument/2006/relationships" name="總表" sheetId="2" state="visible" r:id="rId2"/>
    <sheet xmlns:r="http://schemas.openxmlformats.org/officeDocument/2006/relationships" name="1個月動能" sheetId="3" state="visible" r:id="rId3"/>
    <sheet xmlns:r="http://schemas.openxmlformats.org/officeDocument/2006/relationships" name="2個月動能" sheetId="4" state="visible" r:id="rId4"/>
    <sheet xmlns:r="http://schemas.openxmlformats.org/officeDocument/2006/relationships" name="3個月動能" sheetId="5" state="visible" r:id="rId5"/>
    <sheet xmlns:r="http://schemas.openxmlformats.org/officeDocument/2006/relationships" name="6個月動能" sheetId="6" state="visible" r:id="rId6"/>
    <sheet xmlns:r="http://schemas.openxmlformats.org/officeDocument/2006/relationships" name="篩選規則" sheetId="7" state="visible" r:id="rId7"/>
    <sheet xmlns:r="http://schemas.openxmlformats.org/officeDocument/2006/relationships" name="敏感度" sheetId="8" state="visible" r:id="rId8"/>
    <sheet xmlns:r="http://schemas.openxmlformats.org/officeDocument/2006/relationships" name="差一項" sheetId="9" state="visible" r:id="rId9"/>
    <sheet xmlns:r="http://schemas.openxmlformats.org/officeDocument/2006/relationships" name="同R21對照" sheetId="10" state="visible" r:id="rId10"/>
    <sheet xmlns:r="http://schemas.openxmlformats.org/officeDocument/2006/relationships" name="R21向前測試" sheetId="11" state="visible" r:id="rId11"/>
    <sheet xmlns:r="http://schemas.openxmlformats.org/officeDocument/2006/relationships" name="同上日對照" sheetId="12" state="visible" r:id="rId12"/>
    <sheet xmlns:r="http://schemas.openxmlformats.org/officeDocument/2006/relationships" name="審視標記" sheetId="13" state="visible" r:id="rId13"/>
    <sheet xmlns:r="http://schemas.openxmlformats.org/officeDocument/2006/relationships" name="數據核對" sheetId="14" state="visible" r:id="rId14"/>
    <sheet xmlns:r="http://schemas.openxmlformats.org/officeDocument/2006/relationships" name="市況" sheetId="15" state="visible" r:id="rId15"/>
    <sheet xmlns:r="http://schemas.openxmlformats.org/officeDocument/2006/relationships" name="催化劑同研究" sheetId="16" state="visible" r:id="rId16"/>
  </sheets>
  <definedNames>
    <definedName name="_xlnm._FilterDatabase" localSheetId="1" hidden="1">'總表'!$A$1:$BC$22</definedName>
    <definedName name="_xlnm._FilterDatabase" localSheetId="2" hidden="1">'1個月動能'!$A$3:$P$17</definedName>
    <definedName name="_xlnm._FilterDatabase" localSheetId="3" hidden="1">'2個月動能'!$A$3:$P$18</definedName>
    <definedName name="_xlnm._FilterDatabase" localSheetId="4" hidden="1">'3個月動能'!$A$3:$P$18</definedName>
    <definedName name="_xlnm._FilterDatabase" localSheetId="5" hidden="1">'6個月動能'!$A$3:$P$12</definedName>
    <definedName name="_xlnm._FilterDatabase" localSheetId="7" hidden="1">'敏感度'!$A$3:$F$3</definedName>
    <definedName name="_xlnm._FilterDatabase" localSheetId="8" hidden="1">'差一項'!$A$3:$H$3</definedName>
    <definedName name="_xlnm._FilterDatabase" localSheetId="9" hidden="1">'同R21對照'!$A$3:$E$3</definedName>
    <definedName name="_xlnm._FilterDatabase" localSheetId="10" hidden="1">'R21向前測試'!$A$9:$J$37</definedName>
    <definedName name="_xlnm._FilterDatabase" localSheetId="11" hidden="1">'同上日對照'!$A$3:$E$3</definedName>
    <definedName name="_xlnm._FilterDatabase" localSheetId="12" hidden="1">'審視標記'!$A$3:$E$3</definedName>
    <definedName name="_xlnm._FilterDatabase" localSheetId="13" hidden="1">'數據核對'!$A$11:$F$11</definedName>
    <definedName name="_xlnm._FilterDatabase" localSheetId="15" hidden="1">'催化劑同研究'!$A$3:$F$3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##"/>
    <numFmt numFmtId="165" formatCode="0.0%"/>
    <numFmt numFmtId="166" formatCode="0.0"/>
    <numFmt numFmtId="167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563C1"/>
      <sz val="10"/>
      <u val="single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2" fontId="4" fillId="0" borderId="1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9" fontId="4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6" fontId="2" fillId="0" borderId="1" pivotButton="0" quotePrefix="0" xfId="0"/>
    <xf numFmtId="166" fontId="5" fillId="0" borderId="1" pivotButton="0" quotePrefix="0" xfId="0"/>
    <xf numFmtId="0" fontId="2" fillId="3" borderId="1" applyAlignment="1" pivotButton="0" quotePrefix="0" xfId="0">
      <alignment vertical="top" wrapText="1"/>
    </xf>
    <xf numFmtId="167" fontId="4" fillId="0" borderId="1" pivotButton="0" quotePrefix="0" xfId="0"/>
    <xf numFmtId="0" fontId="3" fillId="4" borderId="1" pivotButton="0" quotePrefix="0" xfId="0"/>
    <xf numFmtId="0" fontId="3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3" fontId="2" fillId="0" borderId="1" pivotButton="0" quotePrefix="0" xfId="0"/>
    <xf numFmtId="0" fontId="1" fillId="2" borderId="1" pivotButton="0" quotePrefix="0" xfId="0"/>
    <xf numFmtId="0" fontId="5" fillId="0" borderId="1" applyAlignment="1" pivotButton="0" quotePrefix="0" xfId="0">
      <alignment vertical="top" wrapText="1"/>
    </xf>
    <xf numFmtId="3" fontId="4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watchlist</author>
  </authors>
  <commentList>
    <comment ref="C2" authorId="0" shapeId="0">
      <text>
        <t>（沿用舊版研究，未按今次重新核實）9/2 BEST1數據9/9公佈 → 3日升27%</t>
      </text>
    </comment>
    <comment ref="C5" authorId="0" shapeId="0">
      <text>
        <t>（沿用舊版研究，未按今次重新核實）7/29 NANOPULSE-AF入組過半 → 事件日−3.4%</t>
      </text>
    </comment>
    <comment ref="C7" authorId="0" shapeId="0">
      <text>
        <t>（沿用舊版研究，未按今次重新核實）8/28 Q2收入升15.1%、EPS $0.70超預期 → 單日飆19.3%</t>
      </text>
    </comment>
    <comment ref="C12" authorId="0" shapeId="0">
      <text>
        <t>（沿用舊版研究，未按今次重新核實）9/2 Q2收入升35%+上調指引→翌日升17.4%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trx" TargetMode="External" Id="rId2"/><Relationship Type="http://schemas.openxmlformats.org/officeDocument/2006/relationships/hyperlink" Target="https://www.tradingview.com/chart/Q1c5VWwD/?symbol=nyse%3Adell" TargetMode="External" Id="rId3"/><Relationship Type="http://schemas.openxmlformats.org/officeDocument/2006/relationships/hyperlink" Target="https://www.tradingview.com/chart/Q1c5VWwD/?symbol=nasdaq%3Aplse" TargetMode="External" Id="rId4"/><Relationship Type="http://schemas.openxmlformats.org/officeDocument/2006/relationships/hyperlink" Target="https://www.tradingview.com/chart/Q1c5VWwD/?symbol=nasdaq%3Atitn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fivn" TargetMode="External" Id="rId7"/><Relationship Type="http://schemas.openxmlformats.org/officeDocument/2006/relationships/hyperlink" Target="https://www.tradingview.com/chart/Q1c5VWwD/?symbol=nyse%3Adhx" TargetMode="External" Id="rId8"/><Relationship Type="http://schemas.openxmlformats.org/officeDocument/2006/relationships/hyperlink" Target="https://www.tradingview.com/chart/Q1c5VWwD/?symbol=nyse%3Avlo" TargetMode="External" Id="rId9"/><Relationship Type="http://schemas.openxmlformats.org/officeDocument/2006/relationships/hyperlink" Target="https://www.tradingview.com/chart/Q1c5VWwD/?symbol=nasdaq%3Apurr" TargetMode="External" Id="rId10"/><Relationship Type="http://schemas.openxmlformats.org/officeDocument/2006/relationships/hyperlink" Target="https://www.tradingview.com/chart/Q1c5VWwD/?symbol=nyse%3Asnow" TargetMode="External" Id="rId11"/><Relationship Type="http://schemas.openxmlformats.org/officeDocument/2006/relationships/hyperlink" Target="https://www.tradingview.com/chart/Q1c5VWwD/?symbol=nyse%3Ampc" TargetMode="External" Id="rId12"/><Relationship Type="http://schemas.openxmlformats.org/officeDocument/2006/relationships/hyperlink" Target="https://www.tradingview.com/chart/Q1c5VWwD/?symbol=nasdaq%3Akgei" TargetMode="External" Id="rId13"/><Relationship Type="http://schemas.openxmlformats.org/officeDocument/2006/relationships/hyperlink" Target="https://www.tradingview.com/chart/Q1c5VWwD/?symbol=nyse%3Aibta" TargetMode="External" Id="rId14"/><Relationship Type="http://schemas.openxmlformats.org/officeDocument/2006/relationships/hyperlink" Target="https://www.tradingview.com/chart/Q1c5VWwD/?symbol=nasdaq%3Aelmt" TargetMode="External" Id="rId15"/><Relationship Type="http://schemas.openxmlformats.org/officeDocument/2006/relationships/hyperlink" Target="https://www.tradingview.com/chart/Q1c5VWwD/?symbol=nyse%3Alpg" TargetMode="External" Id="rId16"/><Relationship Type="http://schemas.openxmlformats.org/officeDocument/2006/relationships/hyperlink" Target="https://www.tradingview.com/chart/Q1c5VWwD/?symbol=amex%3Adc" TargetMode="External" Id="rId17"/><Relationship Type="http://schemas.openxmlformats.org/officeDocument/2006/relationships/hyperlink" Target="https://www.tradingview.com/chart/Q1c5VWwD/?symbol=nyse%3Abby" TargetMode="External" Id="rId18"/><Relationship Type="http://schemas.openxmlformats.org/officeDocument/2006/relationships/hyperlink" Target="https://www.tradingview.com/chart/Q1c5VWwD/?symbol=nasdaq%3Ath" TargetMode="External" Id="rId19"/><Relationship Type="http://schemas.openxmlformats.org/officeDocument/2006/relationships/hyperlink" Target="https://www.tradingview.com/chart/Q1c5VWwD/?symbol=nyse%3Adino" TargetMode="External" Id="rId20"/><Relationship Type="http://schemas.openxmlformats.org/officeDocument/2006/relationships/hyperlink" Target="https://www.tradingview.com/chart/Q1c5VWwD/?symbol=nyse%3Apsx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itn" TargetMode="External" Id="rId2"/><Relationship Type="http://schemas.openxmlformats.org/officeDocument/2006/relationships/hyperlink" Target="https://www.tradingview.com/chart/Q1c5VWwD/?symbol=nasdaq%3Attrx" TargetMode="External" Id="rId3"/><Relationship Type="http://schemas.openxmlformats.org/officeDocument/2006/relationships/hyperlink" Target="https://www.tradingview.com/chart/Q1c5VWwD/?symbol=nyse%3Adell" TargetMode="External" Id="rId4"/><Relationship Type="http://schemas.openxmlformats.org/officeDocument/2006/relationships/hyperlink" Target="https://www.tradingview.com/chart/Q1c5VWwD/?symbol=nyse%3Adhx" TargetMode="External" Id="rId5"/><Relationship Type="http://schemas.openxmlformats.org/officeDocument/2006/relationships/hyperlink" Target="https://www.tradingview.com/chart/Q1c5VWwD/?symbol=nasdaq%3Aplse" TargetMode="External" Id="rId6"/><Relationship Type="http://schemas.openxmlformats.org/officeDocument/2006/relationships/hyperlink" Target="https://www.tradingview.com/chart/Q1c5VWwD/?symbol=nyse%3Abby" TargetMode="External" Id="rId7"/><Relationship Type="http://schemas.openxmlformats.org/officeDocument/2006/relationships/hyperlink" Target="https://www.tradingview.com/chart/Q1c5VWwD/?symbol=nyse%3Aibta" TargetMode="External" Id="rId8"/><Relationship Type="http://schemas.openxmlformats.org/officeDocument/2006/relationships/hyperlink" Target="https://www.tradingview.com/chart/Q1c5VWwD/?symbol=nyse%3Avlo" TargetMode="External" Id="rId9"/><Relationship Type="http://schemas.openxmlformats.org/officeDocument/2006/relationships/hyperlink" Target="https://www.tradingview.com/chart/Q1c5VWwD/?symbol=nyse%3Alpg" TargetMode="External" Id="rId10"/><Relationship Type="http://schemas.openxmlformats.org/officeDocument/2006/relationships/hyperlink" Target="https://www.tradingview.com/chart/Q1c5VWwD/?symbol=nyse%3Adino" TargetMode="External" Id="rId11"/><Relationship Type="http://schemas.openxmlformats.org/officeDocument/2006/relationships/hyperlink" Target="https://www.tradingview.com/chart/Q1c5VWwD/?symbol=nyse%3Ampc" TargetMode="External" Id="rId12"/><Relationship Type="http://schemas.openxmlformats.org/officeDocument/2006/relationships/hyperlink" Target="https://www.tradingview.com/chart/Q1c5VWwD/?symbol=nasdaq%3Akgei" TargetMode="External" Id="rId13"/><Relationship Type="http://schemas.openxmlformats.org/officeDocument/2006/relationships/hyperlink" Target="https://www.tradingview.com/chart/Q1c5VWwD/?symbol=nyse%3Apsx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itn" TargetMode="External" Id="rId2"/><Relationship Type="http://schemas.openxmlformats.org/officeDocument/2006/relationships/hyperlink" Target="https://www.tradingview.com/chart/Q1c5VWwD/?symbol=nasdaq%3Attrx" TargetMode="External" Id="rId3"/><Relationship Type="http://schemas.openxmlformats.org/officeDocument/2006/relationships/hyperlink" Target="https://www.tradingview.com/chart/Q1c5VWwD/?symbol=nyse%3Adell" TargetMode="External" Id="rId4"/><Relationship Type="http://schemas.openxmlformats.org/officeDocument/2006/relationships/hyperlink" Target="https://www.tradingview.com/chart/Q1c5VWwD/?symbol=nasdaq%3Aplse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elmt" TargetMode="External" Id="rId7"/><Relationship Type="http://schemas.openxmlformats.org/officeDocument/2006/relationships/hyperlink" Target="https://www.tradingview.com/chart/Q1c5VWwD/?symbol=nasdaq%3Afivn" TargetMode="External" Id="rId8"/><Relationship Type="http://schemas.openxmlformats.org/officeDocument/2006/relationships/hyperlink" Target="https://www.tradingview.com/chart/Q1c5VWwD/?symbol=nyse%3Aibta" TargetMode="External" Id="rId9"/><Relationship Type="http://schemas.openxmlformats.org/officeDocument/2006/relationships/hyperlink" Target="https://www.tradingview.com/chart/Q1c5VWwD/?symbol=nyse%3Avlo" TargetMode="External" Id="rId10"/><Relationship Type="http://schemas.openxmlformats.org/officeDocument/2006/relationships/hyperlink" Target="https://www.tradingview.com/chart/Q1c5VWwD/?symbol=nasdaq%3Apurr" TargetMode="External" Id="rId11"/><Relationship Type="http://schemas.openxmlformats.org/officeDocument/2006/relationships/hyperlink" Target="https://www.tradingview.com/chart/Q1c5VWwD/?symbol=amex%3Adc" TargetMode="External" Id="rId12"/><Relationship Type="http://schemas.openxmlformats.org/officeDocument/2006/relationships/hyperlink" Target="https://www.tradingview.com/chart/Q1c5VWwD/?symbol=nasdaq%3Ath" TargetMode="External" Id="rId13"/><Relationship Type="http://schemas.openxmlformats.org/officeDocument/2006/relationships/hyperlink" Target="https://www.tradingview.com/chart/Q1c5VWwD/?symbol=nyse%3Ampc" TargetMode="External" Id="rId14"/><Relationship Type="http://schemas.openxmlformats.org/officeDocument/2006/relationships/hyperlink" Target="https://www.tradingview.com/chart/Q1c5VWwD/?symbol=nasdaq%3Akgei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trx" TargetMode="External" Id="rId2"/><Relationship Type="http://schemas.openxmlformats.org/officeDocument/2006/relationships/hyperlink" Target="https://www.tradingview.com/chart/Q1c5VWwD/?symbol=nyse%3Adell" TargetMode="External" Id="rId3"/><Relationship Type="http://schemas.openxmlformats.org/officeDocument/2006/relationships/hyperlink" Target="https://www.tradingview.com/chart/Q1c5VWwD/?symbol=nasdaq%3Aplse" TargetMode="External" Id="rId4"/><Relationship Type="http://schemas.openxmlformats.org/officeDocument/2006/relationships/hyperlink" Target="https://www.tradingview.com/chart/Q1c5VWwD/?symbol=nyse%3Aestc" TargetMode="External" Id="rId5"/><Relationship Type="http://schemas.openxmlformats.org/officeDocument/2006/relationships/hyperlink" Target="https://www.tradingview.com/chart/Q1c5VWwD/?symbol=nasdaq%3Afivn" TargetMode="External" Id="rId6"/><Relationship Type="http://schemas.openxmlformats.org/officeDocument/2006/relationships/hyperlink" Target="https://www.tradingview.com/chart/Q1c5VWwD/?symbol=nyse%3Asnow" TargetMode="External" Id="rId7"/><Relationship Type="http://schemas.openxmlformats.org/officeDocument/2006/relationships/hyperlink" Target="https://www.tradingview.com/chart/Q1c5VWwD/?symbol=nyse%3Avlo" TargetMode="External" Id="rId8"/><Relationship Type="http://schemas.openxmlformats.org/officeDocument/2006/relationships/hyperlink" Target="https://www.tradingview.com/chart/Q1c5VWwD/?symbol=nasdaq%3Apurr" TargetMode="External" Id="rId9"/><Relationship Type="http://schemas.openxmlformats.org/officeDocument/2006/relationships/hyperlink" Target="https://www.tradingview.com/chart/Q1c5VWwD/?symbol=nyse%3Alpg" TargetMode="External" Id="rId10"/><Relationship Type="http://schemas.openxmlformats.org/officeDocument/2006/relationships/hyperlink" Target="https://www.tradingview.com/chart/Q1c5VWwD/?symbol=amex%3Adc" TargetMode="External" Id="rId11"/><Relationship Type="http://schemas.openxmlformats.org/officeDocument/2006/relationships/hyperlink" Target="https://www.tradingview.com/chart/Q1c5VWwD/?symbol=nyse%3Adino" TargetMode="External" Id="rId12"/><Relationship Type="http://schemas.openxmlformats.org/officeDocument/2006/relationships/hyperlink" Target="https://www.tradingview.com/chart/Q1c5VWwD/?symbol=nyse%3Ampc" TargetMode="External" Id="rId13"/><Relationship Type="http://schemas.openxmlformats.org/officeDocument/2006/relationships/hyperlink" Target="https://www.tradingview.com/chart/Q1c5VWwD/?symbol=nasdaq%3Akgei" TargetMode="External" Id="rId14"/><Relationship Type="http://schemas.openxmlformats.org/officeDocument/2006/relationships/hyperlink" Target="https://www.tradingview.com/chart/Q1c5VWwD/?symbol=nyse%3Apsx" TargetMode="External" Id="rId1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asdaq%3Attrx" TargetMode="External" Id="rId1"/><Relationship Type="http://schemas.openxmlformats.org/officeDocument/2006/relationships/hyperlink" Target="https://www.tradingview.com/chart/Q1c5VWwD/?symbol=nyse%3Adell" TargetMode="External" Id="rId2"/><Relationship Type="http://schemas.openxmlformats.org/officeDocument/2006/relationships/hyperlink" Target="https://www.tradingview.com/chart/Q1c5VWwD/?symbol=nyse%3Adhx" TargetMode="External" Id="rId3"/><Relationship Type="http://schemas.openxmlformats.org/officeDocument/2006/relationships/hyperlink" Target="https://www.tradingview.com/chart/Q1c5VWwD/?symbol=nasdaq%3Aplse" TargetMode="External" Id="rId4"/><Relationship Type="http://schemas.openxmlformats.org/officeDocument/2006/relationships/hyperlink" Target="https://www.tradingview.com/chart/Q1c5VWwD/?symbol=nyse%3Aestc" TargetMode="External" Id="rId5"/><Relationship Type="http://schemas.openxmlformats.org/officeDocument/2006/relationships/hyperlink" Target="https://www.tradingview.com/chart/Q1c5VWwD/?symbol=nasdaq%3Afivn" TargetMode="External" Id="rId6"/><Relationship Type="http://schemas.openxmlformats.org/officeDocument/2006/relationships/hyperlink" Target="https://www.tradingview.com/chart/Q1c5VWwD/?symbol=nyse%3Asnow" TargetMode="External" Id="rId7"/><Relationship Type="http://schemas.openxmlformats.org/officeDocument/2006/relationships/hyperlink" Target="https://www.tradingview.com/chart/Q1c5VWwD/?symbol=nasdaq%3Apurr" TargetMode="External" Id="rId8"/><Relationship Type="http://schemas.openxmlformats.org/officeDocument/2006/relationships/hyperlink" Target="https://www.tradingview.com/chart/Q1c5VWwD/?symbol=nasdaq%3Ath" TargetMode="External" Id="rId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amex%3Adc" TargetMode="External" Id="rId1"/><Relationship Type="http://schemas.openxmlformats.org/officeDocument/2006/relationships/hyperlink" Target="https://www.tradingview.com/chart/Q1c5VWwD/?symbol=nyse%3Adell" TargetMode="External" Id="rId2"/><Relationship Type="http://schemas.openxmlformats.org/officeDocument/2006/relationships/hyperlink" Target="https://www.tradingview.com/chart/Q1c5VWwD/?symbol=omer" TargetMode="External" Id="rId3"/><Relationship Type="http://schemas.openxmlformats.org/officeDocument/2006/relationships/hyperlink" Target="https://www.tradingview.com/chart/Q1c5VWwD/?symbol=nasdaq%3Afivn" TargetMode="External" Id="rId4"/><Relationship Type="http://schemas.openxmlformats.org/officeDocument/2006/relationships/hyperlink" Target="https://www.tradingview.com/chart/Q1c5VWwD/?symbol=nasdaq%3Attrx" TargetMode="External" Id="rId5"/><Relationship Type="http://schemas.openxmlformats.org/officeDocument/2006/relationships/hyperlink" Target="https://www.tradingview.com/chart/Q1c5VWwD/?symbol=nasdaq%3Aneo" TargetMode="External" Id="rId6"/><Relationship Type="http://schemas.openxmlformats.org/officeDocument/2006/relationships/hyperlink" Target="https://www.tradingview.com/chart/Q1c5VWwD/?symbol=rng" TargetMode="External" Id="rId7"/><Relationship Type="http://schemas.openxmlformats.org/officeDocument/2006/relationships/hyperlink" Target="https://www.tradingview.com/chart/Q1c5VWwD/?symbol=s" TargetMode="External" Id="rId8"/><Relationship Type="http://schemas.openxmlformats.org/officeDocument/2006/relationships/hyperlink" Target="https://www.tradingview.com/chart/Q1c5VWwD/?symbol=nyse%3Apsx" TargetMode="External" Id="rId9"/><Relationship Type="http://schemas.openxmlformats.org/officeDocument/2006/relationships/hyperlink" Target="https://www.tradingview.com/chart/Q1c5VWwD/?symbol=nasdaq%3Apurr" TargetMode="External" Id="rId10"/><Relationship Type="http://schemas.openxmlformats.org/officeDocument/2006/relationships/hyperlink" Target="https://www.tradingview.com/chart/Q1c5VWwD/?symbol=anf" TargetMode="External" Id="rId11"/><Relationship Type="http://schemas.openxmlformats.org/officeDocument/2006/relationships/hyperlink" Target="https://www.tradingview.com/chart/Q1c5VWwD/?symbol=nasdaq%3Aapa" TargetMode="External" Id="rId12"/><Relationship Type="http://schemas.openxmlformats.org/officeDocument/2006/relationships/hyperlink" Target="https://www.tradingview.com/chart/Q1c5VWwD/?symbol=blte" TargetMode="External" Id="rId13"/><Relationship Type="http://schemas.openxmlformats.org/officeDocument/2006/relationships/hyperlink" Target="https://www.tradingview.com/chart/Q1c5VWwD/?symbol=nasdaq%3Aclmt" TargetMode="External" Id="rId14"/><Relationship Type="http://schemas.openxmlformats.org/officeDocument/2006/relationships/hyperlink" Target="https://www.tradingview.com/chart/Q1c5VWwD/?symbol=gtlb" TargetMode="External" Id="rId15"/><Relationship Type="http://schemas.openxmlformats.org/officeDocument/2006/relationships/hyperlink" Target="https://www.tradingview.com/chart/Q1c5VWwD/?symbol=nyse%3Ahpq" TargetMode="External" Id="rId16"/><Relationship Type="http://schemas.openxmlformats.org/officeDocument/2006/relationships/hyperlink" Target="https://www.tradingview.com/chart/Q1c5VWwD/?symbol=tars" TargetMode="External" Id="rId17"/><Relationship Type="http://schemas.openxmlformats.org/officeDocument/2006/relationships/hyperlink" Target="https://www.tradingview.com/chart/Q1c5VWwD/?symbol=avtr" TargetMode="External" Id="rId18"/><Relationship Type="http://schemas.openxmlformats.org/officeDocument/2006/relationships/hyperlink" Target="https://www.tradingview.com/chart/Q1c5VWwD/?symbol=nasdaq%3Amgni" TargetMode="External" Id="rId19"/><Relationship Type="http://schemas.openxmlformats.org/officeDocument/2006/relationships/hyperlink" Target="https://www.tradingview.com/chart/Q1c5VWwD/?symbol=nsit" TargetMode="External" Id="rId20"/><Relationship Type="http://schemas.openxmlformats.org/officeDocument/2006/relationships/hyperlink" Target="https://www.tradingview.com/chart/Q1c5VWwD/?symbol=pbf" TargetMode="External" Id="rId21"/><Relationship Type="http://schemas.openxmlformats.org/officeDocument/2006/relationships/hyperlink" Target="https://www.tradingview.com/chart/Q1c5VWwD/?symbol=nyse%3Abby" TargetMode="External" Id="rId22"/><Relationship Type="http://schemas.openxmlformats.org/officeDocument/2006/relationships/hyperlink" Target="https://www.tradingview.com/chart/Q1c5VWwD/?symbol=nyse%3Ampc" TargetMode="External" Id="rId23"/><Relationship Type="http://schemas.openxmlformats.org/officeDocument/2006/relationships/hyperlink" Target="https://www.tradingview.com/chart/Q1c5VWwD/?symbol=nyse%3Apsx" TargetMode="External" Id="rId24"/><Relationship Type="http://schemas.openxmlformats.org/officeDocument/2006/relationships/hyperlink" Target="https://www.tradingview.com/chart/Q1c5VWwD/?symbol=nyse%3Asnow" TargetMode="External" Id="rId25"/><Relationship Type="http://schemas.openxmlformats.org/officeDocument/2006/relationships/hyperlink" Target="https://www.tradingview.com/chart/Q1c5VWwD/?symbol=nyse%3Aamwl" TargetMode="External" Id="rId26"/><Relationship Type="http://schemas.openxmlformats.org/officeDocument/2006/relationships/hyperlink" Target="https://www.tradingview.com/chart/Q1c5VWwD/?symbol=nasdaq%3Acbll" TargetMode="External" Id="rId27"/><Relationship Type="http://schemas.openxmlformats.org/officeDocument/2006/relationships/hyperlink" Target="https://www.tradingview.com/chart/Q1c5VWwD/?symbol=de" TargetMode="External" Id="rId28"/><Relationship Type="http://schemas.openxmlformats.org/officeDocument/2006/relationships/hyperlink" Target="https://www.tradingview.com/chart/Q1c5VWwD/?symbol=hae" TargetMode="External" Id="rId29"/><Relationship Type="http://schemas.openxmlformats.org/officeDocument/2006/relationships/hyperlink" Target="https://www.tradingview.com/chart/Q1c5VWwD/?symbol=aso" TargetMode="External" Id="rId30"/><Relationship Type="http://schemas.openxmlformats.org/officeDocument/2006/relationships/hyperlink" Target="https://www.tradingview.com/chart/Q1c5VWwD/?symbol=lite" TargetMode="External" Id="rId31"/><Relationship Type="http://schemas.openxmlformats.org/officeDocument/2006/relationships/hyperlink" Target="https://www.tradingview.com/chart/Q1c5VWwD/?symbol=xrx" TargetMode="External" Id="rId32"/><Relationship Type="http://schemas.openxmlformats.org/officeDocument/2006/relationships/hyperlink" Target="https://www.tradingview.com/chart/Q1c5VWwD/?symbol=nasdaq%3Adjco" TargetMode="External" Id="rId33"/><Relationship Type="http://schemas.openxmlformats.org/officeDocument/2006/relationships/hyperlink" Target="https://www.tradingview.com/chart/Q1c5VWwD/?symbol=nyse%3Abby" TargetMode="External" Id="rId34"/><Relationship Type="http://schemas.openxmlformats.org/officeDocument/2006/relationships/hyperlink" Target="https://www.tradingview.com/chart/Q1c5VWwD/?symbol=nasdaq%3Akgei" TargetMode="External" Id="rId35"/><Relationship Type="http://schemas.openxmlformats.org/officeDocument/2006/relationships/hyperlink" Target="https://www.tradingview.com/chart/Q1c5VWwD/?symbol=nasdaq%3Ath" TargetMode="External" Id="rId3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asdaq%3Aampl" TargetMode="External" Id="rId1"/><Relationship Type="http://schemas.openxmlformats.org/officeDocument/2006/relationships/hyperlink" Target="https://www.tradingview.com/chart/Q1c5VWwD/?symbol=cort" TargetMode="External" Id="rId2"/><Relationship Type="http://schemas.openxmlformats.org/officeDocument/2006/relationships/hyperlink" Target="https://www.tradingview.com/chart/Q1c5VWwD/?symbol=payc" TargetMode="External" Id="rId3"/><Relationship Type="http://schemas.openxmlformats.org/officeDocument/2006/relationships/hyperlink" Target="https://www.tradingview.com/chart/Q1c5VWwD/?symbol=pays" TargetMode="External" Id="rId4"/><Relationship Type="http://schemas.openxmlformats.org/officeDocument/2006/relationships/hyperlink" Target="https://www.tradingview.com/chart/Q1c5VWwD/?symbol=rcmt" TargetMode="External" Id="rId5"/><Relationship Type="http://schemas.openxmlformats.org/officeDocument/2006/relationships/hyperlink" Target="https://www.tradingview.com/chart/Q1c5VWwD/?symbol=wt" TargetMode="External" Id="rId6"/><Relationship Type="http://schemas.openxmlformats.org/officeDocument/2006/relationships/hyperlink" Target="https://www.tradingview.com/chart/Q1c5VWwD/?symbol=xncr" TargetMode="External" Id="rId7"/><Relationship Type="http://schemas.openxmlformats.org/officeDocument/2006/relationships/hyperlink" Target="https://www.tradingview.com/chart/Q1c5VWwD/?symbol=eton" TargetMode="External" Id="rId8"/><Relationship Type="http://schemas.openxmlformats.org/officeDocument/2006/relationships/hyperlink" Target="https://www.tradingview.com/chart/Q1c5VWwD/?symbol=kro" TargetMode="External" Id="rId9"/><Relationship Type="http://schemas.openxmlformats.org/officeDocument/2006/relationships/hyperlink" Target="https://www.tradingview.com/chart/Q1c5VWwD/?symbol=man" TargetMode="External" Id="rId10"/><Relationship Type="http://schemas.openxmlformats.org/officeDocument/2006/relationships/hyperlink" Target="https://www.tradingview.com/chart/Q1c5VWwD/?symbol=prch" TargetMode="External" Id="rId11"/><Relationship Type="http://schemas.openxmlformats.org/officeDocument/2006/relationships/hyperlink" Target="https://www.tradingview.com/chart/Q1c5VWwD/?symbol=psnl" TargetMode="External" Id="rId12"/><Relationship Type="http://schemas.openxmlformats.org/officeDocument/2006/relationships/hyperlink" Target="https://www.tradingview.com/chart/Q1c5VWwD/?symbol=vctr" TargetMode="External" Id="rId13"/><Relationship Type="http://schemas.openxmlformats.org/officeDocument/2006/relationships/hyperlink" Target="https://www.tradingview.com/chart/Q1c5VWwD/?symbol=amcx" TargetMode="External" Id="rId14"/><Relationship Type="http://schemas.openxmlformats.org/officeDocument/2006/relationships/hyperlink" Target="https://www.tradingview.com/chart/Q1c5VWwD/?symbol=bio" TargetMode="External" Id="rId15"/><Relationship Type="http://schemas.openxmlformats.org/officeDocument/2006/relationships/hyperlink" Target="https://www.tradingview.com/chart/Q1c5VWwD/?symbol=fnko" TargetMode="External" Id="rId16"/><Relationship Type="http://schemas.openxmlformats.org/officeDocument/2006/relationships/hyperlink" Target="https://www.tradingview.com/chart/Q1c5VWwD/?symbol=frog" TargetMode="External" Id="rId17"/><Relationship Type="http://schemas.openxmlformats.org/officeDocument/2006/relationships/hyperlink" Target="https://www.tradingview.com/chart/Q1c5VWwD/?symbol=chpt" TargetMode="External" Id="rId18"/><Relationship Type="http://schemas.openxmlformats.org/officeDocument/2006/relationships/hyperlink" Target="https://www.tradingview.com/chart/Q1c5VWwD/?symbol=pd" TargetMode="External" Id="rId19"/><Relationship Type="http://schemas.openxmlformats.org/officeDocument/2006/relationships/hyperlink" Target="https://www.tradingview.com/chart/Q1c5VWwD/?symbol=be" TargetMode="External" Id="rId20"/><Relationship Type="http://schemas.openxmlformats.org/officeDocument/2006/relationships/hyperlink" Target="https://www.tradingview.com/chart/Q1c5VWwD/?symbol=dfdv" TargetMode="External" Id="rId21"/><Relationship Type="http://schemas.openxmlformats.org/officeDocument/2006/relationships/hyperlink" Target="https://www.tradingview.com/chart/Q1c5VWwD/?symbol=hood" TargetMode="External" Id="rId22"/><Relationship Type="http://schemas.openxmlformats.org/officeDocument/2006/relationships/hyperlink" Target="https://www.tradingview.com/chart/Q1c5VWwD/?symbol=insp" TargetMode="External" Id="rId23"/><Relationship Type="http://schemas.openxmlformats.org/officeDocument/2006/relationships/hyperlink" Target="https://www.tradingview.com/chart/Q1c5VWwD/?symbol=nmax" TargetMode="External" Id="rId24"/><Relationship Type="http://schemas.openxmlformats.org/officeDocument/2006/relationships/hyperlink" Target="https://www.tradingview.com/chart/Q1c5VWwD/?symbol=sndk" TargetMode="External" Id="rId25"/><Relationship Type="http://schemas.openxmlformats.org/officeDocument/2006/relationships/hyperlink" Target="https://www.tradingview.com/chart/Q1c5VWwD/?symbol=apps" TargetMode="External" Id="rId26"/><Relationship Type="http://schemas.openxmlformats.org/officeDocument/2006/relationships/hyperlink" Target="https://www.tradingview.com/chart/Q1c5VWwD/?symbol=bbnx" TargetMode="External" Id="rId27"/><Relationship Type="http://schemas.openxmlformats.org/officeDocument/2006/relationships/hyperlink" Target="https://www.tradingview.com/chart/Q1c5VWwD/?symbol=hyln" TargetMode="External" Id="rId28"/><Relationship Type="http://schemas.openxmlformats.org/officeDocument/2006/relationships/hyperlink" Target="https://www.tradingview.com/chart/Q1c5VWwD/?symbol=nrgv" TargetMode="External" Id="rId29"/><Relationship Type="http://schemas.openxmlformats.org/officeDocument/2006/relationships/hyperlink" Target="https://www.tradingview.com/chart/Q1c5VWwD/?symbol=task" TargetMode="External" Id="rId30"/><Relationship Type="http://schemas.openxmlformats.org/officeDocument/2006/relationships/hyperlink" Target="https://www.tradingview.com/chart/Q1c5VWwD/?symbol=vstm" TargetMode="External" Id="rId31"/><Relationship Type="http://schemas.openxmlformats.org/officeDocument/2006/relationships/hyperlink" Target="https://www.tradingview.com/chart/Q1c5VWwD/?symbol=xrx" TargetMode="External" Id="rId32"/><Relationship Type="http://schemas.openxmlformats.org/officeDocument/2006/relationships/hyperlink" Target="https://www.tradingview.com/chart/Q1c5VWwD/?symbol=abtc" TargetMode="External" Id="rId33"/><Relationship Type="http://schemas.openxmlformats.org/officeDocument/2006/relationships/hyperlink" Target="https://www.tradingview.com/chart/Q1c5VWwD/?symbol=aso" TargetMode="External" Id="rId34"/><Relationship Type="http://schemas.openxmlformats.org/officeDocument/2006/relationships/hyperlink" Target="https://www.tradingview.com/chart/Q1c5VWwD/?symbol=csr" TargetMode="External" Id="rId35"/><Relationship Type="http://schemas.openxmlformats.org/officeDocument/2006/relationships/hyperlink" Target="https://www.tradingview.com/chart/Q1c5VWwD/?symbol=docs" TargetMode="External" Id="rId36"/><Relationship Type="http://schemas.openxmlformats.org/officeDocument/2006/relationships/hyperlink" Target="https://www.tradingview.com/chart/Q1c5VWwD/?symbol=docu" TargetMode="External" Id="rId37"/><Relationship Type="http://schemas.openxmlformats.org/officeDocument/2006/relationships/hyperlink" Target="https://www.tradingview.com/chart/Q1c5VWwD/?symbol=ibrx" TargetMode="External" Id="rId38"/><Relationship Type="http://schemas.openxmlformats.org/officeDocument/2006/relationships/hyperlink" Target="https://www.tradingview.com/chart/Q1c5VWwD/?symbol=land" TargetMode="External" Id="rId39"/><Relationship Type="http://schemas.openxmlformats.org/officeDocument/2006/relationships/hyperlink" Target="https://www.tradingview.com/chart/Q1c5VWwD/?symbol=lite" TargetMode="External" Id="rId40"/><Relationship Type="http://schemas.openxmlformats.org/officeDocument/2006/relationships/hyperlink" Target="https://www.tradingview.com/chart/Q1c5VWwD/?symbol=pphc" TargetMode="External" Id="rId41"/><Relationship Type="http://schemas.openxmlformats.org/officeDocument/2006/relationships/hyperlink" Target="https://www.tradingview.com/chart/Q1c5VWwD/?symbol=riot" TargetMode="External" Id="rId42"/><Relationship Type="http://schemas.openxmlformats.org/officeDocument/2006/relationships/hyperlink" Target="https://www.tradingview.com/chart/Q1c5VWwD/?symbol=spce" TargetMode="External" Id="rId43"/><Relationship Type="http://schemas.openxmlformats.org/officeDocument/2006/relationships/hyperlink" Target="https://www.tradingview.com/chart/Q1c5VWwD/?symbol=tgtx" TargetMode="External" Id="rId44"/><Relationship Type="http://schemas.openxmlformats.org/officeDocument/2006/relationships/hyperlink" Target="https://www.tradingview.com/chart/Q1c5VWwD/?symbol=wlth" TargetMode="External" Id="rId45"/><Relationship Type="http://schemas.openxmlformats.org/officeDocument/2006/relationships/hyperlink" Target="https://www.tradingview.com/chart/Q1c5VWwD/?symbol=nyse%3Aamwl" TargetMode="External" Id="rId46"/><Relationship Type="http://schemas.openxmlformats.org/officeDocument/2006/relationships/hyperlink" Target="https://www.tradingview.com/chart/Q1c5VWwD/?symbol=hae" TargetMode="External" Id="rId47"/><Relationship Type="http://schemas.openxmlformats.org/officeDocument/2006/relationships/hyperlink" Target="https://www.tradingview.com/chart/Q1c5VWwD/?symbol=htfl" TargetMode="External" Id="rId48"/><Relationship Type="http://schemas.openxmlformats.org/officeDocument/2006/relationships/hyperlink" Target="https://www.tradingview.com/chart/Q1c5VWwD/?symbol=hzo" TargetMode="External" Id="rId49"/><Relationship Type="http://schemas.openxmlformats.org/officeDocument/2006/relationships/hyperlink" Target="https://www.tradingview.com/chart/Q1c5VWwD/?symbol=nasdaq%3Acbll" TargetMode="External" Id="rId50"/><Relationship Type="http://schemas.openxmlformats.org/officeDocument/2006/relationships/hyperlink" Target="https://www.tradingview.com/chart/Q1c5VWwD/?symbol=de" TargetMode="External" Id="rId51"/><Relationship Type="http://schemas.openxmlformats.org/officeDocument/2006/relationships/hyperlink" Target="https://www.tradingview.com/chart/Q1c5VWwD/?symbol=exel" TargetMode="External" Id="rId52"/><Relationship Type="http://schemas.openxmlformats.org/officeDocument/2006/relationships/hyperlink" Target="https://www.tradingview.com/chart/Q1c5VWwD/?symbol=avtr" TargetMode="External" Id="rId53"/><Relationship Type="http://schemas.openxmlformats.org/officeDocument/2006/relationships/hyperlink" Target="https://www.tradingview.com/chart/Q1c5VWwD/?symbol=nsit" TargetMode="External" Id="rId54"/><Relationship Type="http://schemas.openxmlformats.org/officeDocument/2006/relationships/hyperlink" Target="https://www.tradingview.com/chart/Q1c5VWwD/?symbol=pbf" TargetMode="External" Id="rId55"/><Relationship Type="http://schemas.openxmlformats.org/officeDocument/2006/relationships/hyperlink" Target="https://www.tradingview.com/chart/Q1c5VWwD/?symbol=nasdaq%3Amgni" TargetMode="External" Id="rId56"/><Relationship Type="http://schemas.openxmlformats.org/officeDocument/2006/relationships/hyperlink" Target="https://www.tradingview.com/chart/Q1c5VWwD/?symbol=adpt" TargetMode="External" Id="rId57"/><Relationship Type="http://schemas.openxmlformats.org/officeDocument/2006/relationships/hyperlink" Target="https://www.tradingview.com/chart/Q1c5VWwD/?symbol=atrc" TargetMode="External" Id="rId58"/><Relationship Type="http://schemas.openxmlformats.org/officeDocument/2006/relationships/hyperlink" Target="https://www.tradingview.com/chart/Q1c5VWwD/?symbol=feim" TargetMode="External" Id="rId59"/><Relationship Type="http://schemas.openxmlformats.org/officeDocument/2006/relationships/hyperlink" Target="https://www.tradingview.com/chart/Q1c5VWwD/?symbol=rng" TargetMode="External" Id="rId60"/><Relationship Type="http://schemas.openxmlformats.org/officeDocument/2006/relationships/hyperlink" Target="https://www.tradingview.com/chart/Q1c5VWwD/?symbol=sdgr" TargetMode="External" Id="rId61"/><Relationship Type="http://schemas.openxmlformats.org/officeDocument/2006/relationships/hyperlink" Target="https://www.tradingview.com/chart/Q1c5VWwD/?symbol=twlo" TargetMode="External" Id="rId62"/><Relationship Type="http://schemas.openxmlformats.org/officeDocument/2006/relationships/hyperlink" Target="https://www.tradingview.com/chart/Q1c5VWwD/?symbol=nasdaq%3Aclmt" TargetMode="External" Id="rId63"/><Relationship Type="http://schemas.openxmlformats.org/officeDocument/2006/relationships/hyperlink" Target="https://www.tradingview.com/chart/Q1c5VWwD/?symbol=cvi" TargetMode="External" Id="rId64"/><Relationship Type="http://schemas.openxmlformats.org/officeDocument/2006/relationships/hyperlink" Target="https://www.tradingview.com/chart/Q1c5VWwD/?symbol=fosl" TargetMode="External" Id="rId65"/><Relationship Type="http://schemas.openxmlformats.org/officeDocument/2006/relationships/hyperlink" Target="https://www.tradingview.com/chart/Q1c5VWwD/?symbol=gtlb" TargetMode="External" Id="rId66"/><Relationship Type="http://schemas.openxmlformats.org/officeDocument/2006/relationships/hyperlink" Target="https://www.tradingview.com/chart/Q1c5VWwD/?symbol=nasdaq%3Aneo" TargetMode="External" Id="rId67"/><Relationship Type="http://schemas.openxmlformats.org/officeDocument/2006/relationships/hyperlink" Target="https://www.tradingview.com/chart/Q1c5VWwD/?symbol=oabi" TargetMode="External" Id="rId68"/><Relationship Type="http://schemas.openxmlformats.org/officeDocument/2006/relationships/hyperlink" Target="https://www.tradingview.com/chart/Q1c5VWwD/?symbol=obio" TargetMode="External" Id="rId69"/><Relationship Type="http://schemas.openxmlformats.org/officeDocument/2006/relationships/hyperlink" Target="https://www.tradingview.com/chart/Q1c5VWwD/?symbol=omer" TargetMode="External" Id="rId70"/><Relationship Type="http://schemas.openxmlformats.org/officeDocument/2006/relationships/hyperlink" Target="https://www.tradingview.com/chart/Q1c5VWwD/?symbol=smtc" TargetMode="External" Id="rId71"/><Relationship Type="http://schemas.openxmlformats.org/officeDocument/2006/relationships/hyperlink" Target="https://www.tradingview.com/chart/Q1c5VWwD/?symbol=swks" TargetMode="External" Id="rId72"/><Relationship Type="http://schemas.openxmlformats.org/officeDocument/2006/relationships/hyperlink" Target="https://www.tradingview.com/chart/Q1c5VWwD/?symbol=tars" TargetMode="External" Id="rId73"/><Relationship Type="http://schemas.openxmlformats.org/officeDocument/2006/relationships/hyperlink" Target="https://www.tradingview.com/chart/Q1c5VWwD/?symbol=nyse%3Azeta" TargetMode="External" Id="rId74"/><Relationship Type="http://schemas.openxmlformats.org/officeDocument/2006/relationships/hyperlink" Target="https://www.tradingview.com/chart/Q1c5VWwD/?symbol=anf" TargetMode="External" Id="rId75"/><Relationship Type="http://schemas.openxmlformats.org/officeDocument/2006/relationships/hyperlink" Target="https://www.tradingview.com/chart/Q1c5VWwD/?symbol=nyse%3Ahpq" TargetMode="External" Id="rId76"/><Relationship Type="http://schemas.openxmlformats.org/officeDocument/2006/relationships/hyperlink" Target="https://www.tradingview.com/chart/Q1c5VWwD/?symbol=meta" TargetMode="External" Id="rId77"/><Relationship Type="http://schemas.openxmlformats.org/officeDocument/2006/relationships/hyperlink" Target="https://www.tradingview.com/chart/Q1c5VWwD/?symbol=mlab" TargetMode="External" Id="rId78"/><Relationship Type="http://schemas.openxmlformats.org/officeDocument/2006/relationships/hyperlink" Target="https://www.tradingview.com/chart/Q1c5VWwD/?symbol=s" TargetMode="External" Id="rId79"/><Relationship Type="http://schemas.openxmlformats.org/officeDocument/2006/relationships/hyperlink" Target="https://www.tradingview.com/chart/Q1c5VWwD/?symbol=nasdaq%3Aapa" TargetMode="External" Id="rId80"/><Relationship Type="http://schemas.openxmlformats.org/officeDocument/2006/relationships/hyperlink" Target="https://www.tradingview.com/chart/Q1c5VWwD/?symbol=blte" TargetMode="External" Id="rId81"/><Relationship Type="http://schemas.openxmlformats.org/officeDocument/2006/relationships/hyperlink" Target="https://www.tradingview.com/chart/Q1c5VWwD/?symbol=crm" TargetMode="External" Id="rId82"/><Relationship Type="http://schemas.openxmlformats.org/officeDocument/2006/relationships/hyperlink" Target="https://www.tradingview.com/chart/Q1c5VWwD/?symbol=ffiv" TargetMode="External" Id="rId83"/><Relationship Type="http://schemas.openxmlformats.org/officeDocument/2006/relationships/hyperlink" Target="https://www.tradingview.com/chart/Q1c5VWwD/?symbol=gh" TargetMode="External" Id="rId84"/><Relationship Type="http://schemas.openxmlformats.org/officeDocument/2006/relationships/hyperlink" Target="https://www.tradingview.com/chart/Q1c5VWwD/?symbol=mmed" TargetMode="External" Id="rId85"/><Relationship Type="http://schemas.openxmlformats.org/officeDocument/2006/relationships/hyperlink" Target="https://www.tradingview.com/chart/Q1c5VWwD/?symbol=rushb" TargetMode="External" Id="rId86"/><Relationship Type="http://schemas.openxmlformats.org/officeDocument/2006/relationships/hyperlink" Target="https://www.tradingview.com/chart/Q1c5VWwD/?symbol=vra" TargetMode="External" Id="rId8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plse" TargetMode="External" Id="rId2"/><Relationship Type="http://schemas.openxmlformats.org/officeDocument/2006/relationships/hyperlink" Target="https://www.tradingview.com/chart/Q1c5VWwD/?symbol=nyse%3Aestc" TargetMode="External" Id="rId3"/><Relationship Type="http://schemas.openxmlformats.org/officeDocument/2006/relationships/hyperlink" Target="https://www.tradingview.com/chart/Q1c5VWwD/?symbol=nyse%3Adhx" TargetMode="External" Id="rId4"/><Relationship Type="http://schemas.openxmlformats.org/officeDocument/2006/relationships/hyperlink" Target="https://www.tradingview.com/chart/Q1c5VWwD/?symbol=nyse%3Avlo" TargetMode="External" Id="rId5"/><Relationship Type="http://schemas.openxmlformats.org/officeDocument/2006/relationships/hyperlink" Target="https://www.tradingview.com/chart/Q1c5VWwD/?symbol=nyse%3Asnow" TargetMode="External" Id="rId6"/><Relationship Type="http://schemas.openxmlformats.org/officeDocument/2006/relationships/hyperlink" Target="https://www.tradingview.com/chart/Q1c5VWwD/?symbol=nyse%3Ampc" TargetMode="External" Id="rId7"/><Relationship Type="http://schemas.openxmlformats.org/officeDocument/2006/relationships/hyperlink" Target="https://www.tradingview.com/chart/Q1c5VWwD/?symbol=nyse%3Alpg" TargetMode="External" Id="rId8"/><Relationship Type="http://schemas.openxmlformats.org/officeDocument/2006/relationships/hyperlink" Target="https://www.tradingview.com/chart/Q1c5VWwD/?symbol=nyse%3Adino" TargetMode="External" Id="rId9"/><Relationship Type="http://schemas.openxmlformats.org/officeDocument/2006/relationships/hyperlink" Target="https://www.tradingview.com/chart/Q1c5VWwD/?symbol=nyse%3Apsx" TargetMode="External" Id="rId10"/><Relationship Type="http://schemas.openxmlformats.org/officeDocument/2006/relationships/hyperlink" Target="https://www.tradingview.com/chart/Q1c5VWwD/?symbol=nasdaq%3Attrx" TargetMode="External" Id="rId11"/><Relationship Type="http://schemas.openxmlformats.org/officeDocument/2006/relationships/hyperlink" Target="https://www.tradingview.com/chart/Q1c5VWwD/?symbol=nyse%3Adell" TargetMode="External" Id="rId12"/><Relationship Type="http://schemas.openxmlformats.org/officeDocument/2006/relationships/hyperlink" Target="https://www.tradingview.com/chart/Q1c5VWwD/?symbol=nasdaq%3Atitn" TargetMode="External" Id="rId13"/><Relationship Type="http://schemas.openxmlformats.org/officeDocument/2006/relationships/hyperlink" Target="https://www.tradingview.com/chart/Q1c5VWwD/?symbol=nasdaq%3Afivn" TargetMode="External" Id="rId14"/><Relationship Type="http://schemas.openxmlformats.org/officeDocument/2006/relationships/hyperlink" Target="https://www.tradingview.com/chart/Q1c5VWwD/?symbol=nasdaq%3Apurr" TargetMode="External" Id="rId15"/><Relationship Type="http://schemas.openxmlformats.org/officeDocument/2006/relationships/hyperlink" Target="https://www.tradingview.com/chart/Q1c5VWwD/?symbol=nasdaq%3Akgei" TargetMode="External" Id="rId16"/><Relationship Type="http://schemas.openxmlformats.org/officeDocument/2006/relationships/hyperlink" Target="https://www.tradingview.com/chart/Q1c5VWwD/?symbol=nyse%3Aibta" TargetMode="External" Id="rId17"/><Relationship Type="http://schemas.openxmlformats.org/officeDocument/2006/relationships/hyperlink" Target="https://www.tradingview.com/chart/Q1c5VWwD/?symbol=nasdaq%3Aelmt" TargetMode="External" Id="rId18"/><Relationship Type="http://schemas.openxmlformats.org/officeDocument/2006/relationships/hyperlink" Target="https://www.tradingview.com/chart/Q1c5VWwD/?symbol=amex%3Adc" TargetMode="External" Id="rId19"/><Relationship Type="http://schemas.openxmlformats.org/officeDocument/2006/relationships/hyperlink" Target="https://www.tradingview.com/chart/Q1c5VWwD/?symbol=nyse%3Abby" TargetMode="External" Id="rId20"/><Relationship Type="http://schemas.openxmlformats.org/officeDocument/2006/relationships/hyperlink" Target="https://www.tradingview.com/chart/Q1c5VWwD/?symbol=nasdaq%3Ath" TargetMode="External" Id="rId21"/><Relationship Type="http://schemas.openxmlformats.org/officeDocument/2006/relationships/hyperlink" Target="https://www.tradingview.com/chart/Q1c5VWwD/?symbol=nyse%3Aveev" TargetMode="External" Id="rId22"/><Relationship Type="http://schemas.openxmlformats.org/officeDocument/2006/relationships/hyperlink" Target="https://www.tradingview.com/chart/Q1c5VWwD/?symbol=nasdaq%3Anutx" TargetMode="External" Id="rId23"/><Relationship Type="http://schemas.openxmlformats.org/officeDocument/2006/relationships/hyperlink" Target="https://www.tradingview.com/chart/Q1c5VWwD/?symbol=nasdaq%3Aclmt" TargetMode="External" Id="rId24"/><Relationship Type="http://schemas.openxmlformats.org/officeDocument/2006/relationships/hyperlink" Target="https://www.tradingview.com/chart/Q1c5VWwD/?symbol=nasdaq%3Aneo" TargetMode="External" Id="rId25"/><Relationship Type="http://schemas.openxmlformats.org/officeDocument/2006/relationships/hyperlink" Target="https://www.tradingview.com/chart/Q1c5VWwD/?symbol=nyse%3Anow" TargetMode="External" Id="rId26"/><Relationship Type="http://schemas.openxmlformats.org/officeDocument/2006/relationships/hyperlink" Target="https://www.tradingview.com/chart/Q1c5VWwD/?symbol=nyse%3Ahpq" TargetMode="External" Id="rId27"/><Relationship Type="http://schemas.openxmlformats.org/officeDocument/2006/relationships/hyperlink" Target="https://www.tradingview.com/chart/Q1c5VWwD/?symbol=nyse%3Aamwl" TargetMode="External" Id="rId28"/><Relationship Type="http://schemas.openxmlformats.org/officeDocument/2006/relationships/hyperlink" Target="https://www.tradingview.com/chart/Q1c5VWwD/?symbol=nasdaq%3Aampl" TargetMode="External" Id="rId29"/><Relationship Type="http://schemas.openxmlformats.org/officeDocument/2006/relationships/hyperlink" Target="https://www.tradingview.com/chart/Q1c5VWwD/?symbol=nyse%3Azeta" TargetMode="External" Id="rId30"/><Relationship Type="http://schemas.openxmlformats.org/officeDocument/2006/relationships/hyperlink" Target="https://www.tradingview.com/chart/Q1c5VWwD/?symbol=nasdaq%3Amgni" TargetMode="External" Id="rId31"/><Relationship Type="http://schemas.openxmlformats.org/officeDocument/2006/relationships/hyperlink" Target="https://www.tradingview.com/chart/Q1c5VWwD/?symbol=nasdaq%3Asabr" TargetMode="External" Id="rId32"/><Relationship Type="http://schemas.openxmlformats.org/officeDocument/2006/relationships/hyperlink" Target="https://www.tradingview.com/chart/Q1c5VWwD/?symbol=nasdaq%3Avir" TargetMode="External" Id="rId33"/><Relationship Type="http://schemas.openxmlformats.org/officeDocument/2006/relationships/hyperlink" Target="https://www.tradingview.com/chart/Q1c5VWwD/?symbol=nasdaq%3Asgp" TargetMode="External" Id="rId34"/><Relationship Type="http://schemas.openxmlformats.org/officeDocument/2006/relationships/hyperlink" Target="https://www.tradingview.com/chart/Q1c5VWwD/?symbol=nyse%3Aangx" TargetMode="External" Id="rId35"/><Relationship Type="http://schemas.openxmlformats.org/officeDocument/2006/relationships/hyperlink" Target="https://www.tradingview.com/chart/Q1c5VWwD/?symbol=nasdaq%3Adjco" TargetMode="External" Id="rId36"/><Relationship Type="http://schemas.openxmlformats.org/officeDocument/2006/relationships/hyperlink" Target="https://www.tradingview.com/chart/Q1c5VWwD/?symbol=amex%3Arepx" TargetMode="External" Id="rId37"/><Relationship Type="http://schemas.openxmlformats.org/officeDocument/2006/relationships/hyperlink" Target="https://www.tradingview.com/chart/Q1c5VWwD/?symbol=nasdaq%3Aapa" TargetMode="External" Id="rId38"/><Relationship Type="http://schemas.openxmlformats.org/officeDocument/2006/relationships/hyperlink" Target="https://www.tradingview.com/chart/Q1c5VWwD/?symbol=nasdaq%3Acbll" TargetMode="External" Id="rId3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asdaq%3Anutx" TargetMode="External" Id="rId2"/><Relationship Type="http://schemas.openxmlformats.org/officeDocument/2006/relationships/hyperlink" Target="https://www.tradingview.com/chart/Q1c5VWwD/?symbol=nasdaq%3Aclmt" TargetMode="External" Id="rId3"/><Relationship Type="http://schemas.openxmlformats.org/officeDocument/2006/relationships/hyperlink" Target="https://www.tradingview.com/chart/Q1c5VWwD/?symbol=nyse%3Aestc" TargetMode="External" Id="rId4"/><Relationship Type="http://schemas.openxmlformats.org/officeDocument/2006/relationships/hyperlink" Target="https://www.tradingview.com/chart/Q1c5VWwD/?symbol=nasdaq%3Aneo" TargetMode="External" Id="rId5"/><Relationship Type="http://schemas.openxmlformats.org/officeDocument/2006/relationships/hyperlink" Target="https://www.tradingview.com/chart/Q1c5VWwD/?symbol=nyse%3Anow" TargetMode="External" Id="rId6"/><Relationship Type="http://schemas.openxmlformats.org/officeDocument/2006/relationships/hyperlink" Target="https://www.tradingview.com/chart/Q1c5VWwD/?symbol=nyse%3Ahpq" TargetMode="External" Id="rId7"/><Relationship Type="http://schemas.openxmlformats.org/officeDocument/2006/relationships/hyperlink" Target="https://www.tradingview.com/chart/Q1c5VWwD/?symbol=nasdaq%3Aplse" TargetMode="External" Id="rId8"/><Relationship Type="http://schemas.openxmlformats.org/officeDocument/2006/relationships/hyperlink" Target="https://www.tradingview.com/chart/Q1c5VWwD/?symbol=nasdaq%3Aird" TargetMode="External" Id="rId9"/><Relationship Type="http://schemas.openxmlformats.org/officeDocument/2006/relationships/hyperlink" Target="https://www.tradingview.com/chart/Q1c5VWwD/?symbol=nyse%3Aamwl" TargetMode="External" Id="rId10"/><Relationship Type="http://schemas.openxmlformats.org/officeDocument/2006/relationships/hyperlink" Target="https://www.tradingview.com/chart/Q1c5VWwD/?symbol=nyse%3Asnow" TargetMode="External" Id="rId11"/><Relationship Type="http://schemas.openxmlformats.org/officeDocument/2006/relationships/hyperlink" Target="https://www.tradingview.com/chart/Q1c5VWwD/?symbol=nasdaq%3Aampl" TargetMode="External" Id="rId12"/><Relationship Type="http://schemas.openxmlformats.org/officeDocument/2006/relationships/hyperlink" Target="https://www.tradingview.com/chart/Q1c5VWwD/?symbol=nyse%3Adhx" TargetMode="External" Id="rId13"/><Relationship Type="http://schemas.openxmlformats.org/officeDocument/2006/relationships/hyperlink" Target="https://www.tradingview.com/chart/Q1c5VWwD/?symbol=nyse%3Azeta" TargetMode="External" Id="rId14"/><Relationship Type="http://schemas.openxmlformats.org/officeDocument/2006/relationships/hyperlink" Target="https://www.tradingview.com/chart/Q1c5VWwD/?symbol=nyse%3Adino" TargetMode="External" Id="rId15"/><Relationship Type="http://schemas.openxmlformats.org/officeDocument/2006/relationships/hyperlink" Target="https://www.tradingview.com/chart/Q1c5VWwD/?symbol=nasdaq%3Amgni" TargetMode="External" Id="rId16"/><Relationship Type="http://schemas.openxmlformats.org/officeDocument/2006/relationships/hyperlink" Target="https://www.tradingview.com/chart/Q1c5VWwD/?symbol=nyse%3Avlo" TargetMode="External" Id="rId17"/><Relationship Type="http://schemas.openxmlformats.org/officeDocument/2006/relationships/hyperlink" Target="https://www.tradingview.com/chart/Q1c5VWwD/?symbol=nasdaq%3Asabr" TargetMode="External" Id="rId18"/><Relationship Type="http://schemas.openxmlformats.org/officeDocument/2006/relationships/hyperlink" Target="https://www.tradingview.com/chart/Q1c5VWwD/?symbol=nasdaq%3Avir" TargetMode="External" Id="rId19"/><Relationship Type="http://schemas.openxmlformats.org/officeDocument/2006/relationships/hyperlink" Target="https://www.tradingview.com/chart/Q1c5VWwD/?symbol=nyse%3Ampc" TargetMode="External" Id="rId20"/><Relationship Type="http://schemas.openxmlformats.org/officeDocument/2006/relationships/hyperlink" Target="https://www.tradingview.com/chart/Q1c5VWwD/?symbol=nasdaq%3Asgp" TargetMode="External" Id="rId21"/><Relationship Type="http://schemas.openxmlformats.org/officeDocument/2006/relationships/hyperlink" Target="https://www.tradingview.com/chart/Q1c5VWwD/?symbol=nyse%3Aangx" TargetMode="External" Id="rId22"/><Relationship Type="http://schemas.openxmlformats.org/officeDocument/2006/relationships/hyperlink" Target="https://www.tradingview.com/chart/Q1c5VWwD/?symbol=nasdaq%3Adjco" TargetMode="External" Id="rId23"/><Relationship Type="http://schemas.openxmlformats.org/officeDocument/2006/relationships/hyperlink" Target="https://www.tradingview.com/chart/Q1c5VWwD/?symbol=nyse%3Apsx" TargetMode="External" Id="rId24"/><Relationship Type="http://schemas.openxmlformats.org/officeDocument/2006/relationships/hyperlink" Target="https://www.tradingview.com/chart/Q1c5VWwD/?symbol=nyse%3Alpg" TargetMode="External" Id="rId25"/><Relationship Type="http://schemas.openxmlformats.org/officeDocument/2006/relationships/hyperlink" Target="https://www.tradingview.com/chart/Q1c5VWwD/?symbol=amex%3Arepx" TargetMode="External" Id="rId26"/><Relationship Type="http://schemas.openxmlformats.org/officeDocument/2006/relationships/hyperlink" Target="https://www.tradingview.com/chart/Q1c5VWwD/?symbol=nasdaq%3Aapa" TargetMode="External" Id="rId27"/><Relationship Type="http://schemas.openxmlformats.org/officeDocument/2006/relationships/hyperlink" Target="https://www.tradingview.com/chart/Q1c5VWwD/?symbol=nasdaq%3Acbll" TargetMode="External" Id="rId2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nasdaq%3Attrx" TargetMode="External" Id="rId1"/><Relationship Type="http://schemas.openxmlformats.org/officeDocument/2006/relationships/hyperlink" Target="https://www.tradingview.com/chart/Q1c5VWwD/?symbol=nasdaq%3Aplse" TargetMode="External" Id="rId2"/><Relationship Type="http://schemas.openxmlformats.org/officeDocument/2006/relationships/hyperlink" Target="https://www.tradingview.com/chart/Q1c5VWwD/?symbol=nasdaq%3Atitn" TargetMode="External" Id="rId3"/><Relationship Type="http://schemas.openxmlformats.org/officeDocument/2006/relationships/hyperlink" Target="https://www.tradingview.com/chart/Q1c5VWwD/?symbol=nyse%3Aestc" TargetMode="External" Id="rId4"/><Relationship Type="http://schemas.openxmlformats.org/officeDocument/2006/relationships/hyperlink" Target="https://www.tradingview.com/chart/Q1c5VWwD/?symbol=nyse%3Adhx" TargetMode="External" Id="rId5"/><Relationship Type="http://schemas.openxmlformats.org/officeDocument/2006/relationships/hyperlink" Target="https://www.tradingview.com/chart/Q1c5VWwD/?symbol=nyse%3Avlo" TargetMode="External" Id="rId6"/><Relationship Type="http://schemas.openxmlformats.org/officeDocument/2006/relationships/hyperlink" Target="https://www.tradingview.com/chart/Q1c5VWwD/?symbol=nyse%3Asnow" TargetMode="External" Id="rId7"/><Relationship Type="http://schemas.openxmlformats.org/officeDocument/2006/relationships/hyperlink" Target="https://www.tradingview.com/chart/Q1c5VWwD/?symbol=nyse%3Ampc" TargetMode="External" Id="rId8"/><Relationship Type="http://schemas.openxmlformats.org/officeDocument/2006/relationships/hyperlink" Target="https://www.tradingview.com/chart/Q1c5VWwD/?symbol=nyse%3Alpg" TargetMode="External" Id="rId9"/><Relationship Type="http://schemas.openxmlformats.org/officeDocument/2006/relationships/hyperlink" Target="https://www.tradingview.com/chart/Q1c5VWwD/?symbol=nyse%3Adino" TargetMode="External" Id="rId10"/><Relationship Type="http://schemas.openxmlformats.org/officeDocument/2006/relationships/hyperlink" Target="https://www.tradingview.com/chart/Q1c5VWwD/?symbol=nyse%3Apsx" TargetMode="External" Id="rId11"/><Relationship Type="http://schemas.openxmlformats.org/officeDocument/2006/relationships/hyperlink" Target="https://www.tradingview.com/chart/Q1c5VWwD/?symbol=nasdaq%3Aird" TargetMode="External" Id="rId12"/><Relationship Type="http://schemas.openxmlformats.org/officeDocument/2006/relationships/hyperlink" Target="https://www.tradingview.com/chart/Q1c5VWwD/?symbol=nyse%3Adell" TargetMode="External" Id="rId13"/><Relationship Type="http://schemas.openxmlformats.org/officeDocument/2006/relationships/hyperlink" Target="https://www.tradingview.com/chart/Q1c5VWwD/?symbol=nasdaq%3Afivn" TargetMode="External" Id="rId14"/><Relationship Type="http://schemas.openxmlformats.org/officeDocument/2006/relationships/hyperlink" Target="https://www.tradingview.com/chart/Q1c5VWwD/?symbol=nasdaq%3Apurr" TargetMode="External" Id="rId15"/><Relationship Type="http://schemas.openxmlformats.org/officeDocument/2006/relationships/hyperlink" Target="https://www.tradingview.com/chart/Q1c5VWwD/?symbol=nasdaq%3Akgei" TargetMode="External" Id="rId16"/><Relationship Type="http://schemas.openxmlformats.org/officeDocument/2006/relationships/hyperlink" Target="https://www.tradingview.com/chart/Q1c5VWwD/?symbol=nyse%3Aibta" TargetMode="External" Id="rId17"/><Relationship Type="http://schemas.openxmlformats.org/officeDocument/2006/relationships/hyperlink" Target="https://www.tradingview.com/chart/Q1c5VWwD/?symbol=nasdaq%3Aelmt" TargetMode="External" Id="rId18"/><Relationship Type="http://schemas.openxmlformats.org/officeDocument/2006/relationships/hyperlink" Target="https://www.tradingview.com/chart/Q1c5VWwD/?symbol=amex%3Adc" TargetMode="External" Id="rId19"/><Relationship Type="http://schemas.openxmlformats.org/officeDocument/2006/relationships/hyperlink" Target="https://www.tradingview.com/chart/Q1c5VWwD/?symbol=nyse%3Abby" TargetMode="External" Id="rId20"/><Relationship Type="http://schemas.openxmlformats.org/officeDocument/2006/relationships/hyperlink" Target="https://www.tradingview.com/chart/Q1c5VWwD/?symbol=nasdaq%3Ath" TargetMode="External" Id="rId21"/><Relationship Type="http://schemas.openxmlformats.org/officeDocument/2006/relationships/hyperlink" Target="https://www.tradingview.com/chart/Q1c5VWwD/?symbol=gtlb" TargetMode="External" Id="rId22"/><Relationship Type="http://schemas.openxmlformats.org/officeDocument/2006/relationships/hyperlink" Target="https://www.tradingview.com/chart/Q1c5VWwD/?symbol=nasdaq%3Aampl" TargetMode="External" Id="rId23"/><Relationship Type="http://schemas.openxmlformats.org/officeDocument/2006/relationships/hyperlink" Target="https://www.tradingview.com/chart/Q1c5VWwD/?symbol=nyse%3Aamwl" TargetMode="External" Id="rId24"/><Relationship Type="http://schemas.openxmlformats.org/officeDocument/2006/relationships/hyperlink" Target="https://www.tradingview.com/chart/Q1c5VWwD/?symbol=nasdaq%3Aclmt" TargetMode="External" Id="rId25"/><Relationship Type="http://schemas.openxmlformats.org/officeDocument/2006/relationships/hyperlink" Target="https://www.tradingview.com/chart/Q1c5VWwD/?symbol=insw" TargetMode="External" Id="rId26"/><Relationship Type="http://schemas.openxmlformats.org/officeDocument/2006/relationships/hyperlink" Target="https://www.tradingview.com/chart/Q1c5VWwD/?symbol=snx" TargetMode="External" Id="rId27"/><Relationship Type="http://schemas.openxmlformats.org/officeDocument/2006/relationships/hyperlink" Target="https://www.tradingview.com/chart/Q1c5VWwD/?symbol=nasdaq%3Acbll" TargetMode="External" Id="rId2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trx" TargetMode="External" Id="rId2"/><Relationship Type="http://schemas.openxmlformats.org/officeDocument/2006/relationships/hyperlink" Target="https://www.tradingview.com/chart/Q1c5VWwD/?symbol=nasdaq%3Attrx" TargetMode="External" Id="rId3"/><Relationship Type="http://schemas.openxmlformats.org/officeDocument/2006/relationships/hyperlink" Target="https://www.tradingview.com/chart/Q1c5VWwD/?symbol=nasdaq%3Attrx" TargetMode="External" Id="rId4"/><Relationship Type="http://schemas.openxmlformats.org/officeDocument/2006/relationships/hyperlink" Target="https://www.tradingview.com/chart/Q1c5VWwD/?symbol=nasdaq%3Aplse" TargetMode="External" Id="rId5"/><Relationship Type="http://schemas.openxmlformats.org/officeDocument/2006/relationships/hyperlink" Target="https://www.tradingview.com/chart/Q1c5VWwD/?symbol=nasdaq%3Atitn" TargetMode="External" Id="rId6"/><Relationship Type="http://schemas.openxmlformats.org/officeDocument/2006/relationships/hyperlink" Target="https://www.tradingview.com/chart/Q1c5VWwD/?symbol=nyse%3Adhx" TargetMode="External" Id="rId7"/><Relationship Type="http://schemas.openxmlformats.org/officeDocument/2006/relationships/hyperlink" Target="https://www.tradingview.com/chart/Q1c5VWwD/?symbol=nyse%3Avlo" TargetMode="External" Id="rId8"/><Relationship Type="http://schemas.openxmlformats.org/officeDocument/2006/relationships/hyperlink" Target="https://www.tradingview.com/chart/Q1c5VWwD/?symbol=nasdaq%3Apurr" TargetMode="External" Id="rId9"/><Relationship Type="http://schemas.openxmlformats.org/officeDocument/2006/relationships/hyperlink" Target="https://www.tradingview.com/chart/Q1c5VWwD/?symbol=nasdaq%3Apurr" TargetMode="External" Id="rId10"/><Relationship Type="http://schemas.openxmlformats.org/officeDocument/2006/relationships/hyperlink" Target="https://www.tradingview.com/chart/Q1c5VWwD/?symbol=nyse%3Ampc" TargetMode="External" Id="rId11"/><Relationship Type="http://schemas.openxmlformats.org/officeDocument/2006/relationships/hyperlink" Target="https://www.tradingview.com/chart/Q1c5VWwD/?symbol=nasdaq%3Akgei" TargetMode="External" Id="rId12"/><Relationship Type="http://schemas.openxmlformats.org/officeDocument/2006/relationships/hyperlink" Target="https://www.tradingview.com/chart/Q1c5VWwD/?symbol=nasdaq%3Akgei" TargetMode="External" Id="rId13"/><Relationship Type="http://schemas.openxmlformats.org/officeDocument/2006/relationships/hyperlink" Target="https://www.tradingview.com/chart/Q1c5VWwD/?symbol=nyse%3Aibta" TargetMode="External" Id="rId14"/><Relationship Type="http://schemas.openxmlformats.org/officeDocument/2006/relationships/hyperlink" Target="https://www.tradingview.com/chart/Q1c5VWwD/?symbol=nyse%3Adino" TargetMode="External" Id="rId15"/><Relationship Type="http://schemas.openxmlformats.org/officeDocument/2006/relationships/hyperlink" Target="https://www.tradingview.com/chart/Q1c5VWwD/?symbol=nyse%3Apsx" TargetMode="External" Id="rId16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tradingview.com/chart/Q1c5VWwD/?symbol=nasdaq%3Attrx" TargetMode="External" Id="rId2"/><Relationship Type="http://schemas.openxmlformats.org/officeDocument/2006/relationships/hyperlink" Target="https://www.tradingview.com/chart/Q1c5VWwD/?symbol=nyse%3Adell" TargetMode="External" Id="rId3"/><Relationship Type="http://schemas.openxmlformats.org/officeDocument/2006/relationships/hyperlink" Target="https://www.tradingview.com/chart/Q1c5VWwD/?symbol=nasdaq%3Aplse" TargetMode="External" Id="rId4"/><Relationship Type="http://schemas.openxmlformats.org/officeDocument/2006/relationships/hyperlink" Target="https://www.tradingview.com/chart/Q1c5VWwD/?symbol=nasdaq%3Atitn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fivn" TargetMode="External" Id="rId7"/><Relationship Type="http://schemas.openxmlformats.org/officeDocument/2006/relationships/hyperlink" Target="https://www.tradingview.com/chart/Q1c5VWwD/?symbol=nyse%3Adhx" TargetMode="External" Id="rId8"/><Relationship Type="http://schemas.openxmlformats.org/officeDocument/2006/relationships/hyperlink" Target="https://www.tradingview.com/chart/Q1c5VWwD/?symbol=nyse%3Avlo" TargetMode="External" Id="rId9"/><Relationship Type="http://schemas.openxmlformats.org/officeDocument/2006/relationships/hyperlink" Target="https://www.tradingview.com/chart/Q1c5VWwD/?symbol=nasdaq%3Apurr" TargetMode="External" Id="rId10"/><Relationship Type="http://schemas.openxmlformats.org/officeDocument/2006/relationships/hyperlink" Target="https://www.tradingview.com/chart/Q1c5VWwD/?symbol=nyse%3Asnow" TargetMode="External" Id="rId11"/><Relationship Type="http://schemas.openxmlformats.org/officeDocument/2006/relationships/hyperlink" Target="https://www.tradingview.com/chart/Q1c5VWwD/?symbol=nyse%3Ampc" TargetMode="External" Id="rId12"/><Relationship Type="http://schemas.openxmlformats.org/officeDocument/2006/relationships/hyperlink" Target="https://www.tradingview.com/chart/Q1c5VWwD/?symbol=nasdaq%3Akgei" TargetMode="External" Id="rId13"/><Relationship Type="http://schemas.openxmlformats.org/officeDocument/2006/relationships/hyperlink" Target="https://www.tradingview.com/chart/Q1c5VWwD/?symbol=nyse%3Aibta" TargetMode="External" Id="rId14"/><Relationship Type="http://schemas.openxmlformats.org/officeDocument/2006/relationships/hyperlink" Target="https://www.tradingview.com/chart/Q1c5VWwD/?symbol=nasdaq%3Aelmt" TargetMode="External" Id="rId15"/><Relationship Type="http://schemas.openxmlformats.org/officeDocument/2006/relationships/hyperlink" Target="https://www.tradingview.com/chart/Q1c5VWwD/?symbol=nyse%3Alpg" TargetMode="External" Id="rId16"/><Relationship Type="http://schemas.openxmlformats.org/officeDocument/2006/relationships/hyperlink" Target="https://www.tradingview.com/chart/Q1c5VWwD/?symbol=amex%3Adc" TargetMode="External" Id="rId17"/><Relationship Type="http://schemas.openxmlformats.org/officeDocument/2006/relationships/hyperlink" Target="https://www.tradingview.com/chart/Q1c5VWwD/?symbol=nyse%3Abby" TargetMode="External" Id="rId18"/><Relationship Type="http://schemas.openxmlformats.org/officeDocument/2006/relationships/hyperlink" Target="https://www.tradingview.com/chart/Q1c5VWwD/?symbol=nasdaq%3Ath" TargetMode="External" Id="rId19"/><Relationship Type="http://schemas.openxmlformats.org/officeDocument/2006/relationships/hyperlink" Target="https://www.tradingview.com/chart/Q1c5VWwD/?symbol=nyse%3Adino" TargetMode="External" Id="rId20"/><Relationship Type="http://schemas.openxmlformats.org/officeDocument/2006/relationships/hyperlink" Target="https://www.tradingview.com/chart/Q1c5VWwD/?symbol=nyse%3Apsx" TargetMode="External" Id="rId21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/><Relationship Type="http://schemas.openxmlformats.org/officeDocument/2006/relationships/hyperlink" Target="https://www.stocktitan.net/news/IRD/opus-genetics-provides-best1-program-update-with-detailed-timeline-c1zyafhv8w60.html" TargetMode="External" Id="rId2"/><Relationship Type="http://schemas.openxmlformats.org/officeDocument/2006/relationships/hyperlink" Target="https://www.tradingview.com/chart/Q1c5VWwD/?symbol=nasdaq%3Attrx" TargetMode="External" Id="rId3"/><Relationship Type="http://schemas.openxmlformats.org/officeDocument/2006/relationships/hyperlink" Target="https://www.investing.com/equities/turn-therapeutics" TargetMode="External" Id="rId4"/><Relationship Type="http://schemas.openxmlformats.org/officeDocument/2006/relationships/hyperlink" Target="https://www.tradingview.com/chart/Q1c5VWwD/?symbol=nyse%3Adell" TargetMode="External" Id="rId5"/><Relationship Type="http://schemas.openxmlformats.org/officeDocument/2006/relationships/hyperlink" Target="https://www.fool.com/coverage/stock-market-today/2026/09/02/stock-market-today-sept-2-dell-surges-16-on-soaring-ai-backlog/" TargetMode="External" Id="rId6"/><Relationship Type="http://schemas.openxmlformats.org/officeDocument/2006/relationships/hyperlink" Target="https://www.tradingview.com/chart/Q1c5VWwD/?symbol=nasdaq%3Aplse" TargetMode="External" Id="rId7"/><Relationship Type="http://schemas.openxmlformats.org/officeDocument/2006/relationships/hyperlink" Target="https://simplywall.st/stocks/us/healthcare/nasdaq-plse/pulse-biosciences/news/why-pulse-biosciences-plse-is-up-64-after-nanopulse-af-trial" TargetMode="External" Id="rId8"/><Relationship Type="http://schemas.openxmlformats.org/officeDocument/2006/relationships/hyperlink" Target="https://www.tradingview.com/chart/Q1c5VWwD/?symbol=nasdaq%3Atitn" TargetMode="External" Id="rId9"/><Relationship Type="http://schemas.openxmlformats.org/officeDocument/2006/relationships/hyperlink" Target="https://www.ad-hoc-news.de/boerse/news/nebenwerte/titan-machinery-stock-falls-3-06-percent-as-losses-deepen/70183602" TargetMode="External" Id="rId10"/><Relationship Type="http://schemas.openxmlformats.org/officeDocument/2006/relationships/hyperlink" Target="https://www.tradingview.com/chart/Q1c5VWwD/?symbol=nyse%3Aestc" TargetMode="External" Id="rId11"/><Relationship Type="http://schemas.openxmlformats.org/officeDocument/2006/relationships/hyperlink" Target="https://markets.financialcontent.com/stocks/article/stockstory-2026-7-21-why-elastic-estc-shares-are-trading-lower-today" TargetMode="External" Id="rId12"/><Relationship Type="http://schemas.openxmlformats.org/officeDocument/2006/relationships/hyperlink" Target="https://www.tradingview.com/chart/Q1c5VWwD/?symbol=nasdaq%3Afivn" TargetMode="External" Id="rId13"/><Relationship Type="http://schemas.openxmlformats.org/officeDocument/2006/relationships/hyperlink" Target="https://www.gurufocus.com/news/9092651/a-look-at-five9-inc-fivn-after-44-gain-gf-value-3205-vs-price-3865" TargetMode="External" Id="rId14"/><Relationship Type="http://schemas.openxmlformats.org/officeDocument/2006/relationships/hyperlink" Target="https://www.tradingview.com/chart/Q1c5VWwD/?symbol=nyse%3Adhx" TargetMode="External" Id="rId15"/><Relationship Type="http://schemas.openxmlformats.org/officeDocument/2006/relationships/hyperlink" Target="https://upstox.com/us-stocks/dhx-share-price/" TargetMode="External" Id="rId16"/><Relationship Type="http://schemas.openxmlformats.org/officeDocument/2006/relationships/hyperlink" Target="https://www.tradingview.com/chart/Q1c5VWwD/?symbol=nyse%3Avlo" TargetMode="External" Id="rId17"/><Relationship Type="http://schemas.openxmlformats.org/officeDocument/2006/relationships/hyperlink" Target="https://seekingalpha.com/news/4645636-valero-marathon-cut-at-jefferies-supporting-less-refining-exposure-after-big-gains" TargetMode="External" Id="rId18"/><Relationship Type="http://schemas.openxmlformats.org/officeDocument/2006/relationships/hyperlink" Target="https://www.tradingview.com/chart/Q1c5VWwD/?symbol=nasdaq%3Apurr" TargetMode="External" Id="rId19"/><Relationship Type="http://schemas.openxmlformats.org/officeDocument/2006/relationships/hyperlink" Target="https://www.gurufocus.com/news/9096248/hyperliquid-strategies-inc-purr-shows-mixed-signals-amid-rising-options-optimism" TargetMode="External" Id="rId20"/><Relationship Type="http://schemas.openxmlformats.org/officeDocument/2006/relationships/hyperlink" Target="https://www.tradingview.com/chart/Q1c5VWwD/?symbol=nyse%3Asnow" TargetMode="External" Id="rId21"/><Relationship Type="http://schemas.openxmlformats.org/officeDocument/2006/relationships/hyperlink" Target="https://www.cnbc.com/2026/09/02/snowflake-snow-q2-earnings-report-2027.html" TargetMode="External" Id="rId22"/><Relationship Type="http://schemas.openxmlformats.org/officeDocument/2006/relationships/hyperlink" Target="https://www.tradingview.com/chart/Q1c5VWwD/?symbol=nyse%3Ampc" TargetMode="External" Id="rId23"/><Relationship Type="http://schemas.openxmlformats.org/officeDocument/2006/relationships/hyperlink" Target="https://seekingalpha.com/news/4645636-valero-marathon-cut-at-jefferies-supporting-less-refining-exposure-after-big-gains" TargetMode="External" Id="rId24"/><Relationship Type="http://schemas.openxmlformats.org/officeDocument/2006/relationships/hyperlink" Target="https://www.tradingview.com/chart/Q1c5VWwD/?symbol=nasdaq%3Akgei" TargetMode="External" Id="rId25"/><Relationship Type="http://schemas.openxmlformats.org/officeDocument/2006/relationships/hyperlink" Target="https://www.investorideas.com/news/2026/energy/09151-kolibri-global-energy-kei-kgei-oil-prices-rise.asp" TargetMode="External" Id="rId26"/><Relationship Type="http://schemas.openxmlformats.org/officeDocument/2006/relationships/hyperlink" Target="https://www.tradingview.com/chart/Q1c5VWwD/?symbol=nyse%3Aibta" TargetMode="External" Id="rId27"/><Relationship Type="http://schemas.openxmlformats.org/officeDocument/2006/relationships/hyperlink" Target="https://za.investing.com/news/stock-market-news/ibotta-ceo-bryan-leach-sells-625981-in-company-shares-93CH-4479296" TargetMode="External" Id="rId28"/><Relationship Type="http://schemas.openxmlformats.org/officeDocument/2006/relationships/hyperlink" Target="https://www.tradingview.com/chart/Q1c5VWwD/?symbol=nasdaq%3Aelmt" TargetMode="External" Id="rId29"/><Relationship Type="http://schemas.openxmlformats.org/officeDocument/2006/relationships/hyperlink" Target="https://www.globenewswire.com/news-release/2026/09/24/3367921/0/en/the-elmet-group-to-invest-approximately-125-million-in-masan-high-tech-materials-to-strengthen-tungsten-supply-chain.html" TargetMode="External" Id="rId30"/><Relationship Type="http://schemas.openxmlformats.org/officeDocument/2006/relationships/hyperlink" Target="https://www.tradingview.com/chart/Q1c5VWwD/?symbol=nyse%3Alpg" TargetMode="External" Id="rId31"/><Relationship Type="http://schemas.openxmlformats.org/officeDocument/2006/relationships/hyperlink" Target="https://www.stocktitan.net/news/LPG/dorian-lpg-ltd-announces-vlgc-newbuilding-contracts-forward-9zhz9yb9avle.html" TargetMode="External" Id="rId32"/><Relationship Type="http://schemas.openxmlformats.org/officeDocument/2006/relationships/hyperlink" Target="https://www.tradingview.com/chart/Q1c5VWwD/?symbol=amex%3Adc" TargetMode="External" Id="rId33"/><Relationship Type="http://schemas.openxmlformats.org/officeDocument/2006/relationships/hyperlink" Target="https://www.investing.com/equities/dakota-gold" TargetMode="External" Id="rId34"/><Relationship Type="http://schemas.openxmlformats.org/officeDocument/2006/relationships/hyperlink" Target="https://www.tradingview.com/chart/Q1c5VWwD/?symbol=nyse%3Abby" TargetMode="External" Id="rId35"/><Relationship Type="http://schemas.openxmlformats.org/officeDocument/2006/relationships/hyperlink" Target="https://simplywall.st/stocks/us/retail/nyse-bby/best-buy/future" TargetMode="External" Id="rId36"/><Relationship Type="http://schemas.openxmlformats.org/officeDocument/2006/relationships/hyperlink" Target="https://www.tradingview.com/chart/Q1c5VWwD/?symbol=nasdaq%3Ath" TargetMode="External" Id="rId37"/><Relationship Type="http://schemas.openxmlformats.org/officeDocument/2006/relationships/hyperlink" Target="https://www.stocktitan.net/news/TH/target-hospitality-announces-pricing-of-upsized-secondary-offering-hovo0l2urqqi.html" TargetMode="External" Id="rId38"/><Relationship Type="http://schemas.openxmlformats.org/officeDocument/2006/relationships/hyperlink" Target="https://www.tradingview.com/chart/Q1c5VWwD/?symbol=nyse%3Adino" TargetMode="External" Id="rId39"/><Relationship Type="http://schemas.openxmlformats.org/officeDocument/2006/relationships/hyperlink" Target="https://www.benzinga.com/markets/commodities/26/09/61881898/diesel-squeeze-oil-refiners-stocks-four-top-performing-six-weeks-of-gains" TargetMode="External" Id="rId40"/><Relationship Type="http://schemas.openxmlformats.org/officeDocument/2006/relationships/hyperlink" Target="https://www.tradingview.com/chart/Q1c5VWwD/?symbol=nyse%3Apsx" TargetMode="External" Id="rId41"/><Relationship Type="http://schemas.openxmlformats.org/officeDocument/2006/relationships/hyperlink" Target="https://www.benzinga.com/markets/commodities/26/09/61881898/diesel-squeeze-oil-refiners-stocks-four-top-performing-six-weeks-of-gains" TargetMode="External" Id="rId42"/><Relationship Type="http://schemas.openxmlformats.org/officeDocument/2006/relationships/hyperlink" Target="https://wtop.com/national/2026/09/how-major-us-stock-indexes-fared-thursday-9-24-2026" TargetMode="External" Id="rId43"/><Relationship Type="http://schemas.openxmlformats.org/officeDocument/2006/relationships/hyperlink" Target="https://wtop.com/national/2026/09/how-major-us-stock-indexes-fared-friday-9-25-2026" TargetMode="External" Id="rId44"/><Relationship Type="http://schemas.openxmlformats.org/officeDocument/2006/relationships/hyperlink" Target="https://krmg.com/2026/09/28/how-major-us-stock-indexes-fared-monday-9-28-2026/" TargetMode="External" Id="rId45"/><Relationship Type="http://schemas.openxmlformats.org/officeDocument/2006/relationships/hyperlink" Target="https://www.thestreet.com/stock-market-today/stock-market-today-dow-jones-sp-500-nasdaq-updates-sept-28-2026" TargetMode="External" Id="rId46"/><Relationship Type="http://schemas.openxmlformats.org/officeDocument/2006/relationships/hyperlink" Target="https://finance.yahoo.com/energy/articles/oil-rebounds-trump-rejects-iran-221457073.html" TargetMode="External" Id="rId47"/><Relationship Type="http://schemas.openxmlformats.org/officeDocument/2006/relationships/hyperlink" Target="https://seekingalpha.com/news/4645636-valero-marathon-cut-at-jefferies-supporting-less-refining-exposure-after-big-gains" TargetMode="External" Id="rId48"/><Relationship Type="http://schemas.openxmlformats.org/officeDocument/2006/relationships/hyperlink" Target="https://www.bloomberg.com/news/articles/2026-09-22/refining-stocks-rally-stalls-as-talk-of-diesel-export-ban-swirls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R22.00 更新重點</t>
        </is>
      </c>
    </row>
    <row r="3" ht="18" customHeight="1">
      <c r="A3" s="2" t="n">
        <v>1</v>
      </c>
      <c r="B3" s="3" t="inlineStr">
        <is>
          <t>數據更新至 2026-09-28 收市。規則同 R21 一樣（高動能 ＋ 回到上升中嘅 20MA），只有一項修正：S2 期內高位由九個月改為 52 周。</t>
        </is>
      </c>
    </row>
    <row r="4" ht="18" customHeight="1">
      <c r="A4" s="2" t="n">
        <v>2</v>
      </c>
      <c r="B4" s="3" t="inlineStr">
        <is>
          <t>合資格 2,767 隻 → 形態 23 隻 → 上榜 21 隻（1／2／3／6 個月頁 14／15／15／9）；同 R21 兩版都有 10 隻，新上榜 11、跌出 18。</t>
        </is>
      </c>
    </row>
    <row r="5" ht="18" customHeight="1">
      <c r="A5" s="2" t="n">
        <v>3</v>
      </c>
      <c r="B5" s="3" t="inlineStr">
        <is>
          <t>R21 向前測試（3 日）：中位數 -1.57%，大市 -0.68%；前 10 名 +1.42%。</t>
        </is>
      </c>
    </row>
    <row r="6" ht="18" customHeight="1">
      <c r="A6" s="2" t="n">
        <v>4</v>
      </c>
      <c r="B6" s="3" t="inlineStr">
        <is>
          <t>發現並修正：兩個過時嘅 Nasdaq 快照（加咗兩道關）；09-28 Yahoo 日線未出齊（每小時K線合成、成交量還原）；S2 窗口太短；R21 一句冇量度過嘅講法。詳見「審視標記」頁。</t>
        </is>
      </c>
    </row>
    <row r="7" ht="18" customHeight="1">
      <c r="A7" s="2" t="n">
        <v>5</v>
      </c>
      <c r="B7" s="3" t="inlineStr">
        <is>
          <t>獨立重寫嘅篩選程式對 2026-09-28 同 2026-09-25 兩份名單都 0 差異。</t>
        </is>
      </c>
    </row>
    <row r="8" ht="18" customHeight="1">
      <c r="A8" s="2" t="n">
        <v>6</v>
      </c>
      <c r="B8" s="3" t="inlineStr">
        <is>
          <t>所有代號都連去 TradingView 圖表；計得出嘅欄位全部係公式。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8" customWidth="1" min="4" max="4"/>
    <col width="10" customWidth="1" min="5" max="5"/>
    <col width="30" customWidth="1" min="6" max="6"/>
    <col width="10" customWidth="1" min="7" max="7"/>
    <col width="7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8" customWidth="1" min="17" max="17"/>
    <col width="10" customWidth="1" min="18" max="18"/>
    <col width="8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6" customWidth="1" min="37" max="37"/>
    <col width="7" customWidth="1" min="38" max="38"/>
    <col width="8" customWidth="1" min="39" max="39"/>
    <col width="8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8" customWidth="1" min="49" max="49"/>
    <col width="8" customWidth="1" min="50" max="50"/>
    <col width="9" customWidth="1" min="51" max="51"/>
    <col width="8" customWidth="1" min="52" max="52"/>
    <col width="8" customWidth="1" min="53" max="53"/>
    <col width="40" customWidth="1" min="54" max="54"/>
    <col width="8" customWidth="1" min="55" max="55"/>
  </cols>
  <sheetData>
    <row r="1" ht="42" customHeight="1">
      <c r="A1" s="4" t="inlineStr">
        <is>
          <t>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交易所</t>
        </is>
      </c>
      <c r="E1" s="4" t="inlineStr">
        <is>
          <t>板塊</t>
        </is>
      </c>
      <c r="F1" s="4" t="inlineStr">
        <is>
          <t>行業</t>
        </is>
      </c>
      <c r="G1" s="4" t="inlineStr">
        <is>
          <t>市值(十億美元)</t>
        </is>
      </c>
      <c r="H1" s="4" t="inlineStr">
        <is>
          <t>市值組</t>
        </is>
      </c>
      <c r="I1" s="4" t="inlineStr">
        <is>
          <t>收市價</t>
        </is>
      </c>
      <c r="J1" s="4" t="inlineStr">
        <is>
          <t>前收</t>
        </is>
      </c>
      <c r="K1" s="4" t="inlineStr">
        <is>
          <t>當日%</t>
        </is>
      </c>
      <c r="L1" s="4" t="inlineStr">
        <is>
          <t>當日高</t>
        </is>
      </c>
      <c r="M1" s="4" t="inlineStr">
        <is>
          <t>當日低</t>
        </is>
      </c>
      <c r="N1" s="4" t="inlineStr">
        <is>
          <t>MA20</t>
        </is>
      </c>
      <c r="O1" s="4" t="inlineStr">
        <is>
          <t>距MA20%</t>
        </is>
      </c>
      <c r="P1" s="4" t="inlineStr">
        <is>
          <t>MA50</t>
        </is>
      </c>
      <c r="Q1" s="4" t="inlineStr">
        <is>
          <t>距MA50%</t>
        </is>
      </c>
      <c r="R1" s="4" t="inlineStr">
        <is>
          <t>MA20（5日前）</t>
        </is>
      </c>
      <c r="S1" s="4" t="inlineStr">
        <is>
          <t>MA20 5日斜率%</t>
        </is>
      </c>
      <c r="T1" s="4" t="inlineStr">
        <is>
          <t>63日最高收市</t>
        </is>
      </c>
      <c r="U1" s="4" t="inlineStr">
        <is>
          <t>高位日期</t>
        </is>
      </c>
      <c r="V1" s="4" t="inlineStr">
        <is>
          <t>高位至今（交易日）</t>
        </is>
      </c>
      <c r="W1" s="4" t="inlineStr">
        <is>
          <t>距高位%</t>
        </is>
      </c>
      <c r="X1" s="4" t="inlineStr">
        <is>
          <t>25日內最大偏離MA20%</t>
        </is>
      </c>
      <c r="Y1" s="4" t="inlineStr">
        <is>
          <t>偏離最大日期</t>
        </is>
      </c>
      <c r="Z1" s="4" t="inlineStr">
        <is>
          <t>近3日最低價距MA20%</t>
        </is>
      </c>
      <c r="AA1" s="4" t="inlineStr">
        <is>
          <t>升浪起點</t>
        </is>
      </c>
      <c r="AB1" s="4" t="inlineStr">
        <is>
          <t>升浪幅度%</t>
        </is>
      </c>
      <c r="AC1" s="4" t="inlineStr">
        <is>
          <t>1個月回報</t>
        </is>
      </c>
      <c r="AD1" s="4" t="inlineStr">
        <is>
          <t>2個月回報</t>
        </is>
      </c>
      <c r="AE1" s="4" t="inlineStr">
        <is>
          <t>3個月回報</t>
        </is>
      </c>
      <c r="AF1" s="4" t="inlineStr">
        <is>
          <t>6個月回報</t>
        </is>
      </c>
      <c r="AG1" s="4" t="inlineStr">
        <is>
          <t>1個月百分位</t>
        </is>
      </c>
      <c r="AH1" s="4" t="inlineStr">
        <is>
          <t>2個月百分位</t>
        </is>
      </c>
      <c r="AI1" s="4" t="inlineStr">
        <is>
          <t>3個月百分位</t>
        </is>
      </c>
      <c r="AJ1" s="4" t="inlineStr">
        <is>
          <t>6個月百分位</t>
        </is>
      </c>
      <c r="AK1" s="4" t="inlineStr">
        <is>
          <t>動能時間框</t>
        </is>
      </c>
      <c r="AL1" s="4" t="inlineStr">
        <is>
          <t>覆蓋度</t>
        </is>
      </c>
      <c r="AM1" s="4" t="inlineStr">
        <is>
          <t>回調量比</t>
        </is>
      </c>
      <c r="AN1" s="4" t="inlineStr">
        <is>
          <t>ATR5/ATR20</t>
        </is>
      </c>
      <c r="AO1" s="4" t="inlineStr">
        <is>
          <t>ATR14%</t>
        </is>
      </c>
      <c r="AP1" s="4" t="inlineStr">
        <is>
          <t>量縮</t>
        </is>
      </c>
      <c r="AQ1" s="4" t="inlineStr">
        <is>
          <t>貼近MA20</t>
        </is>
      </c>
      <c r="AR1" s="4" t="inlineStr">
        <is>
          <t>MA20斜率分</t>
        </is>
      </c>
      <c r="AS1" s="4" t="inlineStr">
        <is>
          <t>回調深度分</t>
        </is>
      </c>
      <c r="AT1" s="4" t="inlineStr">
        <is>
          <t>企穩</t>
        </is>
      </c>
      <c r="AU1" s="4" t="inlineStr">
        <is>
          <t>波幅收窄</t>
        </is>
      </c>
      <c r="AV1" s="4" t="inlineStr">
        <is>
          <t>動能分數</t>
        </is>
      </c>
      <c r="AW1" s="4" t="inlineStr">
        <is>
          <t>回調質素</t>
        </is>
      </c>
      <c r="AX1" s="4" t="inlineStr">
        <is>
          <t>綜合分數</t>
        </is>
      </c>
      <c r="AY1" s="4" t="inlineStr">
        <is>
          <t>爆發潛力分數</t>
        </is>
      </c>
      <c r="AZ1" s="4" t="inlineStr">
        <is>
          <t>R21 排名</t>
        </is>
      </c>
      <c r="BA1" s="4" t="inlineStr">
        <is>
          <t>門檻測試留低</t>
        </is>
      </c>
      <c r="BB1" s="4" t="inlineStr">
        <is>
          <t>審視標記</t>
        </is>
      </c>
      <c r="BC1" s="4" t="inlineStr">
        <is>
          <t>兩源最大差%</t>
        </is>
      </c>
    </row>
    <row r="2">
      <c r="A2" s="2">
        <f>COUNTIF($AY$2:$AY$22,"&gt;"&amp;AY2)+1</f>
        <v/>
      </c>
      <c r="B2" s="5" t="inlineStr">
        <is>
          <t>IRD</t>
        </is>
      </c>
      <c r="C2" s="2" t="inlineStr">
        <is>
          <t>Opus Genetics Inc.</t>
        </is>
      </c>
      <c r="D2" s="2" t="inlineStr">
        <is>
          <t>NASDAQ</t>
        </is>
      </c>
      <c r="E2" s="2" t="inlineStr">
        <is>
          <t>醫療保健</t>
        </is>
      </c>
      <c r="F2" s="2" t="inlineStr">
        <is>
          <t>Biotechnology: Pharmaceutical Preparations</t>
        </is>
      </c>
      <c r="G2" s="6" t="n">
        <v>0.396</v>
      </c>
      <c r="H2" s="2" t="inlineStr">
        <is>
          <t>小型</t>
        </is>
      </c>
      <c r="I2" s="7" t="n">
        <v>5.07</v>
      </c>
      <c r="J2" s="7" t="n">
        <v>4.76</v>
      </c>
      <c r="K2" s="8">
        <f>I2/J2-1</f>
        <v/>
      </c>
      <c r="L2" s="7" t="n">
        <v>5.14</v>
      </c>
      <c r="M2" s="7" t="n">
        <v>4.625</v>
      </c>
      <c r="N2" s="7" t="n">
        <v>5.046000000000009</v>
      </c>
      <c r="O2" s="8">
        <f>I2/N2-1</f>
        <v/>
      </c>
      <c r="P2" s="7" t="n">
        <v>4.201200000000004</v>
      </c>
      <c r="Q2" s="9">
        <f>I2/P2-1</f>
        <v/>
      </c>
      <c r="R2" s="7" t="n">
        <v>4.785500000000008</v>
      </c>
      <c r="S2" s="8">
        <f>N2/R2-1</f>
        <v/>
      </c>
      <c r="T2" s="7" t="n">
        <v>6.07</v>
      </c>
      <c r="U2" s="2" t="inlineStr">
        <is>
          <t>2026-09-10</t>
        </is>
      </c>
      <c r="V2" s="10" t="n">
        <v>12</v>
      </c>
      <c r="W2" s="9">
        <f>I2/T2-1</f>
        <v/>
      </c>
      <c r="X2" s="11" t="n">
        <v>0.4504181600955748</v>
      </c>
      <c r="Y2" s="2" t="inlineStr">
        <is>
          <t>2026-09-10</t>
        </is>
      </c>
      <c r="Z2" s="12" t="n">
        <v>-0.08343242172017606</v>
      </c>
      <c r="AA2" s="2" t="inlineStr">
        <is>
          <t>2026-07-23</t>
        </is>
      </c>
      <c r="AB2" s="13" t="n">
        <v>1.078767123287671</v>
      </c>
      <c r="AC2" s="11" t="n">
        <v>0.316883116883117</v>
      </c>
      <c r="AD2" s="11" t="n">
        <v>0.4610951008645534</v>
      </c>
      <c r="AE2" s="11" t="n">
        <v>0.2487684729064041</v>
      </c>
      <c r="AF2" s="11" t="n">
        <v>0.1655172413793105</v>
      </c>
      <c r="AG2" s="11" t="n">
        <v>0.9887924801156905</v>
      </c>
      <c r="AH2" s="11" t="n">
        <v>0.96529284164859</v>
      </c>
      <c r="AI2" s="11" t="n">
        <v>0.911062906724512</v>
      </c>
      <c r="AJ2" s="11" t="n">
        <v>0.6132941608520015</v>
      </c>
      <c r="AK2" s="2" t="inlineStr">
        <is>
          <t>1個月、2個月、3個月</t>
        </is>
      </c>
      <c r="AL2" s="14">
        <f>(AG2&gt;=0.9)*(AC2&gt;0)+(AH2&gt;=0.9)*(AD2&gt;0)+(AI2&gt;=0.9)*(AE2&gt;0)+IF(AJ2="",0,(AJ2&gt;=0.9)*(AF2&gt;0))</f>
        <v/>
      </c>
      <c r="AM2" s="6" t="n">
        <v>0.5628610022657775</v>
      </c>
      <c r="AN2" s="6" t="n">
        <v>0.687127805771873</v>
      </c>
      <c r="AO2" s="11" t="n">
        <v>0.1189771766694843</v>
      </c>
      <c r="AP2" s="15">
        <f>MAX(0,MIN(1,(AM2-1.2)/(0.6-1.2)))</f>
        <v/>
      </c>
      <c r="AQ2" s="15">
        <f>MAX(0,MIN(1,(ABS(O2)-0.03)/(0-0.03)))</f>
        <v/>
      </c>
      <c r="AR2" s="15">
        <f>MAX(0,MIN(1,S2/0.03))</f>
        <v/>
      </c>
      <c r="AS2" s="15">
        <f>MAX(0,MIN(1,(-W2-0.3)/(0.15-0.3)))</f>
        <v/>
      </c>
      <c r="AT2" s="15">
        <f>0.5*IF(L2&gt;M2,(I2-M2)/(L2-M2),0.5)+0.5*(I2&gt;=N2)</f>
        <v/>
      </c>
      <c r="AU2" s="15">
        <f>MAX(0,MIN(1,(AN2-1.3)/(0.7-1.3)))</f>
        <v/>
      </c>
      <c r="AV2" s="16">
        <f>100*(0.2*AG2+0.2*AH2+0.3*AI2+IF(AJ2="",0,0.3*AJ2))/(0.7+IF(AJ2="",0,0.3))</f>
        <v/>
      </c>
      <c r="AW2" s="16">
        <f>100*(0.25*AP2+0.2*AQ2+0.15*AR2+0.15*AS2+0.15*AT2+0.1*AU2)</f>
        <v/>
      </c>
      <c r="AX2" s="17">
        <f>0.5*AV2+0.5*AW2</f>
        <v/>
      </c>
      <c r="AY2" s="17">
        <f>0.4*AV2+0.4*AW2+0.2*(AL2/4*100)</f>
        <v/>
      </c>
      <c r="AZ2" s="14" t="n">
        <v>9</v>
      </c>
      <c r="BA2" s="2" t="inlineStr">
        <is>
          <t>18/18</t>
        </is>
      </c>
      <c r="BB2" s="18" t="inlineStr">
        <is>
          <t>二元事件就喺今個星期：10 月 1–4 日 EURETINA 大會公佈 OPGx-BEST1 詳細數據；R21 已標記佢嘅升浪同回調都係臨床消息帶動</t>
        </is>
      </c>
      <c r="BC2" s="19" t="n">
        <v>0</v>
      </c>
    </row>
    <row r="3">
      <c r="A3" s="2">
        <f>COUNTIF($AY$2:$AY$22,"&gt;"&amp;AY3)+1</f>
        <v/>
      </c>
      <c r="B3" s="5" t="inlineStr">
        <is>
          <t>TTRX</t>
        </is>
      </c>
      <c r="C3" s="2" t="inlineStr">
        <is>
          <t>Turn Therapeutics Inc.</t>
        </is>
      </c>
      <c r="D3" s="2" t="inlineStr">
        <is>
          <t>NASDAQ</t>
        </is>
      </c>
      <c r="E3" s="2" t="inlineStr">
        <is>
          <t>醫療保健</t>
        </is>
      </c>
      <c r="F3" s="2" t="inlineStr">
        <is>
          <t>Biotechnology: Pharmaceutical Preparations</t>
        </is>
      </c>
      <c r="G3" s="6" t="n">
        <v>0.372</v>
      </c>
      <c r="H3" s="2" t="inlineStr">
        <is>
          <t>小型</t>
        </is>
      </c>
      <c r="I3" s="7" t="n">
        <v>13.04</v>
      </c>
      <c r="J3" s="7" t="n">
        <v>12.49</v>
      </c>
      <c r="K3" s="8">
        <f>I3/J3-1</f>
        <v/>
      </c>
      <c r="L3" s="7" t="n">
        <v>13.125</v>
      </c>
      <c r="M3" s="7" t="n">
        <v>12.285</v>
      </c>
      <c r="N3" s="7" t="n">
        <v>12.688</v>
      </c>
      <c r="O3" s="8">
        <f>I3/N3-1</f>
        <v/>
      </c>
      <c r="P3" s="7" t="n">
        <v>10.72919999999999</v>
      </c>
      <c r="Q3" s="9">
        <f>I3/P3-1</f>
        <v/>
      </c>
      <c r="R3" s="7" t="n">
        <v>11.758</v>
      </c>
      <c r="S3" s="8">
        <f>N3/R3-1</f>
        <v/>
      </c>
      <c r="T3" s="7" t="n">
        <v>15.34</v>
      </c>
      <c r="U3" s="2" t="inlineStr">
        <is>
          <t>2026-09-21</t>
        </is>
      </c>
      <c r="V3" s="10" t="n">
        <v>5</v>
      </c>
      <c r="W3" s="9">
        <f>I3/T3-1</f>
        <v/>
      </c>
      <c r="X3" s="11" t="n">
        <v>0.3543462201428238</v>
      </c>
      <c r="Y3" s="2" t="inlineStr">
        <is>
          <t>2026-09-09</t>
        </is>
      </c>
      <c r="Z3" s="12" t="n">
        <v>-0.03176229508196715</v>
      </c>
      <c r="AA3" s="2" t="inlineStr">
        <is>
          <t>2026-06-22</t>
        </is>
      </c>
      <c r="AB3" s="13" t="n">
        <v>1.658578856152513</v>
      </c>
      <c r="AC3" s="11" t="n">
        <v>0.2898120672601385</v>
      </c>
      <c r="AD3" s="11" t="n">
        <v>0.7550471063257065</v>
      </c>
      <c r="AE3" s="11" t="n">
        <v>0.8871201157742401</v>
      </c>
      <c r="AF3" s="11" t="n">
        <v>2.76878612716763</v>
      </c>
      <c r="AG3" s="11" t="n">
        <v>0.9869848156182213</v>
      </c>
      <c r="AH3" s="11" t="n">
        <v>0.9880694143167028</v>
      </c>
      <c r="AI3" s="11" t="n">
        <v>0.9906001446131598</v>
      </c>
      <c r="AJ3" s="11" t="n">
        <v>0.9948586118251928</v>
      </c>
      <c r="AK3" s="2" t="inlineStr">
        <is>
          <t>1個月、2個月、3個月、6個月</t>
        </is>
      </c>
      <c r="AL3" s="14">
        <f>(AG3&gt;=0.9)*(AC3&gt;0)+(AH3&gt;=0.9)*(AD3&gt;0)+(AI3&gt;=0.9)*(AE3&gt;0)+IF(AJ3="",0,(AJ3&gt;=0.9)*(AF3&gt;0))</f>
        <v/>
      </c>
      <c r="AM3" s="6" t="n">
        <v>0.8087786259541985</v>
      </c>
      <c r="AN3" s="6" t="n">
        <v>1.015977645625851</v>
      </c>
      <c r="AO3" s="11" t="n">
        <v>0.1117440841367222</v>
      </c>
      <c r="AP3" s="15">
        <f>MAX(0,MIN(1,(AM3-1.2)/(0.6-1.2)))</f>
        <v/>
      </c>
      <c r="AQ3" s="15">
        <f>MAX(0,MIN(1,(ABS(O3)-0.03)/(0-0.03)))</f>
        <v/>
      </c>
      <c r="AR3" s="15">
        <f>MAX(0,MIN(1,S3/0.03))</f>
        <v/>
      </c>
      <c r="AS3" s="15">
        <f>MAX(0,MIN(1,(-W3-0.3)/(0.15-0.3)))</f>
        <v/>
      </c>
      <c r="AT3" s="15">
        <f>0.5*IF(L3&gt;M3,(I3-M3)/(L3-M3),0.5)+0.5*(I3&gt;=N3)</f>
        <v/>
      </c>
      <c r="AU3" s="15">
        <f>MAX(0,MIN(1,(AN3-1.3)/(0.7-1.3)))</f>
        <v/>
      </c>
      <c r="AV3" s="16">
        <f>100*(0.2*AG3+0.2*AH3+0.3*AI3+IF(AJ3="",0,0.3*AJ3))/(0.7+IF(AJ3="",0,0.3))</f>
        <v/>
      </c>
      <c r="AW3" s="16">
        <f>100*(0.25*AP3+0.2*AQ3+0.15*AR3+0.15*AS3+0.15*AT3+0.1*AU3)</f>
        <v/>
      </c>
      <c r="AX3" s="17">
        <f>0.5*AV3+0.5*AW3</f>
        <v/>
      </c>
      <c r="AY3" s="17">
        <f>0.4*AV3+0.4*AW3+0.2*(AL3/4*100)</f>
        <v/>
      </c>
      <c r="AZ3" s="14" t="n"/>
      <c r="BA3" s="2" t="inlineStr">
        <is>
          <t>17/18</t>
        </is>
      </c>
      <c r="BB3" s="18" t="inlineStr">
        <is>
          <t>回調唔係有序回落：期內有一日跌 -11.6%；臨床期生物科技，升浪由試驗消息帶動（3 月 $3.22 → 9 月約 $14.8），唔係業績動能；20 日成交額中位數只有 $1.7M（股票池下限 $1M），入市出市都會有滑價</t>
        </is>
      </c>
      <c r="BC3" s="19" t="n">
        <v>0</v>
      </c>
    </row>
    <row r="4">
      <c r="A4" s="2">
        <f>COUNTIF($AY$2:$AY$22,"&gt;"&amp;AY4)+1</f>
        <v/>
      </c>
      <c r="B4" s="20" t="inlineStr">
        <is>
          <t>DELL</t>
        </is>
      </c>
      <c r="C4" s="2" t="inlineStr">
        <is>
          <t>Dell Technologies Inc. Class C</t>
        </is>
      </c>
      <c r="D4" s="2" t="inlineStr">
        <is>
          <t>NYSE</t>
        </is>
      </c>
      <c r="E4" s="2" t="inlineStr">
        <is>
          <t>科技</t>
        </is>
      </c>
      <c r="F4" s="2" t="inlineStr">
        <is>
          <t>Computer Manufacturing</t>
        </is>
      </c>
      <c r="G4" s="6" t="n">
        <v>357.893</v>
      </c>
      <c r="H4" s="2" t="inlineStr">
        <is>
          <t>大型</t>
        </is>
      </c>
      <c r="I4" s="7" t="n">
        <v>543.42</v>
      </c>
      <c r="J4" s="7" t="n">
        <v>562.89</v>
      </c>
      <c r="K4" s="8">
        <f>I4/J4-1</f>
        <v/>
      </c>
      <c r="L4" s="7" t="n">
        <v>557</v>
      </c>
      <c r="M4" s="7" t="n">
        <v>535.5</v>
      </c>
      <c r="N4" s="7" t="n">
        <v>533.5354999999996</v>
      </c>
      <c r="O4" s="8">
        <f>I4/N4-1</f>
        <v/>
      </c>
      <c r="P4" s="7" t="n">
        <v>478.6633999999997</v>
      </c>
      <c r="Q4" s="9">
        <f>I4/P4-1</f>
        <v/>
      </c>
      <c r="R4" s="7" t="n">
        <v>510.332</v>
      </c>
      <c r="S4" s="8">
        <f>N4/R4-1</f>
        <v/>
      </c>
      <c r="T4" s="7" t="n">
        <v>588.4</v>
      </c>
      <c r="U4" s="2" t="inlineStr">
        <is>
          <t>2026-09-17</t>
        </is>
      </c>
      <c r="V4" s="10" t="n">
        <v>7</v>
      </c>
      <c r="W4" s="9">
        <f>I4/T4-1</f>
        <v/>
      </c>
      <c r="X4" s="11" t="n">
        <v>0.1838879370792932</v>
      </c>
      <c r="Y4" s="2" t="inlineStr">
        <is>
          <t>2026-09-17</t>
        </is>
      </c>
      <c r="Z4" s="12" t="n">
        <v>0.003682041776039924</v>
      </c>
      <c r="AA4" s="2" t="inlineStr">
        <is>
          <t>2026-07-29</t>
        </is>
      </c>
      <c r="AB4" s="13" t="n">
        <v>0.5918190672005195</v>
      </c>
      <c r="AC4" s="11" t="n">
        <v>0.150679710329056</v>
      </c>
      <c r="AD4" s="11" t="n">
        <v>0.4701331024780868</v>
      </c>
      <c r="AE4" s="11" t="n">
        <v>0.3106775041605363</v>
      </c>
      <c r="AF4" s="11" t="n">
        <v>2.162912519643792</v>
      </c>
      <c r="AG4" s="11" t="n">
        <v>0.9634851771511207</v>
      </c>
      <c r="AH4" s="11" t="n">
        <v>0.9674620390455532</v>
      </c>
      <c r="AI4" s="11" t="n">
        <v>0.9295010845986985</v>
      </c>
      <c r="AJ4" s="11" t="n">
        <v>0.9908189496878443</v>
      </c>
      <c r="AK4" s="2" t="inlineStr">
        <is>
          <t>1個月、2個月、3個月、6個月</t>
        </is>
      </c>
      <c r="AL4" s="14">
        <f>(AG4&gt;=0.9)*(AC4&gt;0)+(AH4&gt;=0.9)*(AD4&gt;0)+(AI4&gt;=0.9)*(AE4&gt;0)+IF(AJ4="",0,(AJ4&gt;=0.9)*(AF4&gt;0))</f>
        <v/>
      </c>
      <c r="AM4" s="6" t="n">
        <v>0.8969506502006244</v>
      </c>
      <c r="AN4" s="6" t="n">
        <v>0.819625324126678</v>
      </c>
      <c r="AO4" s="11" t="n">
        <v>0.0596302780800959</v>
      </c>
      <c r="AP4" s="15">
        <f>MAX(0,MIN(1,(AM4-1.2)/(0.6-1.2)))</f>
        <v/>
      </c>
      <c r="AQ4" s="15">
        <f>MAX(0,MIN(1,(ABS(O4)-0.03)/(0-0.03)))</f>
        <v/>
      </c>
      <c r="AR4" s="15">
        <f>MAX(0,MIN(1,S4/0.03))</f>
        <v/>
      </c>
      <c r="AS4" s="15">
        <f>MAX(0,MIN(1,(-W4-0.3)/(0.15-0.3)))</f>
        <v/>
      </c>
      <c r="AT4" s="15">
        <f>0.5*IF(L4&gt;M4,(I4-M4)/(L4-M4),0.5)+0.5*(I4&gt;=N4)</f>
        <v/>
      </c>
      <c r="AU4" s="15">
        <f>MAX(0,MIN(1,(AN4-1.3)/(0.7-1.3)))</f>
        <v/>
      </c>
      <c r="AV4" s="16">
        <f>100*(0.2*AG4+0.2*AH4+0.3*AI4+IF(AJ4="",0,0.3*AJ4))/(0.7+IF(AJ4="",0,0.3))</f>
        <v/>
      </c>
      <c r="AW4" s="16">
        <f>100*(0.25*AP4+0.2*AQ4+0.15*AR4+0.15*AS4+0.15*AT4+0.1*AU4)</f>
        <v/>
      </c>
      <c r="AX4" s="17">
        <f>0.5*AV4+0.5*AW4</f>
        <v/>
      </c>
      <c r="AY4" s="17">
        <f>0.4*AV4+0.4*AW4+0.2*(AL4/4*100)</f>
        <v/>
      </c>
      <c r="AZ4" s="14" t="n"/>
      <c r="BA4" s="2" t="inlineStr">
        <is>
          <t>17/18</t>
        </is>
      </c>
      <c r="BB4" s="3" t="inlineStr"/>
      <c r="BC4" s="19" t="n">
        <v>0</v>
      </c>
    </row>
    <row r="5">
      <c r="A5" s="2">
        <f>COUNTIF($AY$2:$AY$22,"&gt;"&amp;AY5)+1</f>
        <v/>
      </c>
      <c r="B5" s="5" t="inlineStr">
        <is>
          <t>PLSE</t>
        </is>
      </c>
      <c r="C5" s="2" t="inlineStr">
        <is>
          <t>Pulse Biosciences Inc</t>
        </is>
      </c>
      <c r="D5" s="2" t="inlineStr">
        <is>
          <t>NASDAQ</t>
        </is>
      </c>
      <c r="E5" s="2" t="inlineStr">
        <is>
          <t>醫療保健</t>
        </is>
      </c>
      <c r="F5" s="2" t="inlineStr">
        <is>
          <t>Medical/Dental Instruments</t>
        </is>
      </c>
      <c r="G5" s="6" t="n">
        <v>3.682</v>
      </c>
      <c r="H5" s="2" t="inlineStr">
        <is>
          <t>中型</t>
        </is>
      </c>
      <c r="I5" s="7" t="n">
        <v>52.32</v>
      </c>
      <c r="J5" s="7" t="n">
        <v>51.63</v>
      </c>
      <c r="K5" s="8">
        <f>I5/J5-1</f>
        <v/>
      </c>
      <c r="L5" s="7" t="n">
        <v>53.6</v>
      </c>
      <c r="M5" s="7" t="n">
        <v>51.14</v>
      </c>
      <c r="N5" s="7" t="n">
        <v>52.48049999999994</v>
      </c>
      <c r="O5" s="8">
        <f>I5/N5-1</f>
        <v/>
      </c>
      <c r="P5" s="7" t="n">
        <v>45.38159999999998</v>
      </c>
      <c r="Q5" s="9">
        <f>I5/P5-1</f>
        <v/>
      </c>
      <c r="R5" s="7" t="n">
        <v>51.57600000000002</v>
      </c>
      <c r="S5" s="8">
        <f>N5/R5-1</f>
        <v/>
      </c>
      <c r="T5" s="7" t="n">
        <v>55.2</v>
      </c>
      <c r="U5" s="2" t="inlineStr">
        <is>
          <t>2026-09-15</t>
        </is>
      </c>
      <c r="V5" s="10" t="n">
        <v>9</v>
      </c>
      <c r="W5" s="9">
        <f>I5/T5-1</f>
        <v/>
      </c>
      <c r="X5" s="11" t="n">
        <v>0.1694277825383228</v>
      </c>
      <c r="Y5" s="2" t="inlineStr">
        <is>
          <t>2026-08-24</t>
        </is>
      </c>
      <c r="Z5" s="12" t="n">
        <v>-0.02760178397105717</v>
      </c>
      <c r="AA5" s="2" t="inlineStr">
        <is>
          <t>2026-06-16</t>
        </is>
      </c>
      <c r="AB5" s="13" t="n">
        <v>1.198327359617682</v>
      </c>
      <c r="AC5" s="11" t="n">
        <v>0.07742998352553543</v>
      </c>
      <c r="AD5" s="11" t="n">
        <v>0.5275912408759125</v>
      </c>
      <c r="AE5" s="11" t="n">
        <v>0.7893296853625171</v>
      </c>
      <c r="AF5" s="11" t="n">
        <v>1.543509965969859</v>
      </c>
      <c r="AG5" s="11" t="n">
        <v>0.925524222704266</v>
      </c>
      <c r="AH5" s="11" t="n">
        <v>0.9732465654374548</v>
      </c>
      <c r="AI5" s="11" t="n">
        <v>0.9866232827187275</v>
      </c>
      <c r="AJ5" s="11" t="n">
        <v>0.9775982372383401</v>
      </c>
      <c r="AK5" s="2" t="inlineStr">
        <is>
          <t>1個月、2個月、3個月、6個月</t>
        </is>
      </c>
      <c r="AL5" s="14">
        <f>(AG5&gt;=0.9)*(AC5&gt;0)+(AH5&gt;=0.9)*(AD5&gt;0)+(AI5&gt;=0.9)*(AE5&gt;0)+IF(AJ5="",0,(AJ5&gt;=0.9)*(AF5&gt;0))</f>
        <v/>
      </c>
      <c r="AM5" s="6" t="n">
        <v>1.014470241232328</v>
      </c>
      <c r="AN5" s="6" t="n">
        <v>0.6647965666882445</v>
      </c>
      <c r="AO5" s="11" t="n">
        <v>0.08573339886413281</v>
      </c>
      <c r="AP5" s="15">
        <f>MAX(0,MIN(1,(AM5-1.2)/(0.6-1.2)))</f>
        <v/>
      </c>
      <c r="AQ5" s="15">
        <f>MAX(0,MIN(1,(ABS(O5)-0.03)/(0-0.03)))</f>
        <v/>
      </c>
      <c r="AR5" s="15">
        <f>MAX(0,MIN(1,S5/0.03))</f>
        <v/>
      </c>
      <c r="AS5" s="15">
        <f>MAX(0,MIN(1,(-W5-0.3)/(0.15-0.3)))</f>
        <v/>
      </c>
      <c r="AT5" s="15">
        <f>0.5*IF(L5&gt;M5,(I5-M5)/(L5-M5),0.5)+0.5*(I5&gt;=N5)</f>
        <v/>
      </c>
      <c r="AU5" s="15">
        <f>MAX(0,MIN(1,(AN5-1.3)/(0.7-1.3)))</f>
        <v/>
      </c>
      <c r="AV5" s="16">
        <f>100*(0.2*AG5+0.2*AH5+0.3*AI5+IF(AJ5="",0,0.3*AJ5))/(0.7+IF(AJ5="",0,0.3))</f>
        <v/>
      </c>
      <c r="AW5" s="16">
        <f>100*(0.25*AP5+0.2*AQ5+0.15*AR5+0.15*AS5+0.15*AT5+0.1*AU5)</f>
        <v/>
      </c>
      <c r="AX5" s="17">
        <f>0.5*AV5+0.5*AW5</f>
        <v/>
      </c>
      <c r="AY5" s="17">
        <f>0.4*AV5+0.4*AW5+0.2*(AL5/4*100)</f>
        <v/>
      </c>
      <c r="AZ5" s="14" t="n">
        <v>8</v>
      </c>
      <c r="BA5" s="2" t="inlineStr">
        <is>
          <t>18/18</t>
        </is>
      </c>
      <c r="BB5" s="18" t="inlineStr">
        <is>
          <t>回調唔係有序回落：期內有一日跌 -10.1%</t>
        </is>
      </c>
      <c r="BC5" s="19" t="n">
        <v>0</v>
      </c>
    </row>
    <row r="6">
      <c r="A6" s="2">
        <f>COUNTIF($AY$2:$AY$22,"&gt;"&amp;AY6)+1</f>
        <v/>
      </c>
      <c r="B6" s="5" t="inlineStr">
        <is>
          <t>TITN</t>
        </is>
      </c>
      <c r="C6" s="2" t="inlineStr">
        <is>
          <t>Titan Machinery Inc.</t>
        </is>
      </c>
      <c r="D6" s="2" t="inlineStr">
        <is>
          <t>NASDAQ</t>
        </is>
      </c>
      <c r="E6" s="2" t="inlineStr">
        <is>
          <t>非必需消費</t>
        </is>
      </c>
      <c r="F6" s="2" t="inlineStr">
        <is>
          <t>Other Specialty Stores</t>
        </is>
      </c>
      <c r="G6" s="6" t="n">
        <v>0.553</v>
      </c>
      <c r="H6" s="2" t="inlineStr">
        <is>
          <t>小型</t>
        </is>
      </c>
      <c r="I6" s="7" t="n">
        <v>23.47</v>
      </c>
      <c r="J6" s="7" t="n">
        <v>23.49</v>
      </c>
      <c r="K6" s="8">
        <f>I6/J6-1</f>
        <v/>
      </c>
      <c r="L6" s="7" t="n">
        <v>23.78</v>
      </c>
      <c r="M6" s="7" t="n">
        <v>23.02</v>
      </c>
      <c r="N6" s="7" t="n">
        <v>23.59100000000008</v>
      </c>
      <c r="O6" s="8">
        <f>I6/N6-1</f>
        <v/>
      </c>
      <c r="P6" s="7" t="n">
        <v>20.67520000000004</v>
      </c>
      <c r="Q6" s="9">
        <f>I6/P6-1</f>
        <v/>
      </c>
      <c r="R6" s="7" t="n">
        <v>22.31350000000011</v>
      </c>
      <c r="S6" s="8">
        <f>N6/R6-1</f>
        <v/>
      </c>
      <c r="T6" s="7" t="n">
        <v>26.22</v>
      </c>
      <c r="U6" s="2" t="inlineStr">
        <is>
          <t>2026-09-04</t>
        </is>
      </c>
      <c r="V6" s="10" t="n">
        <v>15</v>
      </c>
      <c r="W6" s="9">
        <f>I6/T6-1</f>
        <v/>
      </c>
      <c r="X6" s="11" t="n">
        <v>0.3421719433851145</v>
      </c>
      <c r="Y6" s="2" t="inlineStr">
        <is>
          <t>2026-09-04</t>
        </is>
      </c>
      <c r="Z6" s="12" t="n">
        <v>-0.02420414564876749</v>
      </c>
      <c r="AA6" s="2" t="inlineStr">
        <is>
          <t>2026-07-31</t>
        </is>
      </c>
      <c r="AB6" s="13" t="n">
        <v>0.5432607416127135</v>
      </c>
      <c r="AC6" s="11" t="n">
        <v>0.274158523344191</v>
      </c>
      <c r="AD6" s="11" t="n">
        <v>0.3017193566278424</v>
      </c>
      <c r="AE6" s="11" t="n">
        <v>0.1208213944603629</v>
      </c>
      <c r="AF6" s="11" t="n">
        <v>0.4577639751552793</v>
      </c>
      <c r="AG6" s="11" t="n">
        <v>0.9848156182212582</v>
      </c>
      <c r="AH6" s="11" t="n">
        <v>0.9262472885032538</v>
      </c>
      <c r="AI6" s="11" t="n">
        <v>0.8214027476500362</v>
      </c>
      <c r="AJ6" s="11" t="n">
        <v>0.8446566287183254</v>
      </c>
      <c r="AK6" s="2" t="inlineStr">
        <is>
          <t>1個月、2個月</t>
        </is>
      </c>
      <c r="AL6" s="14">
        <f>(AG6&gt;=0.9)*(AC6&gt;0)+(AH6&gt;=0.9)*(AD6&gt;0)+(AI6&gt;=0.9)*(AE6&gt;0)+IF(AJ6="",0,(AJ6&gt;=0.9)*(AF6&gt;0))</f>
        <v/>
      </c>
      <c r="AM6" s="6" t="n">
        <v>0.6612685127284194</v>
      </c>
      <c r="AN6" s="6" t="n">
        <v>0.6192644483362524</v>
      </c>
      <c r="AO6" s="11" t="n">
        <v>0.04151196055755066</v>
      </c>
      <c r="AP6" s="15">
        <f>MAX(0,MIN(1,(AM6-1.2)/(0.6-1.2)))</f>
        <v/>
      </c>
      <c r="AQ6" s="15">
        <f>MAX(0,MIN(1,(ABS(O6)-0.03)/(0-0.03)))</f>
        <v/>
      </c>
      <c r="AR6" s="15">
        <f>MAX(0,MIN(1,S6/0.03))</f>
        <v/>
      </c>
      <c r="AS6" s="15">
        <f>MAX(0,MIN(1,(-W6-0.3)/(0.15-0.3)))</f>
        <v/>
      </c>
      <c r="AT6" s="15">
        <f>0.5*IF(L6&gt;M6,(I6-M6)/(L6-M6),0.5)+0.5*(I6&gt;=N6)</f>
        <v/>
      </c>
      <c r="AU6" s="15">
        <f>MAX(0,MIN(1,(AN6-1.3)/(0.7-1.3)))</f>
        <v/>
      </c>
      <c r="AV6" s="16">
        <f>100*(0.2*AG6+0.2*AH6+0.3*AI6+IF(AJ6="",0,0.3*AJ6))/(0.7+IF(AJ6="",0,0.3))</f>
        <v/>
      </c>
      <c r="AW6" s="16">
        <f>100*(0.25*AP6+0.2*AQ6+0.15*AR6+0.15*AS6+0.15*AT6+0.1*AU6)</f>
        <v/>
      </c>
      <c r="AX6" s="17">
        <f>0.5*AV6+0.5*AW6</f>
        <v/>
      </c>
      <c r="AY6" s="17">
        <f>0.4*AV6+0.4*AW6+0.2*(AL6/4*100)</f>
        <v/>
      </c>
      <c r="AZ6" s="14" t="n"/>
      <c r="BA6" s="2" t="inlineStr">
        <is>
          <t>18/18</t>
        </is>
      </c>
      <c r="BB6" s="18" t="inlineStr">
        <is>
          <t>升浪來自券商升級（08-31 Baird），同期收入 −9.2%、虧損擴大 —— 動能冇基本面支持</t>
        </is>
      </c>
      <c r="BC6" s="19" t="n">
        <v>0.00028</v>
      </c>
    </row>
    <row r="7">
      <c r="A7" s="2">
        <f>COUNTIF($AY$2:$AY$22,"&gt;"&amp;AY7)+1</f>
        <v/>
      </c>
      <c r="B7" s="21" t="inlineStr">
        <is>
          <t>ESTC</t>
        </is>
      </c>
      <c r="C7" s="2" t="inlineStr">
        <is>
          <t>Elastic N.V.</t>
        </is>
      </c>
      <c r="D7" s="2" t="inlineStr">
        <is>
          <t>NYSE</t>
        </is>
      </c>
      <c r="E7" s="2" t="inlineStr">
        <is>
          <t>科技</t>
        </is>
      </c>
      <c r="F7" s="2" t="inlineStr">
        <is>
          <t>Computer Software: Prepackaged Software</t>
        </is>
      </c>
      <c r="G7" s="6" t="n">
        <v>9.252000000000001</v>
      </c>
      <c r="H7" s="2" t="inlineStr">
        <is>
          <t>中型</t>
        </is>
      </c>
      <c r="I7" s="7" t="n">
        <v>87.95</v>
      </c>
      <c r="J7" s="7" t="n">
        <v>88.12</v>
      </c>
      <c r="K7" s="8">
        <f>I7/J7-1</f>
        <v/>
      </c>
      <c r="L7" s="7" t="n">
        <v>88.69499999999999</v>
      </c>
      <c r="M7" s="7" t="n">
        <v>84.62</v>
      </c>
      <c r="N7" s="7" t="n">
        <v>88.90599999999958</v>
      </c>
      <c r="O7" s="8">
        <f>I7/N7-1</f>
        <v/>
      </c>
      <c r="P7" s="7" t="n">
        <v>80.09679999999989</v>
      </c>
      <c r="Q7" s="9">
        <f>I7/P7-1</f>
        <v/>
      </c>
      <c r="R7" s="7" t="n">
        <v>87.84049999999961</v>
      </c>
      <c r="S7" s="8">
        <f>N7/R7-1</f>
        <v/>
      </c>
      <c r="T7" s="7" t="n">
        <v>99.91</v>
      </c>
      <c r="U7" s="2" t="inlineStr">
        <is>
          <t>2026-08-28</t>
        </is>
      </c>
      <c r="V7" s="10" t="n">
        <v>20</v>
      </c>
      <c r="W7" s="9">
        <f>I7/T7-1</f>
        <v/>
      </c>
      <c r="X7" s="11" t="n">
        <v>0.240124372397271</v>
      </c>
      <c r="Y7" s="2" t="inlineStr">
        <is>
          <t>2026-08-28</t>
        </is>
      </c>
      <c r="Z7" s="12" t="n">
        <v>-0.04820821991766133</v>
      </c>
      <c r="AA7" s="2" t="inlineStr">
        <is>
          <t>2026-06-25</t>
        </is>
      </c>
      <c r="AB7" s="13" t="n">
        <v>0.8639925373134327</v>
      </c>
      <c r="AC7" s="11" t="n">
        <v>0.0502746596608552</v>
      </c>
      <c r="AD7" s="11" t="n">
        <v>0.3648355058969586</v>
      </c>
      <c r="AE7" s="11" t="n">
        <v>0.5443371378402106</v>
      </c>
      <c r="AF7" s="11" t="n">
        <v>0.8126545754328112</v>
      </c>
      <c r="AG7" s="11" t="n">
        <v>0.8926247288503254</v>
      </c>
      <c r="AH7" s="11" t="n">
        <v>0.9450469992769343</v>
      </c>
      <c r="AI7" s="11" t="n">
        <v>0.9732465654374548</v>
      </c>
      <c r="AJ7" s="11" t="n">
        <v>0.9239809034153507</v>
      </c>
      <c r="AK7" s="2" t="inlineStr">
        <is>
          <t>2個月、3個月、6個月</t>
        </is>
      </c>
      <c r="AL7" s="14">
        <f>(AG7&gt;=0.9)*(AC7&gt;0)+(AH7&gt;=0.9)*(AD7&gt;0)+(AI7&gt;=0.9)*(AE7&gt;0)+IF(AJ7="",0,(AJ7&gt;=0.9)*(AF7&gt;0))</f>
        <v/>
      </c>
      <c r="AM7" s="6" t="n">
        <v>0.8121162862010929</v>
      </c>
      <c r="AN7" s="6" t="n">
        <v>0.8650817778318223</v>
      </c>
      <c r="AO7" s="11" t="n">
        <v>0.0408389507025095</v>
      </c>
      <c r="AP7" s="15">
        <f>MAX(0,MIN(1,(AM7-1.2)/(0.6-1.2)))</f>
        <v/>
      </c>
      <c r="AQ7" s="15">
        <f>MAX(0,MIN(1,(ABS(O7)-0.03)/(0-0.03)))</f>
        <v/>
      </c>
      <c r="AR7" s="15">
        <f>MAX(0,MIN(1,S7/0.03))</f>
        <v/>
      </c>
      <c r="AS7" s="15">
        <f>MAX(0,MIN(1,(-W7-0.3)/(0.15-0.3)))</f>
        <v/>
      </c>
      <c r="AT7" s="15">
        <f>0.5*IF(L7&gt;M7,(I7-M7)/(L7-M7),0.5)+0.5*(I7&gt;=N7)</f>
        <v/>
      </c>
      <c r="AU7" s="15">
        <f>MAX(0,MIN(1,(AN7-1.3)/(0.7-1.3)))</f>
        <v/>
      </c>
      <c r="AV7" s="16">
        <f>100*(0.2*AG7+0.2*AH7+0.3*AI7+IF(AJ7="",0,0.3*AJ7))/(0.7+IF(AJ7="",0,0.3))</f>
        <v/>
      </c>
      <c r="AW7" s="16">
        <f>100*(0.25*AP7+0.2*AQ7+0.15*AR7+0.15*AS7+0.15*AT7+0.1*AU7)</f>
        <v/>
      </c>
      <c r="AX7" s="17">
        <f>0.5*AV7+0.5*AW7</f>
        <v/>
      </c>
      <c r="AY7" s="17">
        <f>0.4*AV7+0.4*AW7+0.2*(AL7/4*100)</f>
        <v/>
      </c>
      <c r="AZ7" s="14" t="n">
        <v>4</v>
      </c>
      <c r="BA7" s="2" t="inlineStr">
        <is>
          <t>18/18</t>
        </is>
      </c>
      <c r="BB7" s="3" t="inlineStr"/>
      <c r="BC7" s="19" t="n">
        <v>0</v>
      </c>
    </row>
    <row r="8">
      <c r="A8" s="2">
        <f>COUNTIF($AY$2:$AY$22,"&gt;"&amp;AY8)+1</f>
        <v/>
      </c>
      <c r="B8" s="20" t="inlineStr">
        <is>
          <t>FIVN</t>
        </is>
      </c>
      <c r="C8" s="2" t="inlineStr">
        <is>
          <t>Five9 Inc.</t>
        </is>
      </c>
      <c r="D8" s="2" t="inlineStr">
        <is>
          <t>NASDAQ</t>
        </is>
      </c>
      <c r="E8" s="2" t="inlineStr">
        <is>
          <t>科技</t>
        </is>
      </c>
      <c r="F8" s="2" t="inlineStr">
        <is>
          <t>EDP Services</t>
        </is>
      </c>
      <c r="G8" s="6" t="n">
        <v>2.673</v>
      </c>
      <c r="H8" s="2" t="inlineStr">
        <is>
          <t>中型</t>
        </is>
      </c>
      <c r="I8" s="7" t="n">
        <v>34.66</v>
      </c>
      <c r="J8" s="7" t="n">
        <v>35.77</v>
      </c>
      <c r="K8" s="8">
        <f>I8/J8-1</f>
        <v/>
      </c>
      <c r="L8" s="7" t="n">
        <v>35.365</v>
      </c>
      <c r="M8" s="7" t="n">
        <v>33.83</v>
      </c>
      <c r="N8" s="7" t="n">
        <v>33.91550000000007</v>
      </c>
      <c r="O8" s="8">
        <f>I8/N8-1</f>
        <v/>
      </c>
      <c r="P8" s="7" t="n">
        <v>31.51270000000001</v>
      </c>
      <c r="Q8" s="9">
        <f>I8/P8-1</f>
        <v/>
      </c>
      <c r="R8" s="7" t="n">
        <v>33.02825000000007</v>
      </c>
      <c r="S8" s="8">
        <f>N8/R8-1</f>
        <v/>
      </c>
      <c r="T8" s="7" t="n">
        <v>38.65</v>
      </c>
      <c r="U8" s="2" t="inlineStr">
        <is>
          <t>2026-09-22</t>
        </is>
      </c>
      <c r="V8" s="10" t="n">
        <v>4</v>
      </c>
      <c r="W8" s="9">
        <f>I8/T8-1</f>
        <v/>
      </c>
      <c r="X8" s="11" t="n">
        <v>0.1598856619826081</v>
      </c>
      <c r="Y8" s="2" t="inlineStr">
        <is>
          <t>2026-09-22</t>
        </is>
      </c>
      <c r="Z8" s="12" t="n">
        <v>-0.002520971237341851</v>
      </c>
      <c r="AA8" s="2" t="inlineStr">
        <is>
          <t>2026-06-23</t>
        </is>
      </c>
      <c r="AB8" s="13" t="n">
        <v>1.027806925498426</v>
      </c>
      <c r="AC8" s="11" t="n">
        <v>0.002603413364188567</v>
      </c>
      <c r="AD8" s="11" t="n">
        <v>0.2759064973311245</v>
      </c>
      <c r="AE8" s="11" t="n">
        <v>0.6272300469483565</v>
      </c>
      <c r="AF8" s="11" t="n">
        <v>1.401940401940402</v>
      </c>
      <c r="AG8" s="11" t="n">
        <v>0.7906724511930586</v>
      </c>
      <c r="AH8" s="11" t="n">
        <v>0.9175704989154013</v>
      </c>
      <c r="AI8" s="11" t="n">
        <v>0.980115690527838</v>
      </c>
      <c r="AJ8" s="11" t="n">
        <v>0.9720896070510466</v>
      </c>
      <c r="AK8" s="2" t="inlineStr">
        <is>
          <t>2個月、3個月、6個月</t>
        </is>
      </c>
      <c r="AL8" s="14">
        <f>(AG8&gt;=0.9)*(AC8&gt;0)+(AH8&gt;=0.9)*(AD8&gt;0)+(AI8&gt;=0.9)*(AE8&gt;0)+IF(AJ8="",0,(AJ8&gt;=0.9)*(AF8&gt;0))</f>
        <v/>
      </c>
      <c r="AM8" s="6" t="n">
        <v>0.9941452671554204</v>
      </c>
      <c r="AN8" s="6" t="n">
        <v>1.092383550672039</v>
      </c>
      <c r="AO8" s="11" t="n">
        <v>0.06102341109554034</v>
      </c>
      <c r="AP8" s="15">
        <f>MAX(0,MIN(1,(AM8-1.2)/(0.6-1.2)))</f>
        <v/>
      </c>
      <c r="AQ8" s="15">
        <f>MAX(0,MIN(1,(ABS(O8)-0.03)/(0-0.03)))</f>
        <v/>
      </c>
      <c r="AR8" s="15">
        <f>MAX(0,MIN(1,S8/0.03))</f>
        <v/>
      </c>
      <c r="AS8" s="15">
        <f>MAX(0,MIN(1,(-W8-0.3)/(0.15-0.3)))</f>
        <v/>
      </c>
      <c r="AT8" s="15">
        <f>0.5*IF(L8&gt;M8,(I8-M8)/(L8-M8),0.5)+0.5*(I8&gt;=N8)</f>
        <v/>
      </c>
      <c r="AU8" s="15">
        <f>MAX(0,MIN(1,(AN8-1.3)/(0.7-1.3)))</f>
        <v/>
      </c>
      <c r="AV8" s="16">
        <f>100*(0.2*AG8+0.2*AH8+0.3*AI8+IF(AJ8="",0,0.3*AJ8))/(0.7+IF(AJ8="",0,0.3))</f>
        <v/>
      </c>
      <c r="AW8" s="16">
        <f>100*(0.25*AP8+0.2*AQ8+0.15*AR8+0.15*AS8+0.15*AT8+0.1*AU8)</f>
        <v/>
      </c>
      <c r="AX8" s="17">
        <f>0.5*AV8+0.5*AW8</f>
        <v/>
      </c>
      <c r="AY8" s="17">
        <f>0.4*AV8+0.4*AW8+0.2*(AL8/4*100)</f>
        <v/>
      </c>
      <c r="AZ8" s="14" t="n"/>
      <c r="BA8" s="2" t="inlineStr">
        <is>
          <t>17/18</t>
        </is>
      </c>
      <c r="BB8" s="3" t="inlineStr"/>
      <c r="BC8" s="19" t="n">
        <v>0</v>
      </c>
    </row>
    <row r="9">
      <c r="A9" s="2">
        <f>COUNTIF($AY$2:$AY$22,"&gt;"&amp;AY9)+1</f>
        <v/>
      </c>
      <c r="B9" s="5" t="inlineStr">
        <is>
          <t>DHX</t>
        </is>
      </c>
      <c r="C9" s="2" t="inlineStr">
        <is>
          <t>DHI Group Inc.</t>
        </is>
      </c>
      <c r="D9" s="2" t="inlineStr">
        <is>
          <t>NYSE</t>
        </is>
      </c>
      <c r="E9" s="2" t="inlineStr">
        <is>
          <t>非必需消費</t>
        </is>
      </c>
      <c r="F9" s="2" t="inlineStr">
        <is>
          <t>Business Services</t>
        </is>
      </c>
      <c r="G9" s="6" t="n">
        <v>0.205</v>
      </c>
      <c r="H9" s="2" t="inlineStr">
        <is>
          <t>小型</t>
        </is>
      </c>
      <c r="I9" s="7" t="n">
        <v>4.62</v>
      </c>
      <c r="J9" s="7" t="n">
        <v>4.73</v>
      </c>
      <c r="K9" s="8">
        <f>I9/J9-1</f>
        <v/>
      </c>
      <c r="L9" s="7" t="n">
        <v>4.73</v>
      </c>
      <c r="M9" s="7" t="n">
        <v>4.54</v>
      </c>
      <c r="N9" s="7" t="n">
        <v>4.648500000000001</v>
      </c>
      <c r="O9" s="8">
        <f>I9/N9-1</f>
        <v/>
      </c>
      <c r="P9" s="7" t="n">
        <v>4.301400000000005</v>
      </c>
      <c r="Q9" s="9">
        <f>I9/P9-1</f>
        <v/>
      </c>
      <c r="R9" s="7" t="n">
        <v>4.538999999999999</v>
      </c>
      <c r="S9" s="8">
        <f>N9/R9-1</f>
        <v/>
      </c>
      <c r="T9" s="7" t="n">
        <v>4.99</v>
      </c>
      <c r="U9" s="2" t="inlineStr">
        <is>
          <t>2026-09-17</t>
        </is>
      </c>
      <c r="V9" s="10" t="n">
        <v>7</v>
      </c>
      <c r="W9" s="9">
        <f>I9/T9-1</f>
        <v/>
      </c>
      <c r="X9" s="11" t="n">
        <v>0.1183417691009847</v>
      </c>
      <c r="Y9" s="2" t="inlineStr">
        <is>
          <t>2026-09-02</t>
        </is>
      </c>
      <c r="Z9" s="12" t="n">
        <v>-0.02334086264386381</v>
      </c>
      <c r="AA9" s="2" t="inlineStr">
        <is>
          <t>2026-06-25</t>
        </is>
      </c>
      <c r="AB9" s="13" t="n">
        <v>0.4096045197740112</v>
      </c>
      <c r="AC9" s="11" t="n">
        <v>0.126829268292683</v>
      </c>
      <c r="AD9" s="11" t="n">
        <v>0.1295843520782396</v>
      </c>
      <c r="AE9" s="11" t="n">
        <v>0.2125984251968505</v>
      </c>
      <c r="AF9" s="11" t="n">
        <v>0.7769230769230768</v>
      </c>
      <c r="AG9" s="11" t="n">
        <v>0.9533622559652929</v>
      </c>
      <c r="AH9" s="11" t="n">
        <v>0.8326102675343456</v>
      </c>
      <c r="AI9" s="11" t="n">
        <v>0.8922631959508315</v>
      </c>
      <c r="AJ9" s="11" t="n">
        <v>0.9192067572530297</v>
      </c>
      <c r="AK9" s="2" t="inlineStr">
        <is>
          <t>1個月、6個月</t>
        </is>
      </c>
      <c r="AL9" s="14">
        <f>(AG9&gt;=0.9)*(AC9&gt;0)+(AH9&gt;=0.9)*(AD9&gt;0)+(AI9&gt;=0.9)*(AE9&gt;0)+IF(AJ9="",0,(AJ9&gt;=0.9)*(AF9&gt;0))</f>
        <v/>
      </c>
      <c r="AM9" s="6" t="n">
        <v>0.8396272940418431</v>
      </c>
      <c r="AN9" s="6" t="n">
        <v>0.5980582524271854</v>
      </c>
      <c r="AO9" s="11" t="n">
        <v>0.04746444032158322</v>
      </c>
      <c r="AP9" s="15">
        <f>MAX(0,MIN(1,(AM9-1.2)/(0.6-1.2)))</f>
        <v/>
      </c>
      <c r="AQ9" s="15">
        <f>MAX(0,MIN(1,(ABS(O9)-0.03)/(0-0.03)))</f>
        <v/>
      </c>
      <c r="AR9" s="15">
        <f>MAX(0,MIN(1,S9/0.03))</f>
        <v/>
      </c>
      <c r="AS9" s="15">
        <f>MAX(0,MIN(1,(-W9-0.3)/(0.15-0.3)))</f>
        <v/>
      </c>
      <c r="AT9" s="15">
        <f>0.5*IF(L9&gt;M9,(I9-M9)/(L9-M9),0.5)+0.5*(I9&gt;=N9)</f>
        <v/>
      </c>
      <c r="AU9" s="15">
        <f>MAX(0,MIN(1,(AN9-1.3)/(0.7-1.3)))</f>
        <v/>
      </c>
      <c r="AV9" s="16">
        <f>100*(0.2*AG9+0.2*AH9+0.3*AI9+IF(AJ9="",0,0.3*AJ9))/(0.7+IF(AJ9="",0,0.3))</f>
        <v/>
      </c>
      <c r="AW9" s="16">
        <f>100*(0.25*AP9+0.2*AQ9+0.15*AR9+0.15*AS9+0.15*AT9+0.1*AU9)</f>
        <v/>
      </c>
      <c r="AX9" s="17">
        <f>0.5*AV9+0.5*AW9</f>
        <v/>
      </c>
      <c r="AY9" s="17">
        <f>0.4*AV9+0.4*AW9+0.2*(AL9/4*100)</f>
        <v/>
      </c>
      <c r="AZ9" s="14" t="n">
        <v>13</v>
      </c>
      <c r="BA9" s="2" t="inlineStr">
        <is>
          <t>18/18</t>
        </is>
      </c>
      <c r="BB9" s="18" t="inlineStr">
        <is>
          <t>20 日成交額中位數只有 $1.3M（股票池下限 $1M），入市出市都會有滑價</t>
        </is>
      </c>
      <c r="BC9" s="19" t="n">
        <v>0</v>
      </c>
    </row>
    <row r="10">
      <c r="A10" s="2">
        <f>COUNTIF($AY$2:$AY$22,"&gt;"&amp;AY10)+1</f>
        <v/>
      </c>
      <c r="B10" s="5" t="inlineStr">
        <is>
          <t>VLO</t>
        </is>
      </c>
      <c r="C10" s="2" t="inlineStr">
        <is>
          <t>Valero Energy Corporation</t>
        </is>
      </c>
      <c r="D10" s="2" t="inlineStr">
        <is>
          <t>NYSE</t>
        </is>
      </c>
      <c r="E10" s="2" t="inlineStr">
        <is>
          <t>能源</t>
        </is>
      </c>
      <c r="F10" s="2" t="inlineStr">
        <is>
          <t>Integrated oil Companies</t>
        </is>
      </c>
      <c r="G10" s="6" t="n">
        <v>111.48</v>
      </c>
      <c r="H10" s="2" t="inlineStr">
        <is>
          <t>大型</t>
        </is>
      </c>
      <c r="I10" s="7" t="n">
        <v>389.57</v>
      </c>
      <c r="J10" s="7" t="n">
        <v>387.18</v>
      </c>
      <c r="K10" s="8">
        <f>I10/J10-1</f>
        <v/>
      </c>
      <c r="L10" s="7" t="n">
        <v>395.85</v>
      </c>
      <c r="M10" s="7" t="n">
        <v>385</v>
      </c>
      <c r="N10" s="7" t="n">
        <v>384.5499999999989</v>
      </c>
      <c r="O10" s="8">
        <f>I10/N10-1</f>
        <v/>
      </c>
      <c r="P10" s="7" t="n">
        <v>348.1683999999995</v>
      </c>
      <c r="Q10" s="9">
        <f>I10/P10-1</f>
        <v/>
      </c>
      <c r="R10" s="7" t="n">
        <v>375.5899999999991</v>
      </c>
      <c r="S10" s="8">
        <f>N10/R10-1</f>
        <v/>
      </c>
      <c r="T10" s="7" t="n">
        <v>413.28</v>
      </c>
      <c r="U10" s="2" t="inlineStr">
        <is>
          <t>2026-09-18</t>
        </is>
      </c>
      <c r="V10" s="10" t="n">
        <v>6</v>
      </c>
      <c r="W10" s="9">
        <f>I10/T10-1</f>
        <v/>
      </c>
      <c r="X10" s="11" t="n">
        <v>0.1156062642483</v>
      </c>
      <c r="Y10" s="2" t="inlineStr">
        <is>
          <t>2026-09-17</t>
        </is>
      </c>
      <c r="Z10" s="12" t="n">
        <v>-0.03161701588363153</v>
      </c>
      <c r="AA10" s="2" t="inlineStr">
        <is>
          <t>2026-06-18</t>
        </is>
      </c>
      <c r="AB10" s="13" t="n">
        <v>0.7489631823952601</v>
      </c>
      <c r="AC10" s="11" t="n">
        <v>0.1240081941198534</v>
      </c>
      <c r="AD10" s="11" t="n">
        <v>0.2928780034514802</v>
      </c>
      <c r="AE10" s="11" t="n">
        <v>0.4627891258636228</v>
      </c>
      <c r="AF10" s="11" t="n">
        <v>0.5318103177099718</v>
      </c>
      <c r="AG10" s="11" t="n">
        <v>0.9519161243673174</v>
      </c>
      <c r="AH10" s="11" t="n">
        <v>0.9215473608098337</v>
      </c>
      <c r="AI10" s="11" t="n">
        <v>0.9634851771511207</v>
      </c>
      <c r="AJ10" s="11" t="n">
        <v>0.8736687477047375</v>
      </c>
      <c r="AK10" s="2" t="inlineStr">
        <is>
          <t>1個月、2個月、3個月</t>
        </is>
      </c>
      <c r="AL10" s="14">
        <f>(AG10&gt;=0.9)*(AC10&gt;0)+(AH10&gt;=0.9)*(AD10&gt;0)+(AI10&gt;=0.9)*(AE10&gt;0)+IF(AJ10="",0,(AJ10&gt;=0.9)*(AF10&gt;0))</f>
        <v/>
      </c>
      <c r="AM10" s="6" t="n">
        <v>1.567453652033483</v>
      </c>
      <c r="AN10" s="6" t="n">
        <v>1.19063886849079</v>
      </c>
      <c r="AO10" s="11" t="n">
        <v>0.04477647516125841</v>
      </c>
      <c r="AP10" s="15">
        <f>MAX(0,MIN(1,(AM10-1.2)/(0.6-1.2)))</f>
        <v/>
      </c>
      <c r="AQ10" s="15">
        <f>MAX(0,MIN(1,(ABS(O10)-0.03)/(0-0.03)))</f>
        <v/>
      </c>
      <c r="AR10" s="15">
        <f>MAX(0,MIN(1,S10/0.03))</f>
        <v/>
      </c>
      <c r="AS10" s="15">
        <f>MAX(0,MIN(1,(-W10-0.3)/(0.15-0.3)))</f>
        <v/>
      </c>
      <c r="AT10" s="15">
        <f>0.5*IF(L10&gt;M10,(I10-M10)/(L10-M10),0.5)+0.5*(I10&gt;=N10)</f>
        <v/>
      </c>
      <c r="AU10" s="15">
        <f>MAX(0,MIN(1,(AN10-1.3)/(0.7-1.3)))</f>
        <v/>
      </c>
      <c r="AV10" s="16">
        <f>100*(0.2*AG10+0.2*AH10+0.3*AI10+IF(AJ10="",0,0.3*AJ10))/(0.7+IF(AJ10="",0,0.3))</f>
        <v/>
      </c>
      <c r="AW10" s="16">
        <f>100*(0.25*AP10+0.2*AQ10+0.15*AR10+0.15*AS10+0.15*AT10+0.1*AU10)</f>
        <v/>
      </c>
      <c r="AX10" s="17">
        <f>0.5*AV10+0.5*AW10</f>
        <v/>
      </c>
      <c r="AY10" s="17">
        <f>0.4*AV10+0.4*AW10+0.2*(AL10/4*100)</f>
        <v/>
      </c>
      <c r="AZ10" s="14" t="n">
        <v>17</v>
      </c>
      <c r="BA10" s="2" t="inlineStr">
        <is>
          <t>18/18</t>
        </is>
      </c>
      <c r="BB10" s="18" t="inlineStr">
        <is>
          <t>同名單入面 MPC、DINO、PSX 同向（21 日相關系數中位數 +0.91，名單其餘 +0.07）：當一個交易睇</t>
        </is>
      </c>
      <c r="BC10" s="19" t="n">
        <v>0</v>
      </c>
    </row>
    <row r="11">
      <c r="A11" s="2">
        <f>COUNTIF($AY$2:$AY$22,"&gt;"&amp;AY11)+1</f>
        <v/>
      </c>
      <c r="B11" s="5" t="inlineStr">
        <is>
          <t>PURR</t>
        </is>
      </c>
      <c r="C11" s="2" t="inlineStr">
        <is>
          <t>Hyperliquid Strategies Inc</t>
        </is>
      </c>
      <c r="D11" s="2" t="inlineStr">
        <is>
          <t>NASDAQ</t>
        </is>
      </c>
      <c r="E11" s="2" t="inlineStr">
        <is>
          <t>金融</t>
        </is>
      </c>
      <c r="F11" s="2" t="inlineStr">
        <is>
          <t>Finance: Consumer Services</t>
        </is>
      </c>
      <c r="G11" s="6" t="n">
        <v>3.057</v>
      </c>
      <c r="H11" s="2" t="inlineStr">
        <is>
          <t>中型</t>
        </is>
      </c>
      <c r="I11" s="7" t="n">
        <v>12.08</v>
      </c>
      <c r="J11" s="7" t="n">
        <v>12.85</v>
      </c>
      <c r="K11" s="8">
        <f>I11/J11-1</f>
        <v/>
      </c>
      <c r="L11" s="7" t="n">
        <v>12.67</v>
      </c>
      <c r="M11" s="7" t="n">
        <v>11.93</v>
      </c>
      <c r="N11" s="7" t="n">
        <v>12.41624999999998</v>
      </c>
      <c r="O11" s="8">
        <f>I11/N11-1</f>
        <v/>
      </c>
      <c r="P11" s="7" t="n">
        <v>9.660099999999991</v>
      </c>
      <c r="Q11" s="9">
        <f>I11/P11-1</f>
        <v/>
      </c>
      <c r="R11" s="7" t="n">
        <v>11.99624999999997</v>
      </c>
      <c r="S11" s="8">
        <f>N11/R11-1</f>
        <v/>
      </c>
      <c r="T11" s="7" t="n">
        <v>14.09</v>
      </c>
      <c r="U11" s="2" t="inlineStr">
        <is>
          <t>2026-09-24</t>
        </is>
      </c>
      <c r="V11" s="10" t="n">
        <v>2</v>
      </c>
      <c r="W11" s="9">
        <f>I11/T11-1</f>
        <v/>
      </c>
      <c r="X11" s="11" t="n">
        <v>0.5587413437006439</v>
      </c>
      <c r="Y11" s="2" t="inlineStr">
        <is>
          <t>2026-08-27</t>
        </is>
      </c>
      <c r="Z11" s="12" t="n">
        <v>-0.03916238799959582</v>
      </c>
      <c r="AA11" s="2" t="inlineStr">
        <is>
          <t>2026-07-29</t>
        </is>
      </c>
      <c r="AB11" s="13" t="n">
        <v>1.360134003350084</v>
      </c>
      <c r="AC11" s="11" t="n">
        <v>-0.05845674201091189</v>
      </c>
      <c r="AD11" s="11" t="n">
        <v>1.023450586264657</v>
      </c>
      <c r="AE11" s="11" t="n">
        <v>0.4262101534828806</v>
      </c>
      <c r="AF11" s="11" t="n">
        <v>1.44040404040404</v>
      </c>
      <c r="AG11" s="11" t="n">
        <v>0.5115690527838034</v>
      </c>
      <c r="AH11" s="11" t="n">
        <v>0.9924078091106291</v>
      </c>
      <c r="AI11" s="11" t="n">
        <v>0.953000723065799</v>
      </c>
      <c r="AJ11" s="11" t="n">
        <v>0.974293059125964</v>
      </c>
      <c r="AK11" s="2" t="inlineStr">
        <is>
          <t>2個月、3個月、6個月</t>
        </is>
      </c>
      <c r="AL11" s="14">
        <f>(AG11&gt;=0.9)*(AC11&gt;0)+(AH11&gt;=0.9)*(AD11&gt;0)+(AI11&gt;=0.9)*(AE11&gt;0)+IF(AJ11="",0,(AJ11&gt;=0.9)*(AF11&gt;0))</f>
        <v/>
      </c>
      <c r="AM11" s="6" t="n">
        <v>0.8961074940128195</v>
      </c>
      <c r="AN11" s="6" t="n">
        <v>0.8704567418799108</v>
      </c>
      <c r="AO11" s="11" t="n">
        <v>0.0968483916745506</v>
      </c>
      <c r="AP11" s="15">
        <f>MAX(0,MIN(1,(AM11-1.2)/(0.6-1.2)))</f>
        <v/>
      </c>
      <c r="AQ11" s="15">
        <f>MAX(0,MIN(1,(ABS(O11)-0.03)/(0-0.03)))</f>
        <v/>
      </c>
      <c r="AR11" s="15">
        <f>MAX(0,MIN(1,S11/0.03))</f>
        <v/>
      </c>
      <c r="AS11" s="15">
        <f>MAX(0,MIN(1,(-W11-0.3)/(0.15-0.3)))</f>
        <v/>
      </c>
      <c r="AT11" s="15">
        <f>0.5*IF(L11&gt;M11,(I11-M11)/(L11-M11),0.5)+0.5*(I11&gt;=N11)</f>
        <v/>
      </c>
      <c r="AU11" s="15">
        <f>MAX(0,MIN(1,(AN11-1.3)/(0.7-1.3)))</f>
        <v/>
      </c>
      <c r="AV11" s="16">
        <f>100*(0.2*AG11+0.2*AH11+0.3*AI11+IF(AJ11="",0,0.3*AJ11))/(0.7+IF(AJ11="",0,0.3))</f>
        <v/>
      </c>
      <c r="AW11" s="16">
        <f>100*(0.25*AP11+0.2*AQ11+0.15*AR11+0.15*AS11+0.15*AT11+0.1*AU11)</f>
        <v/>
      </c>
      <c r="AX11" s="17">
        <f>0.5*AV11+0.5*AW11</f>
        <v/>
      </c>
      <c r="AY11" s="17">
        <f>0.4*AV11+0.4*AW11+0.2*(AL11/4*100)</f>
        <v/>
      </c>
      <c r="AZ11" s="14" t="n"/>
      <c r="BA11" s="2" t="inlineStr">
        <is>
          <t>17/18</t>
        </is>
      </c>
      <c r="BB11" s="18" t="inlineStr">
        <is>
          <t>回調唔係有序回落：期內有一日跌 -8.8%；加密貨幣庫存公司，股價跟 HYPE 代幣走；09-25 監管負面消息</t>
        </is>
      </c>
      <c r="BC11" s="19" t="n">
        <v>0</v>
      </c>
    </row>
    <row r="12">
      <c r="A12" s="2">
        <f>COUNTIF($AY$2:$AY$22,"&gt;"&amp;AY12)+1</f>
        <v/>
      </c>
      <c r="B12" s="21" t="inlineStr">
        <is>
          <t>SNOW</t>
        </is>
      </c>
      <c r="C12" s="2" t="inlineStr">
        <is>
          <t>Snowflake Inc.</t>
        </is>
      </c>
      <c r="D12" s="2" t="inlineStr">
        <is>
          <t>NYSE</t>
        </is>
      </c>
      <c r="E12" s="2" t="inlineStr">
        <is>
          <t>科技</t>
        </is>
      </c>
      <c r="F12" s="2" t="inlineStr">
        <is>
          <t>Computer Software: Prepackaged Software</t>
        </is>
      </c>
      <c r="G12" s="6" t="n">
        <v>118.52</v>
      </c>
      <c r="H12" s="2" t="inlineStr">
        <is>
          <t>大型</t>
        </is>
      </c>
      <c r="I12" s="7" t="n">
        <v>328.12</v>
      </c>
      <c r="J12" s="7" t="n">
        <v>335.94</v>
      </c>
      <c r="K12" s="8">
        <f>I12/J12-1</f>
        <v/>
      </c>
      <c r="L12" s="7" t="n">
        <v>333.72</v>
      </c>
      <c r="M12" s="7" t="n">
        <v>316.63</v>
      </c>
      <c r="N12" s="7" t="n">
        <v>332.1215</v>
      </c>
      <c r="O12" s="8">
        <f>I12/N12-1</f>
        <v/>
      </c>
      <c r="P12" s="7" t="n">
        <v>318.2175999999997</v>
      </c>
      <c r="Q12" s="9">
        <f>I12/P12-1</f>
        <v/>
      </c>
      <c r="R12" s="7" t="n">
        <v>329.2625</v>
      </c>
      <c r="S12" s="8">
        <f>N12/R12-1</f>
        <v/>
      </c>
      <c r="T12" s="7" t="n">
        <v>356.47</v>
      </c>
      <c r="U12" s="2" t="inlineStr">
        <is>
          <t>2026-09-03</t>
        </is>
      </c>
      <c r="V12" s="10" t="n">
        <v>16</v>
      </c>
      <c r="W12" s="9">
        <f>I12/T12-1</f>
        <v/>
      </c>
      <c r="X12" s="11" t="n">
        <v>0.08709209649554905</v>
      </c>
      <c r="Y12" s="2" t="inlineStr">
        <is>
          <t>2026-09-03</t>
        </is>
      </c>
      <c r="Z12" s="12" t="n">
        <v>-0.04664407453296471</v>
      </c>
      <c r="AA12" s="2" t="inlineStr">
        <is>
          <t>2026-06-24</t>
        </is>
      </c>
      <c r="AB12" s="13" t="n">
        <v>0.5776499225492369</v>
      </c>
      <c r="AC12" s="11" t="n">
        <v>-0.003008112789037121</v>
      </c>
      <c r="AD12" s="11" t="n">
        <v>0.1598444680098976</v>
      </c>
      <c r="AE12" s="11" t="n">
        <v>0.3038744287701172</v>
      </c>
      <c r="AF12" s="11" t="n">
        <v>1.147382198952879</v>
      </c>
      <c r="AG12" s="11" t="n">
        <v>0.7678958785249458</v>
      </c>
      <c r="AH12" s="11" t="n">
        <v>0.8521330441070137</v>
      </c>
      <c r="AI12" s="11" t="n">
        <v>0.9269703543022415</v>
      </c>
      <c r="AJ12" s="11" t="n">
        <v>0.95813441057657</v>
      </c>
      <c r="AK12" s="2" t="inlineStr">
        <is>
          <t>3個月、6個月</t>
        </is>
      </c>
      <c r="AL12" s="14">
        <f>(AG12&gt;=0.9)*(AC12&gt;0)+(AH12&gt;=0.9)*(AD12&gt;0)+(AI12&gt;=0.9)*(AE12&gt;0)+IF(AJ12="",0,(AJ12&gt;=0.9)*(AF12&gt;0))</f>
        <v/>
      </c>
      <c r="AM12" s="6" t="n">
        <v>0.8566873751334191</v>
      </c>
      <c r="AN12" s="6" t="n">
        <v>0.8387600298154073</v>
      </c>
      <c r="AO12" s="11" t="n">
        <v>0.04248598073875412</v>
      </c>
      <c r="AP12" s="15">
        <f>MAX(0,MIN(1,(AM12-1.2)/(0.6-1.2)))</f>
        <v/>
      </c>
      <c r="AQ12" s="15">
        <f>MAX(0,MIN(1,(ABS(O12)-0.03)/(0-0.03)))</f>
        <v/>
      </c>
      <c r="AR12" s="15">
        <f>MAX(0,MIN(1,S12/0.03))</f>
        <v/>
      </c>
      <c r="AS12" s="15">
        <f>MAX(0,MIN(1,(-W12-0.3)/(0.15-0.3)))</f>
        <v/>
      </c>
      <c r="AT12" s="15">
        <f>0.5*IF(L12&gt;M12,(I12-M12)/(L12-M12),0.5)+0.5*(I12&gt;=N12)</f>
        <v/>
      </c>
      <c r="AU12" s="15">
        <f>MAX(0,MIN(1,(AN12-1.3)/(0.7-1.3)))</f>
        <v/>
      </c>
      <c r="AV12" s="16">
        <f>100*(0.2*AG12+0.2*AH12+0.3*AI12+IF(AJ12="",0,0.3*AJ12))/(0.7+IF(AJ12="",0,0.3))</f>
        <v/>
      </c>
      <c r="AW12" s="16">
        <f>100*(0.25*AP12+0.2*AQ12+0.15*AR12+0.15*AS12+0.15*AT12+0.1*AU12)</f>
        <v/>
      </c>
      <c r="AX12" s="17">
        <f>0.5*AV12+0.5*AW12</f>
        <v/>
      </c>
      <c r="AY12" s="17">
        <f>0.4*AV12+0.4*AW12+0.2*(AL12/4*100)</f>
        <v/>
      </c>
      <c r="AZ12" s="14" t="n">
        <v>11</v>
      </c>
      <c r="BA12" s="2" t="inlineStr">
        <is>
          <t>17/18</t>
        </is>
      </c>
      <c r="BB12" s="3" t="inlineStr"/>
      <c r="BC12" s="19" t="n">
        <v>0</v>
      </c>
    </row>
    <row r="13">
      <c r="A13" s="2">
        <f>COUNTIF($AY$2:$AY$22,"&gt;"&amp;AY13)+1</f>
        <v/>
      </c>
      <c r="B13" s="5" t="inlineStr">
        <is>
          <t>MPC</t>
        </is>
      </c>
      <c r="C13" s="2" t="inlineStr">
        <is>
          <t>Marathon Petroleum Corporation</t>
        </is>
      </c>
      <c r="D13" s="2" t="inlineStr">
        <is>
          <t>NYSE</t>
        </is>
      </c>
      <c r="E13" s="2" t="inlineStr">
        <is>
          <t>能源</t>
        </is>
      </c>
      <c r="F13" s="2" t="inlineStr">
        <is>
          <t>Integrated oil Companies</t>
        </is>
      </c>
      <c r="G13" s="6" t="n">
        <v>110.51</v>
      </c>
      <c r="H13" s="2" t="inlineStr">
        <is>
          <t>大型</t>
        </is>
      </c>
      <c r="I13" s="7" t="n">
        <v>389.55</v>
      </c>
      <c r="J13" s="7" t="n">
        <v>393.52</v>
      </c>
      <c r="K13" s="8">
        <f>I13/J13-1</f>
        <v/>
      </c>
      <c r="L13" s="7" t="n">
        <v>398.33</v>
      </c>
      <c r="M13" s="7" t="n">
        <v>387.07</v>
      </c>
      <c r="N13" s="7" t="n">
        <v>396.400499999999</v>
      </c>
      <c r="O13" s="8">
        <f>I13/N13-1</f>
        <v/>
      </c>
      <c r="P13" s="7" t="n">
        <v>358.1165999999994</v>
      </c>
      <c r="Q13" s="9">
        <f>I13/P13-1</f>
        <v/>
      </c>
      <c r="R13" s="7" t="n">
        <v>389.398499999999</v>
      </c>
      <c r="S13" s="8">
        <f>N13/R13-1</f>
        <v/>
      </c>
      <c r="T13" s="7" t="n">
        <v>424.89</v>
      </c>
      <c r="U13" s="2" t="inlineStr">
        <is>
          <t>2026-09-18</t>
        </is>
      </c>
      <c r="V13" s="10" t="n">
        <v>6</v>
      </c>
      <c r="W13" s="9">
        <f>I13/T13-1</f>
        <v/>
      </c>
      <c r="X13" s="11" t="n">
        <v>0.09890424693833899</v>
      </c>
      <c r="Y13" s="2" t="inlineStr">
        <is>
          <t>2026-09-17</t>
        </is>
      </c>
      <c r="Z13" s="12" t="n">
        <v>-0.03688874443709289</v>
      </c>
      <c r="AA13" s="2" t="inlineStr">
        <is>
          <t>2026-06-18</t>
        </is>
      </c>
      <c r="AB13" s="13" t="n">
        <v>0.7491663579103371</v>
      </c>
      <c r="AC13" s="11" t="n">
        <v>0.07154645981185004</v>
      </c>
      <c r="AD13" s="11" t="n">
        <v>0.2618230111427831</v>
      </c>
      <c r="AE13" s="11" t="n">
        <v>0.5027775634596094</v>
      </c>
      <c r="AF13" s="11" t="n">
        <v>0.5463856139097298</v>
      </c>
      <c r="AG13" s="11" t="n">
        <v>0.9211858279103399</v>
      </c>
      <c r="AH13" s="11" t="n">
        <v>0.910701373825018</v>
      </c>
      <c r="AI13" s="11" t="n">
        <v>0.9689081706435285</v>
      </c>
      <c r="AJ13" s="11" t="n">
        <v>0.877708409842086</v>
      </c>
      <c r="AK13" s="2" t="inlineStr">
        <is>
          <t>1個月、2個月、3個月</t>
        </is>
      </c>
      <c r="AL13" s="14">
        <f>(AG13&gt;=0.9)*(AC13&gt;0)+(AH13&gt;=0.9)*(AD13&gt;0)+(AI13&gt;=0.9)*(AE13&gt;0)+IF(AJ13="",0,(AJ13&gt;=0.9)*(AF13&gt;0))</f>
        <v/>
      </c>
      <c r="AM13" s="6" t="n">
        <v>1.161616351232978</v>
      </c>
      <c r="AN13" s="6" t="n">
        <v>1.049867711577749</v>
      </c>
      <c r="AO13" s="11" t="n">
        <v>0.0419054953517795</v>
      </c>
      <c r="AP13" s="15">
        <f>MAX(0,MIN(1,(AM13-1.2)/(0.6-1.2)))</f>
        <v/>
      </c>
      <c r="AQ13" s="15">
        <f>MAX(0,MIN(1,(ABS(O13)-0.03)/(0-0.03)))</f>
        <v/>
      </c>
      <c r="AR13" s="15">
        <f>MAX(0,MIN(1,S13/0.03))</f>
        <v/>
      </c>
      <c r="AS13" s="15">
        <f>MAX(0,MIN(1,(-W13-0.3)/(0.15-0.3)))</f>
        <v/>
      </c>
      <c r="AT13" s="15">
        <f>0.5*IF(L13&gt;M13,(I13-M13)/(L13-M13),0.5)+0.5*(I13&gt;=N13)</f>
        <v/>
      </c>
      <c r="AU13" s="15">
        <f>MAX(0,MIN(1,(AN13-1.3)/(0.7-1.3)))</f>
        <v/>
      </c>
      <c r="AV13" s="16">
        <f>100*(0.2*AG13+0.2*AH13+0.3*AI13+IF(AJ13="",0,0.3*AJ13))/(0.7+IF(AJ13="",0,0.3))</f>
        <v/>
      </c>
      <c r="AW13" s="16">
        <f>100*(0.25*AP13+0.2*AQ13+0.15*AR13+0.15*AS13+0.15*AT13+0.1*AU13)</f>
        <v/>
      </c>
      <c r="AX13" s="17">
        <f>0.5*AV13+0.5*AW13</f>
        <v/>
      </c>
      <c r="AY13" s="17">
        <f>0.4*AV13+0.4*AW13+0.2*(AL13/4*100)</f>
        <v/>
      </c>
      <c r="AZ13" s="14" t="n">
        <v>20</v>
      </c>
      <c r="BA13" s="2" t="inlineStr">
        <is>
          <t>17/18</t>
        </is>
      </c>
      <c r="BB13" s="18" t="inlineStr">
        <is>
          <t>同名單入面 VLO、DINO、PSX 同向（21 日相關系數中位數 +0.91，名單其餘 +0.07）：當一個交易睇</t>
        </is>
      </c>
      <c r="BC13" s="19" t="n">
        <v>0</v>
      </c>
    </row>
    <row r="14">
      <c r="A14" s="2">
        <f>COUNTIF($AY$2:$AY$22,"&gt;"&amp;AY14)+1</f>
        <v/>
      </c>
      <c r="B14" s="5" t="inlineStr">
        <is>
          <t>KGEI</t>
        </is>
      </c>
      <c r="C14" s="2" t="inlineStr">
        <is>
          <t>Kolibri Global Energy Inc. Common stock</t>
        </is>
      </c>
      <c r="D14" s="2" t="inlineStr">
        <is>
          <t>NASDAQ</t>
        </is>
      </c>
      <c r="E14" s="2" t="inlineStr">
        <is>
          <t>能源</t>
        </is>
      </c>
      <c r="F14" s="2" t="inlineStr">
        <is>
          <t>Oil &amp; Gas Production</t>
        </is>
      </c>
      <c r="G14" s="6" t="n">
        <v>0.228</v>
      </c>
      <c r="H14" s="2" t="inlineStr">
        <is>
          <t>小型</t>
        </is>
      </c>
      <c r="I14" s="7" t="n">
        <v>6.44</v>
      </c>
      <c r="J14" s="7" t="n">
        <v>6.35</v>
      </c>
      <c r="K14" s="8">
        <f>I14/J14-1</f>
        <v/>
      </c>
      <c r="L14" s="7" t="n">
        <v>6.58</v>
      </c>
      <c r="M14" s="7" t="n">
        <v>6.37</v>
      </c>
      <c r="N14" s="7" t="n">
        <v>6.510499999999991</v>
      </c>
      <c r="O14" s="8">
        <f>I14/N14-1</f>
        <v/>
      </c>
      <c r="P14" s="7" t="n">
        <v>5.887399999999984</v>
      </c>
      <c r="Q14" s="9">
        <f>I14/P14-1</f>
        <v/>
      </c>
      <c r="R14" s="7" t="n">
        <v>6.34899999999999</v>
      </c>
      <c r="S14" s="8">
        <f>N14/R14-1</f>
        <v/>
      </c>
      <c r="T14" s="7" t="n">
        <v>6.88</v>
      </c>
      <c r="U14" s="2" t="inlineStr">
        <is>
          <t>2026-09-15</t>
        </is>
      </c>
      <c r="V14" s="10" t="n">
        <v>9</v>
      </c>
      <c r="W14" s="9">
        <f>I14/T14-1</f>
        <v/>
      </c>
      <c r="X14" s="11" t="n">
        <v>0.1152601443863621</v>
      </c>
      <c r="Y14" s="2" t="inlineStr">
        <is>
          <t>2026-09-09</t>
        </is>
      </c>
      <c r="Z14" s="12" t="n">
        <v>-0.03248206156932087</v>
      </c>
      <c r="AA14" s="2" t="inlineStr">
        <is>
          <t>2026-06-25</t>
        </is>
      </c>
      <c r="AB14" s="13" t="n">
        <v>0.5087719298245614</v>
      </c>
      <c r="AC14" s="11" t="n">
        <v>0.1008547008547009</v>
      </c>
      <c r="AD14" s="11" t="n">
        <v>0.2504854368932039</v>
      </c>
      <c r="AE14" s="11" t="n">
        <v>0.3388773388773392</v>
      </c>
      <c r="AF14" s="11" t="n">
        <v>0.09523809523809534</v>
      </c>
      <c r="AG14" s="11" t="n">
        <v>0.9410701373825018</v>
      </c>
      <c r="AH14" s="11" t="n">
        <v>0.9060014461315979</v>
      </c>
      <c r="AI14" s="11" t="n">
        <v>0.935647143890094</v>
      </c>
      <c r="AJ14" s="11" t="n">
        <v>0.5123026074182887</v>
      </c>
      <c r="AK14" s="2" t="inlineStr">
        <is>
          <t>1個月、2個月、3個月</t>
        </is>
      </c>
      <c r="AL14" s="14">
        <f>(AG14&gt;=0.9)*(AC14&gt;0)+(AH14&gt;=0.9)*(AD14&gt;0)+(AI14&gt;=0.9)*(AE14&gt;0)+IF(AJ14="",0,(AJ14&gt;=0.9)*(AF14&gt;0))</f>
        <v/>
      </c>
      <c r="AM14" s="6" t="n">
        <v>1.204103926930832</v>
      </c>
      <c r="AN14" s="6" t="n">
        <v>0.8376963350785347</v>
      </c>
      <c r="AO14" s="11" t="n">
        <v>0.04214729370008873</v>
      </c>
      <c r="AP14" s="15">
        <f>MAX(0,MIN(1,(AM14-1.2)/(0.6-1.2)))</f>
        <v/>
      </c>
      <c r="AQ14" s="15">
        <f>MAX(0,MIN(1,(ABS(O14)-0.03)/(0-0.03)))</f>
        <v/>
      </c>
      <c r="AR14" s="15">
        <f>MAX(0,MIN(1,S14/0.03))</f>
        <v/>
      </c>
      <c r="AS14" s="15">
        <f>MAX(0,MIN(1,(-W14-0.3)/(0.15-0.3)))</f>
        <v/>
      </c>
      <c r="AT14" s="15">
        <f>0.5*IF(L14&gt;M14,(I14-M14)/(L14-M14),0.5)+0.5*(I14&gt;=N14)</f>
        <v/>
      </c>
      <c r="AU14" s="15">
        <f>MAX(0,MIN(1,(AN14-1.3)/(0.7-1.3)))</f>
        <v/>
      </c>
      <c r="AV14" s="16">
        <f>100*(0.2*AG14+0.2*AH14+0.3*AI14+IF(AJ14="",0,0.3*AJ14))/(0.7+IF(AJ14="",0,0.3))</f>
        <v/>
      </c>
      <c r="AW14" s="16">
        <f>100*(0.25*AP14+0.2*AQ14+0.15*AR14+0.15*AS14+0.15*AT14+0.1*AU14)</f>
        <v/>
      </c>
      <c r="AX14" s="17">
        <f>0.5*AV14+0.5*AW14</f>
        <v/>
      </c>
      <c r="AY14" s="17">
        <f>0.4*AV14+0.4*AW14+0.2*(AL14/4*100)</f>
        <v/>
      </c>
      <c r="AZ14" s="14" t="n"/>
      <c r="BA14" s="2" t="inlineStr">
        <is>
          <t>17/18</t>
        </is>
      </c>
      <c r="BB14" s="18" t="inlineStr">
        <is>
          <t>今日放量（1.8× 50日均量）收喺 20MA 下面；20 日成交額中位數只有 $1.0M（股票池下限 $1M），入市出市都會有滑價</t>
        </is>
      </c>
      <c r="BC14" s="19" t="n">
        <v>0.00099</v>
      </c>
    </row>
    <row r="15">
      <c r="A15" s="2">
        <f>COUNTIF($AY$2:$AY$22,"&gt;"&amp;AY15)+1</f>
        <v/>
      </c>
      <c r="B15" s="5" t="inlineStr">
        <is>
          <t>IBTA</t>
        </is>
      </c>
      <c r="C15" s="2" t="inlineStr">
        <is>
          <t>Ibotta Inc. Class A</t>
        </is>
      </c>
      <c r="D15" s="2" t="inlineStr">
        <is>
          <t>NYSE</t>
        </is>
      </c>
      <c r="E15" s="2" t="inlineStr">
        <is>
          <t>非必需消費</t>
        </is>
      </c>
      <c r="F15" s="2" t="inlineStr">
        <is>
          <t>Advertising</t>
        </is>
      </c>
      <c r="G15" s="6" t="n">
        <v>0.951</v>
      </c>
      <c r="H15" s="2" t="inlineStr">
        <is>
          <t>小型</t>
        </is>
      </c>
      <c r="I15" s="7" t="n">
        <v>40.05</v>
      </c>
      <c r="J15" s="7" t="n">
        <v>41.06</v>
      </c>
      <c r="K15" s="8">
        <f>I15/J15-1</f>
        <v/>
      </c>
      <c r="L15" s="7" t="n">
        <v>42.03</v>
      </c>
      <c r="M15" s="7" t="n">
        <v>39.16</v>
      </c>
      <c r="N15" s="7" t="n">
        <v>40.09450000000011</v>
      </c>
      <c r="O15" s="8">
        <f>I15/N15-1</f>
        <v/>
      </c>
      <c r="P15" s="7" t="n">
        <v>36.10820000000003</v>
      </c>
      <c r="Q15" s="9">
        <f>I15/P15-1</f>
        <v/>
      </c>
      <c r="R15" s="7" t="n">
        <v>39.28300000000004</v>
      </c>
      <c r="S15" s="8">
        <f>N15/R15-1</f>
        <v/>
      </c>
      <c r="T15" s="7" t="n">
        <v>42.4</v>
      </c>
      <c r="U15" s="2" t="inlineStr">
        <is>
          <t>2026-09-14</t>
        </is>
      </c>
      <c r="V15" s="10" t="n">
        <v>10</v>
      </c>
      <c r="W15" s="9">
        <f>I15/T15-1</f>
        <v/>
      </c>
      <c r="X15" s="11" t="n">
        <v>0.1224013081055841</v>
      </c>
      <c r="Y15" s="2" t="inlineStr">
        <is>
          <t>2026-08-24</t>
        </is>
      </c>
      <c r="Z15" s="12" t="n">
        <v>-0.0233074361820228</v>
      </c>
      <c r="AA15" s="2" t="inlineStr">
        <is>
          <t>2026-07-31</t>
        </is>
      </c>
      <c r="AB15" s="13" t="n">
        <v>0.7666666666666666</v>
      </c>
      <c r="AC15" s="11" t="n">
        <v>0.09967051070840194</v>
      </c>
      <c r="AD15" s="11" t="n">
        <v>0.5090429540316503</v>
      </c>
      <c r="AE15" s="11" t="n">
        <v>0.1645827275370746</v>
      </c>
      <c r="AF15" s="11" t="n">
        <v>0.3819875776397514</v>
      </c>
      <c r="AG15" s="11" t="n">
        <v>0.940347071583514</v>
      </c>
      <c r="AH15" s="11" t="n">
        <v>0.9707158351409978</v>
      </c>
      <c r="AI15" s="11" t="n">
        <v>0.8593637020968908</v>
      </c>
      <c r="AJ15" s="11" t="n">
        <v>0.8068307014322439</v>
      </c>
      <c r="AK15" s="2" t="inlineStr">
        <is>
          <t>1個月、2個月</t>
        </is>
      </c>
      <c r="AL15" s="14">
        <f>(AG15&gt;=0.9)*(AC15&gt;0)+(AH15&gt;=0.9)*(AD15&gt;0)+(AI15&gt;=0.9)*(AE15&gt;0)+IF(AJ15="",0,(AJ15&gt;=0.9)*(AF15&gt;0))</f>
        <v/>
      </c>
      <c r="AM15" s="6" t="n">
        <v>1.110395954182774</v>
      </c>
      <c r="AN15" s="6" t="n">
        <v>1.020031087778982</v>
      </c>
      <c r="AO15" s="11" t="n">
        <v>0.04324415908685572</v>
      </c>
      <c r="AP15" s="15">
        <f>MAX(0,MIN(1,(AM15-1.2)/(0.6-1.2)))</f>
        <v/>
      </c>
      <c r="AQ15" s="15">
        <f>MAX(0,MIN(1,(ABS(O15)-0.03)/(0-0.03)))</f>
        <v/>
      </c>
      <c r="AR15" s="15">
        <f>MAX(0,MIN(1,S15/0.03))</f>
        <v/>
      </c>
      <c r="AS15" s="15">
        <f>MAX(0,MIN(1,(-W15-0.3)/(0.15-0.3)))</f>
        <v/>
      </c>
      <c r="AT15" s="15">
        <f>0.5*IF(L15&gt;M15,(I15-M15)/(L15-M15),0.5)+0.5*(I15&gt;=N15)</f>
        <v/>
      </c>
      <c r="AU15" s="15">
        <f>MAX(0,MIN(1,(AN15-1.3)/(0.7-1.3)))</f>
        <v/>
      </c>
      <c r="AV15" s="16">
        <f>100*(0.2*AG15+0.2*AH15+0.3*AI15+IF(AJ15="",0,0.3*AJ15))/(0.7+IF(AJ15="",0,0.3))</f>
        <v/>
      </c>
      <c r="AW15" s="16">
        <f>100*(0.25*AP15+0.2*AQ15+0.15*AR15+0.15*AS15+0.15*AT15+0.1*AU15)</f>
        <v/>
      </c>
      <c r="AX15" s="17">
        <f>0.5*AV15+0.5*AW15</f>
        <v/>
      </c>
      <c r="AY15" s="17">
        <f>0.4*AV15+0.4*AW15+0.2*(AL15/4*100)</f>
        <v/>
      </c>
      <c r="AZ15" s="14" t="n"/>
      <c r="BA15" s="2" t="inlineStr">
        <is>
          <t>18/18</t>
        </is>
      </c>
      <c r="BB15" s="18" t="inlineStr">
        <is>
          <t>升幅過半來自單日：2026-07-31 起計升 77%，最大單日 +51.9%</t>
        </is>
      </c>
      <c r="BC15" s="19" t="n">
        <v>0</v>
      </c>
    </row>
    <row r="16">
      <c r="A16" s="2">
        <f>COUNTIF($AY$2:$AY$22,"&gt;"&amp;AY16)+1</f>
        <v/>
      </c>
      <c r="B16" s="20" t="inlineStr">
        <is>
          <t>ELMT</t>
        </is>
      </c>
      <c r="C16" s="2" t="inlineStr">
        <is>
          <t>The Elmet Group Co.</t>
        </is>
      </c>
      <c r="D16" s="2" t="inlineStr">
        <is>
          <t>NASDAQ</t>
        </is>
      </c>
      <c r="E16" s="2" t="inlineStr">
        <is>
          <t>工業</t>
        </is>
      </c>
      <c r="F16" s="2" t="inlineStr">
        <is>
          <t>Metal Fabrications</t>
        </is>
      </c>
      <c r="G16" s="6" t="n">
        <v>0.598</v>
      </c>
      <c r="H16" s="2" t="inlineStr">
        <is>
          <t>小型</t>
        </is>
      </c>
      <c r="I16" s="7" t="n">
        <v>18.605</v>
      </c>
      <c r="J16" s="7" t="n">
        <v>19.64</v>
      </c>
      <c r="K16" s="8">
        <f>I16/J16-1</f>
        <v/>
      </c>
      <c r="L16" s="7" t="n">
        <v>19.6799</v>
      </c>
      <c r="M16" s="7" t="n">
        <v>18.3719</v>
      </c>
      <c r="N16" s="7" t="n">
        <v>18.68725</v>
      </c>
      <c r="O16" s="8">
        <f>I16/N16-1</f>
        <v/>
      </c>
      <c r="P16" s="7" t="n">
        <v>17.2327</v>
      </c>
      <c r="Q16" s="9">
        <f>I16/P16-1</f>
        <v/>
      </c>
      <c r="R16" s="7" t="n">
        <v>18.1225</v>
      </c>
      <c r="S16" s="8">
        <f>N16/R16-1</f>
        <v/>
      </c>
      <c r="T16" s="7" t="n">
        <v>22.98</v>
      </c>
      <c r="U16" s="2" t="inlineStr">
        <is>
          <t>2026-09-18</t>
        </is>
      </c>
      <c r="V16" s="10" t="n">
        <v>6</v>
      </c>
      <c r="W16" s="9">
        <f>I16/T16-1</f>
        <v/>
      </c>
      <c r="X16" s="11" t="n">
        <v>0.2748606141299816</v>
      </c>
      <c r="Y16" s="2" t="inlineStr">
        <is>
          <t>2026-09-18</t>
        </is>
      </c>
      <c r="Z16" s="12" t="n">
        <v>-0.01687514214236951</v>
      </c>
      <c r="AA16" s="2" t="inlineStr">
        <is>
          <t>2026-07-29</t>
        </is>
      </c>
      <c r="AB16" s="13" t="n">
        <v>0.803767660910518</v>
      </c>
      <c r="AC16" s="11" t="n">
        <v>0.02960708356391817</v>
      </c>
      <c r="AD16" s="11" t="n">
        <v>0.4603610675039247</v>
      </c>
      <c r="AE16" s="11" t="n">
        <v>-0.03149401353461745</v>
      </c>
      <c r="AF16" s="11" t="n"/>
      <c r="AG16" s="11" t="n">
        <v>0.8550253073029646</v>
      </c>
      <c r="AH16" s="11" t="n">
        <v>0.9645697758496024</v>
      </c>
      <c r="AI16" s="11" t="n">
        <v>0.5466377440347071</v>
      </c>
      <c r="AJ16" s="11" t="n"/>
      <c r="AK16" s="2" t="inlineStr">
        <is>
          <t>2個月</t>
        </is>
      </c>
      <c r="AL16" s="14">
        <f>(AG16&gt;=0.9)*(AC16&gt;0)+(AH16&gt;=0.9)*(AD16&gt;0)+(AI16&gt;=0.9)*(AE16&gt;0)+IF(AJ16="",0,(AJ16&gt;=0.9)*(AF16&gt;0))</f>
        <v/>
      </c>
      <c r="AM16" s="6" t="n">
        <v>0.5189581971749669</v>
      </c>
      <c r="AN16" s="6" t="n">
        <v>0.814990656093742</v>
      </c>
      <c r="AO16" s="11" t="n">
        <v>0.1329826851460821</v>
      </c>
      <c r="AP16" s="15">
        <f>MAX(0,MIN(1,(AM16-1.2)/(0.6-1.2)))</f>
        <v/>
      </c>
      <c r="AQ16" s="15">
        <f>MAX(0,MIN(1,(ABS(O16)-0.03)/(0-0.03)))</f>
        <v/>
      </c>
      <c r="AR16" s="15">
        <f>MAX(0,MIN(1,S16/0.03))</f>
        <v/>
      </c>
      <c r="AS16" s="15">
        <f>MAX(0,MIN(1,(-W16-0.3)/(0.15-0.3)))</f>
        <v/>
      </c>
      <c r="AT16" s="15">
        <f>0.5*IF(L16&gt;M16,(I16-M16)/(L16-M16),0.5)+0.5*(I16&gt;=N16)</f>
        <v/>
      </c>
      <c r="AU16" s="15">
        <f>MAX(0,MIN(1,(AN16-1.3)/(0.7-1.3)))</f>
        <v/>
      </c>
      <c r="AV16" s="16">
        <f>100*(0.2*AG16+0.2*AH16+0.3*AI16+IF(AJ16="",0,0.3*AJ16))/(0.7+IF(AJ16="",0,0.3))</f>
        <v/>
      </c>
      <c r="AW16" s="16">
        <f>100*(0.25*AP16+0.2*AQ16+0.15*AR16+0.15*AS16+0.15*AT16+0.1*AU16)</f>
        <v/>
      </c>
      <c r="AX16" s="17">
        <f>0.5*AV16+0.5*AW16</f>
        <v/>
      </c>
      <c r="AY16" s="17">
        <f>0.4*AV16+0.4*AW16+0.2*(AL16/4*100)</f>
        <v/>
      </c>
      <c r="AZ16" s="14" t="n"/>
      <c r="BA16" s="2" t="inlineStr">
        <is>
          <t>18/18</t>
        </is>
      </c>
      <c r="BB16" s="3" t="inlineStr"/>
      <c r="BC16" s="19" t="n">
        <v>0.00032</v>
      </c>
    </row>
    <row r="17">
      <c r="A17" s="2">
        <f>COUNTIF($AY$2:$AY$22,"&gt;"&amp;AY17)+1</f>
        <v/>
      </c>
      <c r="B17" s="21" t="inlineStr">
        <is>
          <t>LPG</t>
        </is>
      </c>
      <c r="C17" s="2" t="inlineStr">
        <is>
          <t>Dorian LPG Ltd.</t>
        </is>
      </c>
      <c r="D17" s="2" t="inlineStr">
        <is>
          <t>NYSE</t>
        </is>
      </c>
      <c r="E17" s="2" t="inlineStr">
        <is>
          <t>非必需消費</t>
        </is>
      </c>
      <c r="F17" s="2" t="inlineStr">
        <is>
          <t>Marine Transportation</t>
        </is>
      </c>
      <c r="G17" s="6" t="n">
        <v>2.286</v>
      </c>
      <c r="H17" s="2" t="inlineStr">
        <is>
          <t>中型</t>
        </is>
      </c>
      <c r="I17" s="7" t="n">
        <v>54.38</v>
      </c>
      <c r="J17" s="7" t="n">
        <v>53.43</v>
      </c>
      <c r="K17" s="8">
        <f>I17/J17-1</f>
        <v/>
      </c>
      <c r="L17" s="7" t="n">
        <v>55.77</v>
      </c>
      <c r="M17" s="7" t="n">
        <v>53.81</v>
      </c>
      <c r="N17" s="7" t="n">
        <v>54.51149999999984</v>
      </c>
      <c r="O17" s="8">
        <f>I17/N17-1</f>
        <v/>
      </c>
      <c r="P17" s="7" t="n">
        <v>49.6979999999999</v>
      </c>
      <c r="Q17" s="9">
        <f>I17/P17-1</f>
        <v/>
      </c>
      <c r="R17" s="7" t="n">
        <v>53.53699999999981</v>
      </c>
      <c r="S17" s="8">
        <f>N17/R17-1</f>
        <v/>
      </c>
      <c r="T17" s="7" t="n">
        <v>58.31</v>
      </c>
      <c r="U17" s="2" t="inlineStr">
        <is>
          <t>2026-09-17</t>
        </is>
      </c>
      <c r="V17" s="10" t="n">
        <v>7</v>
      </c>
      <c r="W17" s="9">
        <f>I17/T17-1</f>
        <v/>
      </c>
      <c r="X17" s="11" t="n">
        <v>0.1223162003903726</v>
      </c>
      <c r="Y17" s="2" t="inlineStr">
        <is>
          <t>2026-09-04</t>
        </is>
      </c>
      <c r="Z17" s="12" t="n">
        <v>-0.03116162965282587</v>
      </c>
      <c r="AA17" s="2" t="inlineStr">
        <is>
          <t>2026-06-30</t>
        </is>
      </c>
      <c r="AB17" s="13" t="n">
        <v>0.6765382403680276</v>
      </c>
      <c r="AC17" s="11" t="n">
        <v>0.1034902597402598</v>
      </c>
      <c r="AD17" s="11" t="n">
        <v>0.1899343544857768</v>
      </c>
      <c r="AE17" s="11" t="n">
        <v>0.543132803632236</v>
      </c>
      <c r="AF17" s="11" t="n">
        <v>0.630584707646177</v>
      </c>
      <c r="AG17" s="11" t="n">
        <v>0.9428778018799711</v>
      </c>
      <c r="AH17" s="11" t="n">
        <v>0.8716558206796818</v>
      </c>
      <c r="AI17" s="11" t="n">
        <v>0.9725234996384671</v>
      </c>
      <c r="AJ17" s="11" t="n">
        <v>0.8912963643040764</v>
      </c>
      <c r="AK17" s="2" t="inlineStr">
        <is>
          <t>1個月、3個月</t>
        </is>
      </c>
      <c r="AL17" s="14">
        <f>(AG17&gt;=0.9)*(AC17&gt;0)+(AH17&gt;=0.9)*(AD17&gt;0)+(AI17&gt;=0.9)*(AE17&gt;0)+IF(AJ17="",0,(AJ17&gt;=0.9)*(AF17&gt;0))</f>
        <v/>
      </c>
      <c r="AM17" s="6" t="n">
        <v>1.193955688755998</v>
      </c>
      <c r="AN17" s="6" t="n">
        <v>1.15410028632259</v>
      </c>
      <c r="AO17" s="11" t="n">
        <v>0.03826249146219724</v>
      </c>
      <c r="AP17" s="15">
        <f>MAX(0,MIN(1,(AM17-1.2)/(0.6-1.2)))</f>
        <v/>
      </c>
      <c r="AQ17" s="15">
        <f>MAX(0,MIN(1,(ABS(O17)-0.03)/(0-0.03)))</f>
        <v/>
      </c>
      <c r="AR17" s="15">
        <f>MAX(0,MIN(1,S17/0.03))</f>
        <v/>
      </c>
      <c r="AS17" s="15">
        <f>MAX(0,MIN(1,(-W17-0.3)/(0.15-0.3)))</f>
        <v/>
      </c>
      <c r="AT17" s="15">
        <f>0.5*IF(L17&gt;M17,(I17-M17)/(L17-M17),0.5)+0.5*(I17&gt;=N17)</f>
        <v/>
      </c>
      <c r="AU17" s="15">
        <f>MAX(0,MIN(1,(AN17-1.3)/(0.7-1.3)))</f>
        <v/>
      </c>
      <c r="AV17" s="16">
        <f>100*(0.2*AG17+0.2*AH17+0.3*AI17+IF(AJ17="",0,0.3*AJ17))/(0.7+IF(AJ17="",0,0.3))</f>
        <v/>
      </c>
      <c r="AW17" s="16">
        <f>100*(0.25*AP17+0.2*AQ17+0.15*AR17+0.15*AS17+0.15*AT17+0.1*AU17)</f>
        <v/>
      </c>
      <c r="AX17" s="17">
        <f>0.5*AV17+0.5*AW17</f>
        <v/>
      </c>
      <c r="AY17" s="17">
        <f>0.4*AV17+0.4*AW17+0.2*(AL17/4*100)</f>
        <v/>
      </c>
      <c r="AZ17" s="14" t="n">
        <v>25</v>
      </c>
      <c r="BA17" s="2" t="inlineStr">
        <is>
          <t>18/18</t>
        </is>
      </c>
      <c r="BB17" s="3" t="inlineStr"/>
      <c r="BC17" s="19" t="n">
        <v>0</v>
      </c>
    </row>
    <row r="18">
      <c r="A18" s="2">
        <f>COUNTIF($AY$2:$AY$22,"&gt;"&amp;AY18)+1</f>
        <v/>
      </c>
      <c r="B18" s="20" t="inlineStr">
        <is>
          <t>DC</t>
        </is>
      </c>
      <c r="C18" s="2" t="inlineStr">
        <is>
          <t>Dakota Gold Corp.</t>
        </is>
      </c>
      <c r="D18" s="2" t="inlineStr">
        <is>
          <t>AMEX</t>
        </is>
      </c>
      <c r="E18" s="2" t="inlineStr">
        <is>
          <t>原材料</t>
        </is>
      </c>
      <c r="F18" s="2" t="inlineStr">
        <is>
          <t>Metal Mining</t>
        </is>
      </c>
      <c r="G18" s="6" t="n">
        <v>0.887</v>
      </c>
      <c r="H18" s="2" t="inlineStr">
        <is>
          <t>小型</t>
        </is>
      </c>
      <c r="I18" s="7" t="n">
        <v>6.18</v>
      </c>
      <c r="J18" s="7" t="n">
        <v>6.61</v>
      </c>
      <c r="K18" s="8">
        <f>I18/J18-1</f>
        <v/>
      </c>
      <c r="L18" s="7" t="n">
        <v>6.44</v>
      </c>
      <c r="M18" s="7" t="n">
        <v>6.15</v>
      </c>
      <c r="N18" s="7" t="n">
        <v>6.127499999999986</v>
      </c>
      <c r="O18" s="8">
        <f>I18/N18-1</f>
        <v/>
      </c>
      <c r="P18" s="7" t="n">
        <v>5.756600000000003</v>
      </c>
      <c r="Q18" s="9">
        <f>I18/P18-1</f>
        <v/>
      </c>
      <c r="R18" s="7" t="n">
        <v>6.02249999999998</v>
      </c>
      <c r="S18" s="8">
        <f>N18/R18-1</f>
        <v/>
      </c>
      <c r="T18" s="7" t="n">
        <v>6.9</v>
      </c>
      <c r="U18" s="2" t="inlineStr">
        <is>
          <t>2026-09-22</t>
        </is>
      </c>
      <c r="V18" s="10" t="n">
        <v>4</v>
      </c>
      <c r="W18" s="9">
        <f>I18/T18-1</f>
        <v/>
      </c>
      <c r="X18" s="11" t="n">
        <v>0.1388957662787855</v>
      </c>
      <c r="Y18" s="2" t="inlineStr">
        <is>
          <t>2026-09-22</t>
        </is>
      </c>
      <c r="Z18" s="12" t="n">
        <v>0.003671970624237408</v>
      </c>
      <c r="AA18" s="2" t="inlineStr">
        <is>
          <t>2026-06-25</t>
        </is>
      </c>
      <c r="AB18" s="13" t="n">
        <v>0.6911764705882353</v>
      </c>
      <c r="AC18" s="11" t="n">
        <v>-0.009615384615384692</v>
      </c>
      <c r="AD18" s="11" t="n">
        <v>0.3405639913232104</v>
      </c>
      <c r="AE18" s="11" t="n">
        <v>0.4507042253521127</v>
      </c>
      <c r="AF18" s="11" t="n">
        <v>0.3552631578947369</v>
      </c>
      <c r="AG18" s="11" t="n">
        <v>0.7415039768618944</v>
      </c>
      <c r="AH18" s="11" t="n">
        <v>0.9392624728850325</v>
      </c>
      <c r="AI18" s="11" t="n">
        <v>0.9587852494577006</v>
      </c>
      <c r="AJ18" s="11" t="n">
        <v>0.7884686008079325</v>
      </c>
      <c r="AK18" s="2" t="inlineStr">
        <is>
          <t>2個月、3個月</t>
        </is>
      </c>
      <c r="AL18" s="14">
        <f>(AG18&gt;=0.9)*(AC18&gt;0)+(AH18&gt;=0.9)*(AD18&gt;0)+(AI18&gt;=0.9)*(AE18&gt;0)+IF(AJ18="",0,(AJ18&gt;=0.9)*(AF18&gt;0))</f>
        <v/>
      </c>
      <c r="AM18" s="6" t="n">
        <v>1.079304862451237</v>
      </c>
      <c r="AN18" s="6" t="n">
        <v>1.327556862138326</v>
      </c>
      <c r="AO18" s="11" t="n">
        <v>0.05684234858992138</v>
      </c>
      <c r="AP18" s="15">
        <f>MAX(0,MIN(1,(AM18-1.2)/(0.6-1.2)))</f>
        <v/>
      </c>
      <c r="AQ18" s="15">
        <f>MAX(0,MIN(1,(ABS(O18)-0.03)/(0-0.03)))</f>
        <v/>
      </c>
      <c r="AR18" s="15">
        <f>MAX(0,MIN(1,S18/0.03))</f>
        <v/>
      </c>
      <c r="AS18" s="15">
        <f>MAX(0,MIN(1,(-W18-0.3)/(0.15-0.3)))</f>
        <v/>
      </c>
      <c r="AT18" s="15">
        <f>0.5*IF(L18&gt;M18,(I18-M18)/(L18-M18),0.5)+0.5*(I18&gt;=N18)</f>
        <v/>
      </c>
      <c r="AU18" s="15">
        <f>MAX(0,MIN(1,(AN18-1.3)/(0.7-1.3)))</f>
        <v/>
      </c>
      <c r="AV18" s="16">
        <f>100*(0.2*AG18+0.2*AH18+0.3*AI18+IF(AJ18="",0,0.3*AJ18))/(0.7+IF(AJ18="",0,0.3))</f>
        <v/>
      </c>
      <c r="AW18" s="16">
        <f>100*(0.25*AP18+0.2*AQ18+0.15*AR18+0.15*AS18+0.15*AT18+0.1*AU18)</f>
        <v/>
      </c>
      <c r="AX18" s="17">
        <f>0.5*AV18+0.5*AW18</f>
        <v/>
      </c>
      <c r="AY18" s="17">
        <f>0.4*AV18+0.4*AW18+0.2*(AL18/4*100)</f>
        <v/>
      </c>
      <c r="AZ18" s="14" t="n"/>
      <c r="BA18" s="2" t="inlineStr">
        <is>
          <t>17/18</t>
        </is>
      </c>
      <c r="BB18" s="3" t="inlineStr"/>
      <c r="BC18" s="19" t="n">
        <v>0</v>
      </c>
    </row>
    <row r="19">
      <c r="A19" s="2">
        <f>COUNTIF($AY$2:$AY$22,"&gt;"&amp;AY19)+1</f>
        <v/>
      </c>
      <c r="B19" s="20" t="inlineStr">
        <is>
          <t>BBY</t>
        </is>
      </c>
      <c r="C19" s="2" t="inlineStr">
        <is>
          <t>Best Buy Co. Inc.</t>
        </is>
      </c>
      <c r="D19" s="2" t="inlineStr">
        <is>
          <t>NYSE</t>
        </is>
      </c>
      <c r="E19" s="2" t="inlineStr">
        <is>
          <t>非必需消費</t>
        </is>
      </c>
      <c r="F19" s="2" t="inlineStr">
        <is>
          <t>Consumer Electronics/Video Chains</t>
        </is>
      </c>
      <c r="G19" s="6" t="n">
        <v>18.982</v>
      </c>
      <c r="H19" s="2" t="inlineStr">
        <is>
          <t>大型</t>
        </is>
      </c>
      <c r="I19" s="7" t="n">
        <v>89.95999999999999</v>
      </c>
      <c r="J19" s="7" t="n">
        <v>90.51000000000001</v>
      </c>
      <c r="K19" s="8">
        <f>I19/J19-1</f>
        <v/>
      </c>
      <c r="L19" s="7" t="n">
        <v>90.44499999999999</v>
      </c>
      <c r="M19" s="7" t="n">
        <v>88.12</v>
      </c>
      <c r="N19" s="7" t="n">
        <v>90.1015000000003</v>
      </c>
      <c r="O19" s="8">
        <f>I19/N19-1</f>
        <v/>
      </c>
      <c r="P19" s="7" t="n">
        <v>87.39740000000016</v>
      </c>
      <c r="Q19" s="9">
        <f>I19/P19-1</f>
        <v/>
      </c>
      <c r="R19" s="7" t="n">
        <v>88.55750000000053</v>
      </c>
      <c r="S19" s="8">
        <f>N19/R19-1</f>
        <v/>
      </c>
      <c r="T19" s="7" t="n">
        <v>94.83</v>
      </c>
      <c r="U19" s="2" t="inlineStr">
        <is>
          <t>2026-09-14</t>
        </is>
      </c>
      <c r="V19" s="10" t="n">
        <v>10</v>
      </c>
      <c r="W19" s="9">
        <f>I19/T19-1</f>
        <v/>
      </c>
      <c r="X19" s="11" t="n">
        <v>0.09102204939109249</v>
      </c>
      <c r="Y19" s="2" t="inlineStr">
        <is>
          <t>2026-09-14</t>
        </is>
      </c>
      <c r="Z19" s="12" t="n">
        <v>-0.0219918647303351</v>
      </c>
      <c r="AA19" s="2" t="inlineStr">
        <is>
          <t>2026-06-17</t>
        </is>
      </c>
      <c r="AB19" s="13" t="n">
        <v>0.2972640218878251</v>
      </c>
      <c r="AC19" s="11" t="n">
        <v>0.07659167065581607</v>
      </c>
      <c r="AD19" s="11" t="n">
        <v>-0.002328934235333313</v>
      </c>
      <c r="AE19" s="11" t="n">
        <v>0.1586810922205049</v>
      </c>
      <c r="AF19" s="11" t="n">
        <v>0.4283899650682756</v>
      </c>
      <c r="AG19" s="11" t="n">
        <v>0.9248011569052784</v>
      </c>
      <c r="AH19" s="11" t="n">
        <v>0.6315979754157628</v>
      </c>
      <c r="AI19" s="11" t="n">
        <v>0.8546637744034707</v>
      </c>
      <c r="AJ19" s="11" t="n">
        <v>0.8329048843187661</v>
      </c>
      <c r="AK19" s="2" t="inlineStr">
        <is>
          <t>1個月</t>
        </is>
      </c>
      <c r="AL19" s="14">
        <f>(AG19&gt;=0.9)*(AC19&gt;0)+(AH19&gt;=0.9)*(AD19&gt;0)+(AI19&gt;=0.9)*(AE19&gt;0)+IF(AJ19="",0,(AJ19&gt;=0.9)*(AF19&gt;0))</f>
        <v/>
      </c>
      <c r="AM19" s="6" t="n">
        <v>0.8283726666351138</v>
      </c>
      <c r="AN19" s="6" t="n">
        <v>1.071899630046646</v>
      </c>
      <c r="AO19" s="11" t="n">
        <v>0.03322111414596964</v>
      </c>
      <c r="AP19" s="15">
        <f>MAX(0,MIN(1,(AM19-1.2)/(0.6-1.2)))</f>
        <v/>
      </c>
      <c r="AQ19" s="15">
        <f>MAX(0,MIN(1,(ABS(O19)-0.03)/(0-0.03)))</f>
        <v/>
      </c>
      <c r="AR19" s="15">
        <f>MAX(0,MIN(1,S19/0.03))</f>
        <v/>
      </c>
      <c r="AS19" s="15">
        <f>MAX(0,MIN(1,(-W19-0.3)/(0.15-0.3)))</f>
        <v/>
      </c>
      <c r="AT19" s="15">
        <f>0.5*IF(L19&gt;M19,(I19-M19)/(L19-M19),0.5)+0.5*(I19&gt;=N19)</f>
        <v/>
      </c>
      <c r="AU19" s="15">
        <f>MAX(0,MIN(1,(AN19-1.3)/(0.7-1.3)))</f>
        <v/>
      </c>
      <c r="AV19" s="16">
        <f>100*(0.2*AG19+0.2*AH19+0.3*AI19+IF(AJ19="",0,0.3*AJ19))/(0.7+IF(AJ19="",0,0.3))</f>
        <v/>
      </c>
      <c r="AW19" s="16">
        <f>100*(0.25*AP19+0.2*AQ19+0.15*AR19+0.15*AS19+0.15*AT19+0.1*AU19)</f>
        <v/>
      </c>
      <c r="AX19" s="17">
        <f>0.5*AV19+0.5*AW19</f>
        <v/>
      </c>
      <c r="AY19" s="17">
        <f>0.4*AV19+0.4*AW19+0.2*(AL19/4*100)</f>
        <v/>
      </c>
      <c r="AZ19" s="14" t="n"/>
      <c r="BA19" s="2" t="inlineStr">
        <is>
          <t>16/18</t>
        </is>
      </c>
      <c r="BB19" s="3" t="inlineStr"/>
      <c r="BC19" s="19" t="n">
        <v>0</v>
      </c>
    </row>
    <row r="20">
      <c r="A20" s="2">
        <f>COUNTIF($AY$2:$AY$22,"&gt;"&amp;AY20)+1</f>
        <v/>
      </c>
      <c r="B20" s="20" t="inlineStr">
        <is>
          <t>TH</t>
        </is>
      </c>
      <c r="C20" s="2" t="inlineStr">
        <is>
          <t>Target Hospitality Corp.</t>
        </is>
      </c>
      <c r="D20" s="2" t="inlineStr">
        <is>
          <t>NASDAQ</t>
        </is>
      </c>
      <c r="E20" s="2" t="inlineStr">
        <is>
          <t>非必需消費</t>
        </is>
      </c>
      <c r="F20" s="2" t="inlineStr">
        <is>
          <t>Hotels/Resorts</t>
        </is>
      </c>
      <c r="G20" s="6" t="n">
        <v>2.05</v>
      </c>
      <c r="H20" s="2" t="inlineStr">
        <is>
          <t>中型</t>
        </is>
      </c>
      <c r="I20" s="7" t="n">
        <v>19.3</v>
      </c>
      <c r="J20" s="7" t="n">
        <v>20.58</v>
      </c>
      <c r="K20" s="8">
        <f>I20/J20-1</f>
        <v/>
      </c>
      <c r="L20" s="7" t="n">
        <v>20.75</v>
      </c>
      <c r="M20" s="7" t="n">
        <v>18.94</v>
      </c>
      <c r="N20" s="7" t="n">
        <v>19.69350000000002</v>
      </c>
      <c r="O20" s="8">
        <f>I20/N20-1</f>
        <v/>
      </c>
      <c r="P20" s="7" t="n">
        <v>17.82760000000002</v>
      </c>
      <c r="Q20" s="9">
        <f>I20/P20-1</f>
        <v/>
      </c>
      <c r="R20" s="7" t="n">
        <v>18.98300000000004</v>
      </c>
      <c r="S20" s="8">
        <f>N20/R20-1</f>
        <v/>
      </c>
      <c r="T20" s="7" t="n">
        <v>21.45</v>
      </c>
      <c r="U20" s="2" t="inlineStr">
        <is>
          <t>2026-09-24</t>
        </is>
      </c>
      <c r="V20" s="10" t="n">
        <v>2</v>
      </c>
      <c r="W20" s="9">
        <f>I20/T20-1</f>
        <v/>
      </c>
      <c r="X20" s="11" t="n">
        <v>0.1334060952061122</v>
      </c>
      <c r="Y20" s="2" t="inlineStr">
        <is>
          <t>2026-09-08</t>
        </is>
      </c>
      <c r="Z20" s="12" t="n">
        <v>-0.03826135526950603</v>
      </c>
      <c r="AA20" s="2" t="inlineStr">
        <is>
          <t>2026-07-29</t>
        </is>
      </c>
      <c r="AB20" s="13" t="n">
        <v>0.493732590529248</v>
      </c>
      <c r="AC20" s="11" t="n">
        <v>0.01793248945147674</v>
      </c>
      <c r="AD20" s="11" t="n">
        <v>0.3440111420612815</v>
      </c>
      <c r="AE20" s="11" t="n">
        <v>-0.05577299412915848</v>
      </c>
      <c r="AF20" s="11" t="n">
        <v>1.008324661810614</v>
      </c>
      <c r="AG20" s="11" t="n">
        <v>0.8355025307302965</v>
      </c>
      <c r="AH20" s="11" t="n">
        <v>0.9399855386840202</v>
      </c>
      <c r="AI20" s="11" t="n">
        <v>0.4967462039045553</v>
      </c>
      <c r="AJ20" s="11" t="n">
        <v>0.9463826661770106</v>
      </c>
      <c r="AK20" s="2" t="inlineStr">
        <is>
          <t>2個月、6個月</t>
        </is>
      </c>
      <c r="AL20" s="14">
        <f>(AG20&gt;=0.9)*(AC20&gt;0)+(AH20&gt;=0.9)*(AD20&gt;0)+(AI20&gt;=0.9)*(AE20&gt;0)+IF(AJ20="",0,(AJ20&gt;=0.9)*(AF20&gt;0))</f>
        <v/>
      </c>
      <c r="AM20" s="6" t="n">
        <v>0.8137206179353516</v>
      </c>
      <c r="AN20" s="6" t="n">
        <v>1.149569960142648</v>
      </c>
      <c r="AO20" s="11" t="n">
        <v>0.05039970392301998</v>
      </c>
      <c r="AP20" s="15">
        <f>MAX(0,MIN(1,(AM20-1.2)/(0.6-1.2)))</f>
        <v/>
      </c>
      <c r="AQ20" s="15">
        <f>MAX(0,MIN(1,(ABS(O20)-0.03)/(0-0.03)))</f>
        <v/>
      </c>
      <c r="AR20" s="15">
        <f>MAX(0,MIN(1,S20/0.03))</f>
        <v/>
      </c>
      <c r="AS20" s="15">
        <f>MAX(0,MIN(1,(-W20-0.3)/(0.15-0.3)))</f>
        <v/>
      </c>
      <c r="AT20" s="15">
        <f>0.5*IF(L20&gt;M20,(I20-M20)/(L20-M20),0.5)+0.5*(I20&gt;=N20)</f>
        <v/>
      </c>
      <c r="AU20" s="15">
        <f>MAX(0,MIN(1,(AN20-1.3)/(0.7-1.3)))</f>
        <v/>
      </c>
      <c r="AV20" s="16">
        <f>100*(0.2*AG20+0.2*AH20+0.3*AI20+IF(AJ20="",0,0.3*AJ20))/(0.7+IF(AJ20="",0,0.3))</f>
        <v/>
      </c>
      <c r="AW20" s="16">
        <f>100*(0.25*AP20+0.2*AQ20+0.15*AR20+0.15*AS20+0.15*AT20+0.1*AU20)</f>
        <v/>
      </c>
      <c r="AX20" s="17">
        <f>0.5*AV20+0.5*AW20</f>
        <v/>
      </c>
      <c r="AY20" s="17">
        <f>0.4*AV20+0.4*AW20+0.2*(AL20/4*100)</f>
        <v/>
      </c>
      <c r="AZ20" s="14" t="n"/>
      <c r="BA20" s="2" t="inlineStr">
        <is>
          <t>17/18</t>
        </is>
      </c>
      <c r="BB20" s="3" t="inlineStr"/>
      <c r="BC20" s="19" t="n">
        <v>0</v>
      </c>
    </row>
    <row r="21">
      <c r="A21" s="2">
        <f>COUNTIF($AY$2:$AY$22,"&gt;"&amp;AY21)+1</f>
        <v/>
      </c>
      <c r="B21" s="5" t="inlineStr">
        <is>
          <t>DINO</t>
        </is>
      </c>
      <c r="C21" s="2" t="inlineStr">
        <is>
          <t>HF Sinclair Corporation</t>
        </is>
      </c>
      <c r="D21" s="2" t="inlineStr">
        <is>
          <t>NYSE</t>
        </is>
      </c>
      <c r="E21" s="2" t="inlineStr">
        <is>
          <t>能源</t>
        </is>
      </c>
      <c r="F21" s="2" t="inlineStr">
        <is>
          <t>Natural Gas Distribution</t>
        </is>
      </c>
      <c r="G21" s="6" t="n">
        <v>18.991</v>
      </c>
      <c r="H21" s="2" t="inlineStr">
        <is>
          <t>大型</t>
        </is>
      </c>
      <c r="I21" s="7" t="n">
        <v>106.2</v>
      </c>
      <c r="J21" s="7" t="n">
        <v>106.82</v>
      </c>
      <c r="K21" s="8">
        <f>I21/J21-1</f>
        <v/>
      </c>
      <c r="L21" s="7" t="n">
        <v>108.035</v>
      </c>
      <c r="M21" s="7" t="n">
        <v>105</v>
      </c>
      <c r="N21" s="7" t="n">
        <v>108.0895</v>
      </c>
      <c r="O21" s="8">
        <f>I21/N21-1</f>
        <v/>
      </c>
      <c r="P21" s="7" t="n">
        <v>97.83159999999997</v>
      </c>
      <c r="Q21" s="9">
        <f>I21/P21-1</f>
        <v/>
      </c>
      <c r="R21" s="7" t="n">
        <v>105.5899999999999</v>
      </c>
      <c r="S21" s="8">
        <f>N21/R21-1</f>
        <v/>
      </c>
      <c r="T21" s="7" t="n">
        <v>116.62</v>
      </c>
      <c r="U21" s="2" t="inlineStr">
        <is>
          <t>2026-09-17</t>
        </is>
      </c>
      <c r="V21" s="10" t="n">
        <v>7</v>
      </c>
      <c r="W21" s="9">
        <f>I21/T21-1</f>
        <v/>
      </c>
      <c r="X21" s="11" t="n">
        <v>0.1299748030321599</v>
      </c>
      <c r="Y21" s="2" t="inlineStr">
        <is>
          <t>2026-09-02</t>
        </is>
      </c>
      <c r="Z21" s="12" t="n">
        <v>-0.04328863731266996</v>
      </c>
      <c r="AA21" s="2" t="inlineStr">
        <is>
          <t>2026-06-18</t>
        </is>
      </c>
      <c r="AB21" s="13" t="n">
        <v>0.808062015503876</v>
      </c>
      <c r="AC21" s="11" t="n">
        <v>0.09484536082474238</v>
      </c>
      <c r="AD21" s="11" t="n">
        <v>0.1799999999999999</v>
      </c>
      <c r="AE21" s="11" t="n">
        <v>0.4997881655133456</v>
      </c>
      <c r="AF21" s="11" t="n">
        <v>0.6661437088170694</v>
      </c>
      <c r="AG21" s="11" t="n">
        <v>0.9378163412870572</v>
      </c>
      <c r="AH21" s="11" t="n">
        <v>0.8676789587852495</v>
      </c>
      <c r="AI21" s="11" t="n">
        <v>0.9674620390455532</v>
      </c>
      <c r="AJ21" s="11" t="n">
        <v>0.8982739625413148</v>
      </c>
      <c r="AK21" s="2" t="inlineStr">
        <is>
          <t>1個月、3個月</t>
        </is>
      </c>
      <c r="AL21" s="14">
        <f>(AG21&gt;=0.9)*(AC21&gt;0)+(AH21&gt;=0.9)*(AD21&gt;0)+(AI21&gt;=0.9)*(AE21&gt;0)+IF(AJ21="",0,(AJ21&gt;=0.9)*(AF21&gt;0))</f>
        <v/>
      </c>
      <c r="AM21" s="6" t="n">
        <v>1.54139363542467</v>
      </c>
      <c r="AN21" s="6" t="n">
        <v>1.009140381465632</v>
      </c>
      <c r="AO21" s="11" t="n">
        <v>0.04810667204735002</v>
      </c>
      <c r="AP21" s="15">
        <f>MAX(0,MIN(1,(AM21-1.2)/(0.6-1.2)))</f>
        <v/>
      </c>
      <c r="AQ21" s="15">
        <f>MAX(0,MIN(1,(ABS(O21)-0.03)/(0-0.03)))</f>
        <v/>
      </c>
      <c r="AR21" s="15">
        <f>MAX(0,MIN(1,S21/0.03))</f>
        <v/>
      </c>
      <c r="AS21" s="15">
        <f>MAX(0,MIN(1,(-W21-0.3)/(0.15-0.3)))</f>
        <v/>
      </c>
      <c r="AT21" s="15">
        <f>0.5*IF(L21&gt;M21,(I21-M21)/(L21-M21),0.5)+0.5*(I21&gt;=N21)</f>
        <v/>
      </c>
      <c r="AU21" s="15">
        <f>MAX(0,MIN(1,(AN21-1.3)/(0.7-1.3)))</f>
        <v/>
      </c>
      <c r="AV21" s="16">
        <f>100*(0.2*AG21+0.2*AH21+0.3*AI21+IF(AJ21="",0,0.3*AJ21))/(0.7+IF(AJ21="",0,0.3))</f>
        <v/>
      </c>
      <c r="AW21" s="16">
        <f>100*(0.25*AP21+0.2*AQ21+0.15*AR21+0.15*AS21+0.15*AT21+0.1*AU21)</f>
        <v/>
      </c>
      <c r="AX21" s="17">
        <f>0.5*AV21+0.5*AW21</f>
        <v/>
      </c>
      <c r="AY21" s="17">
        <f>0.4*AV21+0.4*AW21+0.2*(AL21/4*100)</f>
        <v/>
      </c>
      <c r="AZ21" s="14" t="n">
        <v>15</v>
      </c>
      <c r="BA21" s="2" t="inlineStr">
        <is>
          <t>18/18</t>
        </is>
      </c>
      <c r="BB21" s="18" t="inlineStr">
        <is>
          <t>同名單入面 VLO、MPC、PSX 同向（21 日相關系數中位數 +0.91，名單其餘 +0.07）：當一個交易睇</t>
        </is>
      </c>
      <c r="BC21" s="19" t="n">
        <v>0</v>
      </c>
    </row>
    <row r="22">
      <c r="A22" s="2">
        <f>COUNTIF($AY$2:$AY$22,"&gt;"&amp;AY22)+1</f>
        <v/>
      </c>
      <c r="B22" s="5" t="inlineStr">
        <is>
          <t>PSX</t>
        </is>
      </c>
      <c r="C22" s="2" t="inlineStr">
        <is>
          <t>Phillips 66</t>
        </is>
      </c>
      <c r="D22" s="2" t="inlineStr">
        <is>
          <t>NYSE</t>
        </is>
      </c>
      <c r="E22" s="2" t="inlineStr">
        <is>
          <t>能源</t>
        </is>
      </c>
      <c r="F22" s="2" t="inlineStr">
        <is>
          <t>Integrated oil Companies</t>
        </is>
      </c>
      <c r="G22" s="6" t="n">
        <v>102.05</v>
      </c>
      <c r="H22" s="2" t="inlineStr">
        <is>
          <t>大型</t>
        </is>
      </c>
      <c r="I22" s="7" t="n">
        <v>253.55</v>
      </c>
      <c r="J22" s="7" t="n">
        <v>255.75</v>
      </c>
      <c r="K22" s="8">
        <f>I22/J22-1</f>
        <v/>
      </c>
      <c r="L22" s="7" t="n">
        <v>259.11</v>
      </c>
      <c r="M22" s="7" t="n">
        <v>251.64</v>
      </c>
      <c r="N22" s="7" t="n">
        <v>258.8239999999998</v>
      </c>
      <c r="O22" s="8">
        <f>I22/N22-1</f>
        <v/>
      </c>
      <c r="P22" s="7" t="n">
        <v>236.7064000000001</v>
      </c>
      <c r="Q22" s="9">
        <f>I22/P22-1</f>
        <v/>
      </c>
      <c r="R22" s="7" t="n">
        <v>255.1479999999996</v>
      </c>
      <c r="S22" s="8">
        <f>N22/R22-1</f>
        <v/>
      </c>
      <c r="T22" s="7" t="n">
        <v>274.21</v>
      </c>
      <c r="U22" s="2" t="inlineStr">
        <is>
          <t>2026-09-17</t>
        </is>
      </c>
      <c r="V22" s="10" t="n">
        <v>7</v>
      </c>
      <c r="W22" s="9">
        <f>I22/T22-1</f>
        <v/>
      </c>
      <c r="X22" s="11" t="n">
        <v>0.08945842263566361</v>
      </c>
      <c r="Y22" s="2" t="inlineStr">
        <is>
          <t>2026-08-24</t>
        </is>
      </c>
      <c r="Z22" s="12" t="n">
        <v>-0.03196088981098966</v>
      </c>
      <c r="AA22" s="2" t="inlineStr">
        <is>
          <t>2026-06-18</t>
        </is>
      </c>
      <c r="AB22" s="13" t="n">
        <v>0.6504755025881788</v>
      </c>
      <c r="AC22" s="11" t="n">
        <v>0.057295358825737</v>
      </c>
      <c r="AD22" s="11" t="n">
        <v>0.2260045452347565</v>
      </c>
      <c r="AE22" s="11" t="n">
        <v>0.4567652973283538</v>
      </c>
      <c r="AF22" s="11" t="n">
        <v>0.3466645421712344</v>
      </c>
      <c r="AG22" s="11" t="n">
        <v>0.9049168474331164</v>
      </c>
      <c r="AH22" s="11" t="n">
        <v>0.8951554591467824</v>
      </c>
      <c r="AI22" s="11" t="n">
        <v>0.9616775126536515</v>
      </c>
      <c r="AJ22" s="11" t="n">
        <v>0.7822254865956666</v>
      </c>
      <c r="AK22" s="2" t="inlineStr">
        <is>
          <t>1個月、3個月</t>
        </is>
      </c>
      <c r="AL22" s="14">
        <f>(AG22&gt;=0.9)*(AC22&gt;0)+(AH22&gt;=0.9)*(AD22&gt;0)+(AI22&gt;=0.9)*(AE22&gt;0)+IF(AJ22="",0,(AJ22&gt;=0.9)*(AF22&gt;0))</f>
        <v/>
      </c>
      <c r="AM22" s="6" t="n">
        <v>1.651919598716738</v>
      </c>
      <c r="AN22" s="6" t="n">
        <v>1.065095592907064</v>
      </c>
      <c r="AO22" s="11" t="n">
        <v>0.03649885905851199</v>
      </c>
      <c r="AP22" s="15">
        <f>MAX(0,MIN(1,(AM22-1.2)/(0.6-1.2)))</f>
        <v/>
      </c>
      <c r="AQ22" s="15">
        <f>MAX(0,MIN(1,(ABS(O22)-0.03)/(0-0.03)))</f>
        <v/>
      </c>
      <c r="AR22" s="15">
        <f>MAX(0,MIN(1,S22/0.03))</f>
        <v/>
      </c>
      <c r="AS22" s="15">
        <f>MAX(0,MIN(1,(-W22-0.3)/(0.15-0.3)))</f>
        <v/>
      </c>
      <c r="AT22" s="15">
        <f>0.5*IF(L22&gt;M22,(I22-M22)/(L22-M22),0.5)+0.5*(I22&gt;=N22)</f>
        <v/>
      </c>
      <c r="AU22" s="15">
        <f>MAX(0,MIN(1,(AN22-1.3)/(0.7-1.3)))</f>
        <v/>
      </c>
      <c r="AV22" s="16">
        <f>100*(0.2*AG22+0.2*AH22+0.3*AI22+IF(AJ22="",0,0.3*AJ22))/(0.7+IF(AJ22="",0,0.3))</f>
        <v/>
      </c>
      <c r="AW22" s="16">
        <f>100*(0.25*AP22+0.2*AQ22+0.15*AR22+0.15*AS22+0.15*AT22+0.1*AU22)</f>
        <v/>
      </c>
      <c r="AX22" s="17">
        <f>0.5*AV22+0.5*AW22</f>
        <v/>
      </c>
      <c r="AY22" s="17">
        <f>0.4*AV22+0.4*AW22+0.2*(AL22/4*100)</f>
        <v/>
      </c>
      <c r="AZ22" s="14" t="n">
        <v>24</v>
      </c>
      <c r="BA22" s="2" t="inlineStr">
        <is>
          <t>16/18</t>
        </is>
      </c>
      <c r="BB22" s="18" t="inlineStr">
        <is>
          <t>同名單入面 VLO、MPC、DINO 同向（21 日相關系數中位數 +0.91，名單其餘 +0.07）：當一個交易睇</t>
        </is>
      </c>
      <c r="BC22" s="19" t="n">
        <v>0</v>
      </c>
    </row>
  </sheetData>
  <autoFilter ref="A1:BC2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1個月動能（21 個交易日回報排全體合資格股票前 10%）＋ 回到上升中嘅 20MA · 以綜合分數排序 · 2026-09-28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1個月回報</t>
        </is>
      </c>
      <c r="K3" s="4" t="inlineStr">
        <is>
          <t>1個月百分位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COUNTIF($O$4:$O$17,"&gt;"&amp;O4)+1</f>
        <v/>
      </c>
      <c r="B4" s="2">
        <f>'總表'!A2</f>
        <v/>
      </c>
      <c r="C4" s="5" t="inlineStr">
        <is>
          <t>IRD</t>
        </is>
      </c>
      <c r="D4" s="2">
        <f>'總表'!C2</f>
        <v/>
      </c>
      <c r="E4" s="2">
        <f>'總表'!E2</f>
        <v/>
      </c>
      <c r="F4" s="2">
        <f>'總表'!H2</f>
        <v/>
      </c>
      <c r="G4" s="22">
        <f>'總表'!I2</f>
        <v/>
      </c>
      <c r="H4" s="8">
        <f>'總表'!O2</f>
        <v/>
      </c>
      <c r="I4" s="9">
        <f>'總表'!W2</f>
        <v/>
      </c>
      <c r="J4" s="9">
        <f>'總表'!AC2</f>
        <v/>
      </c>
      <c r="K4" s="9">
        <f>'總表'!AG2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COUNTIF($O$4:$O$17,"&gt;"&amp;O5)+1</f>
        <v/>
      </c>
      <c r="B5" s="2">
        <f>'總表'!A6</f>
        <v/>
      </c>
      <c r="C5" s="5" t="inlineStr">
        <is>
          <t>TITN</t>
        </is>
      </c>
      <c r="D5" s="2">
        <f>'總表'!C6</f>
        <v/>
      </c>
      <c r="E5" s="2">
        <f>'總表'!E6</f>
        <v/>
      </c>
      <c r="F5" s="2">
        <f>'總表'!H6</f>
        <v/>
      </c>
      <c r="G5" s="22">
        <f>'總表'!I6</f>
        <v/>
      </c>
      <c r="H5" s="8">
        <f>'總表'!O6</f>
        <v/>
      </c>
      <c r="I5" s="9">
        <f>'總表'!W6</f>
        <v/>
      </c>
      <c r="J5" s="9">
        <f>'總表'!AC6</f>
        <v/>
      </c>
      <c r="K5" s="9">
        <f>'總表'!AG6</f>
        <v/>
      </c>
      <c r="L5" s="14">
        <f>'總表'!AL6</f>
        <v/>
      </c>
      <c r="M5" s="16">
        <f>'總表'!AV6</f>
        <v/>
      </c>
      <c r="N5" s="16">
        <f>'總表'!AW6</f>
        <v/>
      </c>
      <c r="O5" s="17">
        <f>'總表'!AX6</f>
        <v/>
      </c>
      <c r="P5" s="3">
        <f>'總表'!BB6</f>
        <v/>
      </c>
    </row>
    <row r="6">
      <c r="A6" s="2">
        <f>COUNTIF($O$4:$O$17,"&gt;"&amp;O6)+1</f>
        <v/>
      </c>
      <c r="B6" s="2">
        <f>'總表'!A3</f>
        <v/>
      </c>
      <c r="C6" s="5" t="inlineStr">
        <is>
          <t>TTRX</t>
        </is>
      </c>
      <c r="D6" s="2">
        <f>'總表'!C3</f>
        <v/>
      </c>
      <c r="E6" s="2">
        <f>'總表'!E3</f>
        <v/>
      </c>
      <c r="F6" s="2">
        <f>'總表'!H3</f>
        <v/>
      </c>
      <c r="G6" s="22">
        <f>'總表'!I3</f>
        <v/>
      </c>
      <c r="H6" s="8">
        <f>'總表'!O3</f>
        <v/>
      </c>
      <c r="I6" s="9">
        <f>'總表'!W3</f>
        <v/>
      </c>
      <c r="J6" s="9">
        <f>'總表'!AC3</f>
        <v/>
      </c>
      <c r="K6" s="9">
        <f>'總表'!AG3</f>
        <v/>
      </c>
      <c r="L6" s="14">
        <f>'總表'!AL3</f>
        <v/>
      </c>
      <c r="M6" s="16">
        <f>'總表'!AV3</f>
        <v/>
      </c>
      <c r="N6" s="16">
        <f>'總表'!AW3</f>
        <v/>
      </c>
      <c r="O6" s="17">
        <f>'總表'!AX3</f>
        <v/>
      </c>
      <c r="P6" s="3">
        <f>'總表'!BB3</f>
        <v/>
      </c>
    </row>
    <row r="7">
      <c r="A7" s="2">
        <f>COUNTIF($O$4:$O$17,"&gt;"&amp;O7)+1</f>
        <v/>
      </c>
      <c r="B7" s="2">
        <f>'總表'!A4</f>
        <v/>
      </c>
      <c r="C7" s="21" t="inlineStr">
        <is>
          <t>DELL</t>
        </is>
      </c>
      <c r="D7" s="2">
        <f>'總表'!C4</f>
        <v/>
      </c>
      <c r="E7" s="2">
        <f>'總表'!E4</f>
        <v/>
      </c>
      <c r="F7" s="2">
        <f>'總表'!H4</f>
        <v/>
      </c>
      <c r="G7" s="22">
        <f>'總表'!I4</f>
        <v/>
      </c>
      <c r="H7" s="8">
        <f>'總表'!O4</f>
        <v/>
      </c>
      <c r="I7" s="9">
        <f>'總表'!W4</f>
        <v/>
      </c>
      <c r="J7" s="9">
        <f>'總表'!AC4</f>
        <v/>
      </c>
      <c r="K7" s="9">
        <f>'總表'!AG4</f>
        <v/>
      </c>
      <c r="L7" s="14">
        <f>'總表'!AL4</f>
        <v/>
      </c>
      <c r="M7" s="16">
        <f>'總表'!AV4</f>
        <v/>
      </c>
      <c r="N7" s="16">
        <f>'總表'!AW4</f>
        <v/>
      </c>
      <c r="O7" s="17">
        <f>'總表'!AX4</f>
        <v/>
      </c>
      <c r="P7" s="3">
        <f>'總表'!BB4</f>
        <v/>
      </c>
    </row>
    <row r="8">
      <c r="A8" s="2">
        <f>COUNTIF($O$4:$O$17,"&gt;"&amp;O8)+1</f>
        <v/>
      </c>
      <c r="B8" s="2">
        <f>'總表'!A9</f>
        <v/>
      </c>
      <c r="C8" s="5" t="inlineStr">
        <is>
          <t>DHX</t>
        </is>
      </c>
      <c r="D8" s="2">
        <f>'總表'!C9</f>
        <v/>
      </c>
      <c r="E8" s="2">
        <f>'總表'!E9</f>
        <v/>
      </c>
      <c r="F8" s="2">
        <f>'總表'!H9</f>
        <v/>
      </c>
      <c r="G8" s="22">
        <f>'總表'!I9</f>
        <v/>
      </c>
      <c r="H8" s="8">
        <f>'總表'!O9</f>
        <v/>
      </c>
      <c r="I8" s="9">
        <f>'總表'!W9</f>
        <v/>
      </c>
      <c r="J8" s="9">
        <f>'總表'!AC9</f>
        <v/>
      </c>
      <c r="K8" s="9">
        <f>'總表'!AG9</f>
        <v/>
      </c>
      <c r="L8" s="14">
        <f>'總表'!AL9</f>
        <v/>
      </c>
      <c r="M8" s="16">
        <f>'總表'!AV9</f>
        <v/>
      </c>
      <c r="N8" s="16">
        <f>'總表'!AW9</f>
        <v/>
      </c>
      <c r="O8" s="17">
        <f>'總表'!AX9</f>
        <v/>
      </c>
      <c r="P8" s="3">
        <f>'總表'!BB9</f>
        <v/>
      </c>
    </row>
    <row r="9">
      <c r="A9" s="2">
        <f>COUNTIF($O$4:$O$17,"&gt;"&amp;O9)+1</f>
        <v/>
      </c>
      <c r="B9" s="2">
        <f>'總表'!A5</f>
        <v/>
      </c>
      <c r="C9" s="5" t="inlineStr">
        <is>
          <t>PLSE</t>
        </is>
      </c>
      <c r="D9" s="2">
        <f>'總表'!C5</f>
        <v/>
      </c>
      <c r="E9" s="2">
        <f>'總表'!E5</f>
        <v/>
      </c>
      <c r="F9" s="2">
        <f>'總表'!H5</f>
        <v/>
      </c>
      <c r="G9" s="22">
        <f>'總表'!I5</f>
        <v/>
      </c>
      <c r="H9" s="8">
        <f>'總表'!O5</f>
        <v/>
      </c>
      <c r="I9" s="9">
        <f>'總表'!W5</f>
        <v/>
      </c>
      <c r="J9" s="9">
        <f>'總表'!AC5</f>
        <v/>
      </c>
      <c r="K9" s="9">
        <f>'總表'!AG5</f>
        <v/>
      </c>
      <c r="L9" s="14">
        <f>'總表'!AL5</f>
        <v/>
      </c>
      <c r="M9" s="16">
        <f>'總表'!AV5</f>
        <v/>
      </c>
      <c r="N9" s="16">
        <f>'總表'!AW5</f>
        <v/>
      </c>
      <c r="O9" s="17">
        <f>'總表'!AX5</f>
        <v/>
      </c>
      <c r="P9" s="3">
        <f>'總表'!BB5</f>
        <v/>
      </c>
    </row>
    <row r="10">
      <c r="A10" s="2">
        <f>COUNTIF($O$4:$O$17,"&gt;"&amp;O10)+1</f>
        <v/>
      </c>
      <c r="B10" s="2">
        <f>'總表'!A19</f>
        <v/>
      </c>
      <c r="C10" s="21" t="inlineStr">
        <is>
          <t>BBY</t>
        </is>
      </c>
      <c r="D10" s="2">
        <f>'總表'!C19</f>
        <v/>
      </c>
      <c r="E10" s="2">
        <f>'總表'!E19</f>
        <v/>
      </c>
      <c r="F10" s="2">
        <f>'總表'!H19</f>
        <v/>
      </c>
      <c r="G10" s="22">
        <f>'總表'!I19</f>
        <v/>
      </c>
      <c r="H10" s="8">
        <f>'總表'!O19</f>
        <v/>
      </c>
      <c r="I10" s="9">
        <f>'總表'!W19</f>
        <v/>
      </c>
      <c r="J10" s="9">
        <f>'總表'!AC19</f>
        <v/>
      </c>
      <c r="K10" s="9">
        <f>'總表'!AG19</f>
        <v/>
      </c>
      <c r="L10" s="14">
        <f>'總表'!AL19</f>
        <v/>
      </c>
      <c r="M10" s="16">
        <f>'總表'!AV19</f>
        <v/>
      </c>
      <c r="N10" s="16">
        <f>'總表'!AW19</f>
        <v/>
      </c>
      <c r="O10" s="17">
        <f>'總表'!AX19</f>
        <v/>
      </c>
      <c r="P10" s="3">
        <f>'總表'!BB19</f>
        <v/>
      </c>
    </row>
    <row r="11">
      <c r="A11" s="2">
        <f>COUNTIF($O$4:$O$17,"&gt;"&amp;O11)+1</f>
        <v/>
      </c>
      <c r="B11" s="2">
        <f>'總表'!A15</f>
        <v/>
      </c>
      <c r="C11" s="5" t="inlineStr">
        <is>
          <t>IBTA</t>
        </is>
      </c>
      <c r="D11" s="2">
        <f>'總表'!C15</f>
        <v/>
      </c>
      <c r="E11" s="2">
        <f>'總表'!E15</f>
        <v/>
      </c>
      <c r="F11" s="2">
        <f>'總表'!H15</f>
        <v/>
      </c>
      <c r="G11" s="22">
        <f>'總表'!I15</f>
        <v/>
      </c>
      <c r="H11" s="8">
        <f>'總表'!O15</f>
        <v/>
      </c>
      <c r="I11" s="9">
        <f>'總表'!W15</f>
        <v/>
      </c>
      <c r="J11" s="9">
        <f>'總表'!AC15</f>
        <v/>
      </c>
      <c r="K11" s="9">
        <f>'總表'!AG15</f>
        <v/>
      </c>
      <c r="L11" s="14">
        <f>'總表'!AL15</f>
        <v/>
      </c>
      <c r="M11" s="16">
        <f>'總表'!AV15</f>
        <v/>
      </c>
      <c r="N11" s="16">
        <f>'總表'!AW15</f>
        <v/>
      </c>
      <c r="O11" s="17">
        <f>'總表'!AX15</f>
        <v/>
      </c>
      <c r="P11" s="3">
        <f>'總表'!BB15</f>
        <v/>
      </c>
    </row>
    <row r="12">
      <c r="A12" s="2">
        <f>COUNTIF($O$4:$O$17,"&gt;"&amp;O12)+1</f>
        <v/>
      </c>
      <c r="B12" s="2">
        <f>'總表'!A10</f>
        <v/>
      </c>
      <c r="C12" s="5" t="inlineStr">
        <is>
          <t>VLO</t>
        </is>
      </c>
      <c r="D12" s="2">
        <f>'總表'!C10</f>
        <v/>
      </c>
      <c r="E12" s="2">
        <f>'總表'!E10</f>
        <v/>
      </c>
      <c r="F12" s="2">
        <f>'總表'!H10</f>
        <v/>
      </c>
      <c r="G12" s="22">
        <f>'總表'!I10</f>
        <v/>
      </c>
      <c r="H12" s="8">
        <f>'總表'!O10</f>
        <v/>
      </c>
      <c r="I12" s="9">
        <f>'總表'!W10</f>
        <v/>
      </c>
      <c r="J12" s="9">
        <f>'總表'!AC10</f>
        <v/>
      </c>
      <c r="K12" s="9">
        <f>'總表'!AG10</f>
        <v/>
      </c>
      <c r="L12" s="14">
        <f>'總表'!AL10</f>
        <v/>
      </c>
      <c r="M12" s="16">
        <f>'總表'!AV10</f>
        <v/>
      </c>
      <c r="N12" s="16">
        <f>'總表'!AW10</f>
        <v/>
      </c>
      <c r="O12" s="17">
        <f>'總表'!AX10</f>
        <v/>
      </c>
      <c r="P12" s="3">
        <f>'總表'!BB10</f>
        <v/>
      </c>
    </row>
    <row r="13">
      <c r="A13" s="2">
        <f>COUNTIF($O$4:$O$17,"&gt;"&amp;O13)+1</f>
        <v/>
      </c>
      <c r="B13" s="2">
        <f>'總表'!A17</f>
        <v/>
      </c>
      <c r="C13" s="21" t="inlineStr">
        <is>
          <t>LPG</t>
        </is>
      </c>
      <c r="D13" s="2">
        <f>'總表'!C17</f>
        <v/>
      </c>
      <c r="E13" s="2">
        <f>'總表'!E17</f>
        <v/>
      </c>
      <c r="F13" s="2">
        <f>'總表'!H17</f>
        <v/>
      </c>
      <c r="G13" s="22">
        <f>'總表'!I17</f>
        <v/>
      </c>
      <c r="H13" s="8">
        <f>'總表'!O17</f>
        <v/>
      </c>
      <c r="I13" s="9">
        <f>'總表'!W17</f>
        <v/>
      </c>
      <c r="J13" s="9">
        <f>'總表'!AC17</f>
        <v/>
      </c>
      <c r="K13" s="9">
        <f>'總表'!AG17</f>
        <v/>
      </c>
      <c r="L13" s="14">
        <f>'總表'!AL17</f>
        <v/>
      </c>
      <c r="M13" s="16">
        <f>'總表'!AV17</f>
        <v/>
      </c>
      <c r="N13" s="16">
        <f>'總表'!AW17</f>
        <v/>
      </c>
      <c r="O13" s="17">
        <f>'總表'!AX17</f>
        <v/>
      </c>
      <c r="P13" s="3">
        <f>'總表'!BB17</f>
        <v/>
      </c>
    </row>
    <row r="14">
      <c r="A14" s="2">
        <f>COUNTIF($O$4:$O$17,"&gt;"&amp;O14)+1</f>
        <v/>
      </c>
      <c r="B14" s="2">
        <f>'總表'!A21</f>
        <v/>
      </c>
      <c r="C14" s="5" t="inlineStr">
        <is>
          <t>DINO</t>
        </is>
      </c>
      <c r="D14" s="2">
        <f>'總表'!C21</f>
        <v/>
      </c>
      <c r="E14" s="2">
        <f>'總表'!E21</f>
        <v/>
      </c>
      <c r="F14" s="2">
        <f>'總表'!H21</f>
        <v/>
      </c>
      <c r="G14" s="22">
        <f>'總表'!I21</f>
        <v/>
      </c>
      <c r="H14" s="8">
        <f>'總表'!O21</f>
        <v/>
      </c>
      <c r="I14" s="9">
        <f>'總表'!W21</f>
        <v/>
      </c>
      <c r="J14" s="9">
        <f>'總表'!AC21</f>
        <v/>
      </c>
      <c r="K14" s="9">
        <f>'總表'!AG21</f>
        <v/>
      </c>
      <c r="L14" s="14">
        <f>'總表'!AL21</f>
        <v/>
      </c>
      <c r="M14" s="16">
        <f>'總表'!AV21</f>
        <v/>
      </c>
      <c r="N14" s="16">
        <f>'總表'!AW21</f>
        <v/>
      </c>
      <c r="O14" s="17">
        <f>'總表'!AX21</f>
        <v/>
      </c>
      <c r="P14" s="3">
        <f>'總表'!BB21</f>
        <v/>
      </c>
    </row>
    <row r="15">
      <c r="A15" s="2">
        <f>COUNTIF($O$4:$O$17,"&gt;"&amp;O15)+1</f>
        <v/>
      </c>
      <c r="B15" s="2">
        <f>'總表'!A13</f>
        <v/>
      </c>
      <c r="C15" s="5" t="inlineStr">
        <is>
          <t>MPC</t>
        </is>
      </c>
      <c r="D15" s="2">
        <f>'總表'!C13</f>
        <v/>
      </c>
      <c r="E15" s="2">
        <f>'總表'!E13</f>
        <v/>
      </c>
      <c r="F15" s="2">
        <f>'總表'!H13</f>
        <v/>
      </c>
      <c r="G15" s="22">
        <f>'總表'!I13</f>
        <v/>
      </c>
      <c r="H15" s="8">
        <f>'總表'!O13</f>
        <v/>
      </c>
      <c r="I15" s="9">
        <f>'總表'!W13</f>
        <v/>
      </c>
      <c r="J15" s="9">
        <f>'總表'!AC13</f>
        <v/>
      </c>
      <c r="K15" s="9">
        <f>'總表'!AG13</f>
        <v/>
      </c>
      <c r="L15" s="14">
        <f>'總表'!AL13</f>
        <v/>
      </c>
      <c r="M15" s="16">
        <f>'總表'!AV13</f>
        <v/>
      </c>
      <c r="N15" s="16">
        <f>'總表'!AW13</f>
        <v/>
      </c>
      <c r="O15" s="17">
        <f>'總表'!AX13</f>
        <v/>
      </c>
      <c r="P15" s="3">
        <f>'總表'!BB13</f>
        <v/>
      </c>
    </row>
    <row r="16">
      <c r="A16" s="2">
        <f>COUNTIF($O$4:$O$17,"&gt;"&amp;O16)+1</f>
        <v/>
      </c>
      <c r="B16" s="2">
        <f>'總表'!A14</f>
        <v/>
      </c>
      <c r="C16" s="5" t="inlineStr">
        <is>
          <t>KGEI</t>
        </is>
      </c>
      <c r="D16" s="2">
        <f>'總表'!C14</f>
        <v/>
      </c>
      <c r="E16" s="2">
        <f>'總表'!E14</f>
        <v/>
      </c>
      <c r="F16" s="2">
        <f>'總表'!H14</f>
        <v/>
      </c>
      <c r="G16" s="22">
        <f>'總表'!I14</f>
        <v/>
      </c>
      <c r="H16" s="8">
        <f>'總表'!O14</f>
        <v/>
      </c>
      <c r="I16" s="9">
        <f>'總表'!W14</f>
        <v/>
      </c>
      <c r="J16" s="9">
        <f>'總表'!AC14</f>
        <v/>
      </c>
      <c r="K16" s="9">
        <f>'總表'!AG14</f>
        <v/>
      </c>
      <c r="L16" s="14">
        <f>'總表'!AL14</f>
        <v/>
      </c>
      <c r="M16" s="16">
        <f>'總表'!AV14</f>
        <v/>
      </c>
      <c r="N16" s="16">
        <f>'總表'!AW14</f>
        <v/>
      </c>
      <c r="O16" s="17">
        <f>'總表'!AX14</f>
        <v/>
      </c>
      <c r="P16" s="3">
        <f>'總表'!BB14</f>
        <v/>
      </c>
    </row>
    <row r="17">
      <c r="A17" s="2">
        <f>COUNTIF($O$4:$O$17,"&gt;"&amp;O17)+1</f>
        <v/>
      </c>
      <c r="B17" s="2">
        <f>'總表'!A22</f>
        <v/>
      </c>
      <c r="C17" s="5" t="inlineStr">
        <is>
          <t>PSX</t>
        </is>
      </c>
      <c r="D17" s="2">
        <f>'總表'!C22</f>
        <v/>
      </c>
      <c r="E17" s="2">
        <f>'總表'!E22</f>
        <v/>
      </c>
      <c r="F17" s="2">
        <f>'總表'!H22</f>
        <v/>
      </c>
      <c r="G17" s="22">
        <f>'總表'!I22</f>
        <v/>
      </c>
      <c r="H17" s="8">
        <f>'總表'!O22</f>
        <v/>
      </c>
      <c r="I17" s="9">
        <f>'總表'!W22</f>
        <v/>
      </c>
      <c r="J17" s="9">
        <f>'總表'!AC22</f>
        <v/>
      </c>
      <c r="K17" s="9">
        <f>'總表'!AG22</f>
        <v/>
      </c>
      <c r="L17" s="14">
        <f>'總表'!AL22</f>
        <v/>
      </c>
      <c r="M17" s="16">
        <f>'總表'!AV22</f>
        <v/>
      </c>
      <c r="N17" s="16">
        <f>'總表'!AW22</f>
        <v/>
      </c>
      <c r="O17" s="17">
        <f>'總表'!AX22</f>
        <v/>
      </c>
      <c r="P17" s="3">
        <f>'總表'!BB22</f>
        <v/>
      </c>
    </row>
  </sheetData>
  <autoFilter ref="A3:P17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2個月動能（42 個交易日回報排全體合資格股票前 10%）＋ 回到上升中嘅 20MA · 以綜合分數排序 · 2026-09-28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2個月回報</t>
        </is>
      </c>
      <c r="K3" s="4" t="inlineStr">
        <is>
          <t>2個月百分位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COUNTIF($O$4:$O$18,"&gt;"&amp;O4)+1</f>
        <v/>
      </c>
      <c r="B4" s="2">
        <f>'總表'!A2</f>
        <v/>
      </c>
      <c r="C4" s="5" t="inlineStr">
        <is>
          <t>IRD</t>
        </is>
      </c>
      <c r="D4" s="2">
        <f>'總表'!C2</f>
        <v/>
      </c>
      <c r="E4" s="2">
        <f>'總表'!E2</f>
        <v/>
      </c>
      <c r="F4" s="2">
        <f>'總表'!H2</f>
        <v/>
      </c>
      <c r="G4" s="22">
        <f>'總表'!I2</f>
        <v/>
      </c>
      <c r="H4" s="8">
        <f>'總表'!O2</f>
        <v/>
      </c>
      <c r="I4" s="9">
        <f>'總表'!W2</f>
        <v/>
      </c>
      <c r="J4" s="9">
        <f>'總表'!AD2</f>
        <v/>
      </c>
      <c r="K4" s="9">
        <f>'總表'!AH2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COUNTIF($O$4:$O$18,"&gt;"&amp;O5)+1</f>
        <v/>
      </c>
      <c r="B5" s="2">
        <f>'總表'!A6</f>
        <v/>
      </c>
      <c r="C5" s="5" t="inlineStr">
        <is>
          <t>TITN</t>
        </is>
      </c>
      <c r="D5" s="2">
        <f>'總表'!C6</f>
        <v/>
      </c>
      <c r="E5" s="2">
        <f>'總表'!E6</f>
        <v/>
      </c>
      <c r="F5" s="2">
        <f>'總表'!H6</f>
        <v/>
      </c>
      <c r="G5" s="22">
        <f>'總表'!I6</f>
        <v/>
      </c>
      <c r="H5" s="8">
        <f>'總表'!O6</f>
        <v/>
      </c>
      <c r="I5" s="9">
        <f>'總表'!W6</f>
        <v/>
      </c>
      <c r="J5" s="9">
        <f>'總表'!AD6</f>
        <v/>
      </c>
      <c r="K5" s="9">
        <f>'總表'!AH6</f>
        <v/>
      </c>
      <c r="L5" s="14">
        <f>'總表'!AL6</f>
        <v/>
      </c>
      <c r="M5" s="16">
        <f>'總表'!AV6</f>
        <v/>
      </c>
      <c r="N5" s="16">
        <f>'總表'!AW6</f>
        <v/>
      </c>
      <c r="O5" s="17">
        <f>'總表'!AX6</f>
        <v/>
      </c>
      <c r="P5" s="3">
        <f>'總表'!BB6</f>
        <v/>
      </c>
    </row>
    <row r="6">
      <c r="A6" s="2">
        <f>COUNTIF($O$4:$O$18,"&gt;"&amp;O6)+1</f>
        <v/>
      </c>
      <c r="B6" s="2">
        <f>'總表'!A3</f>
        <v/>
      </c>
      <c r="C6" s="5" t="inlineStr">
        <is>
          <t>TTRX</t>
        </is>
      </c>
      <c r="D6" s="2">
        <f>'總表'!C3</f>
        <v/>
      </c>
      <c r="E6" s="2">
        <f>'總表'!E3</f>
        <v/>
      </c>
      <c r="F6" s="2">
        <f>'總表'!H3</f>
        <v/>
      </c>
      <c r="G6" s="22">
        <f>'總表'!I3</f>
        <v/>
      </c>
      <c r="H6" s="8">
        <f>'總表'!O3</f>
        <v/>
      </c>
      <c r="I6" s="9">
        <f>'總表'!W3</f>
        <v/>
      </c>
      <c r="J6" s="9">
        <f>'總表'!AD3</f>
        <v/>
      </c>
      <c r="K6" s="9">
        <f>'總表'!AH3</f>
        <v/>
      </c>
      <c r="L6" s="14">
        <f>'總表'!AL3</f>
        <v/>
      </c>
      <c r="M6" s="16">
        <f>'總表'!AV3</f>
        <v/>
      </c>
      <c r="N6" s="16">
        <f>'總表'!AW3</f>
        <v/>
      </c>
      <c r="O6" s="17">
        <f>'總表'!AX3</f>
        <v/>
      </c>
      <c r="P6" s="3">
        <f>'總表'!BB3</f>
        <v/>
      </c>
    </row>
    <row r="7">
      <c r="A7" s="2">
        <f>COUNTIF($O$4:$O$18,"&gt;"&amp;O7)+1</f>
        <v/>
      </c>
      <c r="B7" s="2">
        <f>'總表'!A4</f>
        <v/>
      </c>
      <c r="C7" s="21" t="inlineStr">
        <is>
          <t>DELL</t>
        </is>
      </c>
      <c r="D7" s="2">
        <f>'總表'!C4</f>
        <v/>
      </c>
      <c r="E7" s="2">
        <f>'總表'!E4</f>
        <v/>
      </c>
      <c r="F7" s="2">
        <f>'總表'!H4</f>
        <v/>
      </c>
      <c r="G7" s="22">
        <f>'總表'!I4</f>
        <v/>
      </c>
      <c r="H7" s="8">
        <f>'總表'!O4</f>
        <v/>
      </c>
      <c r="I7" s="9">
        <f>'總表'!W4</f>
        <v/>
      </c>
      <c r="J7" s="9">
        <f>'總表'!AD4</f>
        <v/>
      </c>
      <c r="K7" s="9">
        <f>'總表'!AH4</f>
        <v/>
      </c>
      <c r="L7" s="14">
        <f>'總表'!AL4</f>
        <v/>
      </c>
      <c r="M7" s="16">
        <f>'總表'!AV4</f>
        <v/>
      </c>
      <c r="N7" s="16">
        <f>'總表'!AW4</f>
        <v/>
      </c>
      <c r="O7" s="17">
        <f>'總表'!AX4</f>
        <v/>
      </c>
      <c r="P7" s="3">
        <f>'總表'!BB4</f>
        <v/>
      </c>
    </row>
    <row r="8">
      <c r="A8" s="2">
        <f>COUNTIF($O$4:$O$18,"&gt;"&amp;O8)+1</f>
        <v/>
      </c>
      <c r="B8" s="2">
        <f>'總表'!A5</f>
        <v/>
      </c>
      <c r="C8" s="5" t="inlineStr">
        <is>
          <t>PLSE</t>
        </is>
      </c>
      <c r="D8" s="2">
        <f>'總表'!C5</f>
        <v/>
      </c>
      <c r="E8" s="2">
        <f>'總表'!E5</f>
        <v/>
      </c>
      <c r="F8" s="2">
        <f>'總表'!H5</f>
        <v/>
      </c>
      <c r="G8" s="22">
        <f>'總表'!I5</f>
        <v/>
      </c>
      <c r="H8" s="8">
        <f>'總表'!O5</f>
        <v/>
      </c>
      <c r="I8" s="9">
        <f>'總表'!W5</f>
        <v/>
      </c>
      <c r="J8" s="9">
        <f>'總表'!AD5</f>
        <v/>
      </c>
      <c r="K8" s="9">
        <f>'總表'!AH5</f>
        <v/>
      </c>
      <c r="L8" s="14">
        <f>'總表'!AL5</f>
        <v/>
      </c>
      <c r="M8" s="16">
        <f>'總表'!AV5</f>
        <v/>
      </c>
      <c r="N8" s="16">
        <f>'總表'!AW5</f>
        <v/>
      </c>
      <c r="O8" s="17">
        <f>'總表'!AX5</f>
        <v/>
      </c>
      <c r="P8" s="3">
        <f>'總表'!BB5</f>
        <v/>
      </c>
    </row>
    <row r="9">
      <c r="A9" s="2">
        <f>COUNTIF($O$4:$O$18,"&gt;"&amp;O9)+1</f>
        <v/>
      </c>
      <c r="B9" s="2">
        <f>'總表'!A7</f>
        <v/>
      </c>
      <c r="C9" s="21" t="inlineStr">
        <is>
          <t>ESTC</t>
        </is>
      </c>
      <c r="D9" s="2">
        <f>'總表'!C7</f>
        <v/>
      </c>
      <c r="E9" s="2">
        <f>'總表'!E7</f>
        <v/>
      </c>
      <c r="F9" s="2">
        <f>'總表'!H7</f>
        <v/>
      </c>
      <c r="G9" s="22">
        <f>'總表'!I7</f>
        <v/>
      </c>
      <c r="H9" s="8">
        <f>'總表'!O7</f>
        <v/>
      </c>
      <c r="I9" s="9">
        <f>'總表'!W7</f>
        <v/>
      </c>
      <c r="J9" s="9">
        <f>'總表'!AD7</f>
        <v/>
      </c>
      <c r="K9" s="9">
        <f>'總表'!AH7</f>
        <v/>
      </c>
      <c r="L9" s="14">
        <f>'總表'!AL7</f>
        <v/>
      </c>
      <c r="M9" s="16">
        <f>'總表'!AV7</f>
        <v/>
      </c>
      <c r="N9" s="16">
        <f>'總表'!AW7</f>
        <v/>
      </c>
      <c r="O9" s="17">
        <f>'總表'!AX7</f>
        <v/>
      </c>
      <c r="P9" s="3">
        <f>'總表'!BB7</f>
        <v/>
      </c>
    </row>
    <row r="10">
      <c r="A10" s="2">
        <f>COUNTIF($O$4:$O$18,"&gt;"&amp;O10)+1</f>
        <v/>
      </c>
      <c r="B10" s="2">
        <f>'總表'!A16</f>
        <v/>
      </c>
      <c r="C10" s="21" t="inlineStr">
        <is>
          <t>ELMT</t>
        </is>
      </c>
      <c r="D10" s="2">
        <f>'總表'!C16</f>
        <v/>
      </c>
      <c r="E10" s="2">
        <f>'總表'!E16</f>
        <v/>
      </c>
      <c r="F10" s="2">
        <f>'總表'!H16</f>
        <v/>
      </c>
      <c r="G10" s="22">
        <f>'總表'!I16</f>
        <v/>
      </c>
      <c r="H10" s="8">
        <f>'總表'!O16</f>
        <v/>
      </c>
      <c r="I10" s="9">
        <f>'總表'!W16</f>
        <v/>
      </c>
      <c r="J10" s="9">
        <f>'總表'!AD16</f>
        <v/>
      </c>
      <c r="K10" s="9">
        <f>'總表'!AH16</f>
        <v/>
      </c>
      <c r="L10" s="14">
        <f>'總表'!AL16</f>
        <v/>
      </c>
      <c r="M10" s="16">
        <f>'總表'!AV16</f>
        <v/>
      </c>
      <c r="N10" s="16">
        <f>'總表'!AW16</f>
        <v/>
      </c>
      <c r="O10" s="17">
        <f>'總表'!AX16</f>
        <v/>
      </c>
      <c r="P10" s="3">
        <f>'總表'!BB16</f>
        <v/>
      </c>
    </row>
    <row r="11">
      <c r="A11" s="2">
        <f>COUNTIF($O$4:$O$18,"&gt;"&amp;O11)+1</f>
        <v/>
      </c>
      <c r="B11" s="2">
        <f>'總表'!A8</f>
        <v/>
      </c>
      <c r="C11" s="21" t="inlineStr">
        <is>
          <t>FIVN</t>
        </is>
      </c>
      <c r="D11" s="2">
        <f>'總表'!C8</f>
        <v/>
      </c>
      <c r="E11" s="2">
        <f>'總表'!E8</f>
        <v/>
      </c>
      <c r="F11" s="2">
        <f>'總表'!H8</f>
        <v/>
      </c>
      <c r="G11" s="22">
        <f>'總表'!I8</f>
        <v/>
      </c>
      <c r="H11" s="8">
        <f>'總表'!O8</f>
        <v/>
      </c>
      <c r="I11" s="9">
        <f>'總表'!W8</f>
        <v/>
      </c>
      <c r="J11" s="9">
        <f>'總表'!AD8</f>
        <v/>
      </c>
      <c r="K11" s="9">
        <f>'總表'!AH8</f>
        <v/>
      </c>
      <c r="L11" s="14">
        <f>'總表'!AL8</f>
        <v/>
      </c>
      <c r="M11" s="16">
        <f>'總表'!AV8</f>
        <v/>
      </c>
      <c r="N11" s="16">
        <f>'總表'!AW8</f>
        <v/>
      </c>
      <c r="O11" s="17">
        <f>'總表'!AX8</f>
        <v/>
      </c>
      <c r="P11" s="3">
        <f>'總表'!BB8</f>
        <v/>
      </c>
    </row>
    <row r="12">
      <c r="A12" s="2">
        <f>COUNTIF($O$4:$O$18,"&gt;"&amp;O12)+1</f>
        <v/>
      </c>
      <c r="B12" s="2">
        <f>'總表'!A15</f>
        <v/>
      </c>
      <c r="C12" s="5" t="inlineStr">
        <is>
          <t>IBTA</t>
        </is>
      </c>
      <c r="D12" s="2">
        <f>'總表'!C15</f>
        <v/>
      </c>
      <c r="E12" s="2">
        <f>'總表'!E15</f>
        <v/>
      </c>
      <c r="F12" s="2">
        <f>'總表'!H15</f>
        <v/>
      </c>
      <c r="G12" s="22">
        <f>'總表'!I15</f>
        <v/>
      </c>
      <c r="H12" s="8">
        <f>'總表'!O15</f>
        <v/>
      </c>
      <c r="I12" s="9">
        <f>'總表'!W15</f>
        <v/>
      </c>
      <c r="J12" s="9">
        <f>'總表'!AD15</f>
        <v/>
      </c>
      <c r="K12" s="9">
        <f>'總表'!AH15</f>
        <v/>
      </c>
      <c r="L12" s="14">
        <f>'總表'!AL15</f>
        <v/>
      </c>
      <c r="M12" s="16">
        <f>'總表'!AV15</f>
        <v/>
      </c>
      <c r="N12" s="16">
        <f>'總表'!AW15</f>
        <v/>
      </c>
      <c r="O12" s="17">
        <f>'總表'!AX15</f>
        <v/>
      </c>
      <c r="P12" s="3">
        <f>'總表'!BB15</f>
        <v/>
      </c>
    </row>
    <row r="13">
      <c r="A13" s="2">
        <f>COUNTIF($O$4:$O$18,"&gt;"&amp;O13)+1</f>
        <v/>
      </c>
      <c r="B13" s="2">
        <f>'總表'!A10</f>
        <v/>
      </c>
      <c r="C13" s="5" t="inlineStr">
        <is>
          <t>VLO</t>
        </is>
      </c>
      <c r="D13" s="2">
        <f>'總表'!C10</f>
        <v/>
      </c>
      <c r="E13" s="2">
        <f>'總表'!E10</f>
        <v/>
      </c>
      <c r="F13" s="2">
        <f>'總表'!H10</f>
        <v/>
      </c>
      <c r="G13" s="22">
        <f>'總表'!I10</f>
        <v/>
      </c>
      <c r="H13" s="8">
        <f>'總表'!O10</f>
        <v/>
      </c>
      <c r="I13" s="9">
        <f>'總表'!W10</f>
        <v/>
      </c>
      <c r="J13" s="9">
        <f>'總表'!AD10</f>
        <v/>
      </c>
      <c r="K13" s="9">
        <f>'總表'!AH10</f>
        <v/>
      </c>
      <c r="L13" s="14">
        <f>'總表'!AL10</f>
        <v/>
      </c>
      <c r="M13" s="16">
        <f>'總表'!AV10</f>
        <v/>
      </c>
      <c r="N13" s="16">
        <f>'總表'!AW10</f>
        <v/>
      </c>
      <c r="O13" s="17">
        <f>'總表'!AX10</f>
        <v/>
      </c>
      <c r="P13" s="3">
        <f>'總表'!BB10</f>
        <v/>
      </c>
    </row>
    <row r="14">
      <c r="A14" s="2">
        <f>COUNTIF($O$4:$O$18,"&gt;"&amp;O14)+1</f>
        <v/>
      </c>
      <c r="B14" s="2">
        <f>'總表'!A11</f>
        <v/>
      </c>
      <c r="C14" s="5" t="inlineStr">
        <is>
          <t>PURR</t>
        </is>
      </c>
      <c r="D14" s="2">
        <f>'總表'!C11</f>
        <v/>
      </c>
      <c r="E14" s="2">
        <f>'總表'!E11</f>
        <v/>
      </c>
      <c r="F14" s="2">
        <f>'總表'!H11</f>
        <v/>
      </c>
      <c r="G14" s="22">
        <f>'總表'!I11</f>
        <v/>
      </c>
      <c r="H14" s="8">
        <f>'總表'!O11</f>
        <v/>
      </c>
      <c r="I14" s="9">
        <f>'總表'!W11</f>
        <v/>
      </c>
      <c r="J14" s="9">
        <f>'總表'!AD11</f>
        <v/>
      </c>
      <c r="K14" s="9">
        <f>'總表'!AH11</f>
        <v/>
      </c>
      <c r="L14" s="14">
        <f>'總表'!AL11</f>
        <v/>
      </c>
      <c r="M14" s="16">
        <f>'總表'!AV11</f>
        <v/>
      </c>
      <c r="N14" s="16">
        <f>'總表'!AW11</f>
        <v/>
      </c>
      <c r="O14" s="17">
        <f>'總表'!AX11</f>
        <v/>
      </c>
      <c r="P14" s="3">
        <f>'總表'!BB11</f>
        <v/>
      </c>
    </row>
    <row r="15">
      <c r="A15" s="2">
        <f>COUNTIF($O$4:$O$18,"&gt;"&amp;O15)+1</f>
        <v/>
      </c>
      <c r="B15" s="2">
        <f>'總表'!A18</f>
        <v/>
      </c>
      <c r="C15" s="21" t="inlineStr">
        <is>
          <t>DC</t>
        </is>
      </c>
      <c r="D15" s="2">
        <f>'總表'!C18</f>
        <v/>
      </c>
      <c r="E15" s="2">
        <f>'總表'!E18</f>
        <v/>
      </c>
      <c r="F15" s="2">
        <f>'總表'!H18</f>
        <v/>
      </c>
      <c r="G15" s="22">
        <f>'總表'!I18</f>
        <v/>
      </c>
      <c r="H15" s="8">
        <f>'總表'!O18</f>
        <v/>
      </c>
      <c r="I15" s="9">
        <f>'總表'!W18</f>
        <v/>
      </c>
      <c r="J15" s="9">
        <f>'總表'!AD18</f>
        <v/>
      </c>
      <c r="K15" s="9">
        <f>'總表'!AH18</f>
        <v/>
      </c>
      <c r="L15" s="14">
        <f>'總表'!AL18</f>
        <v/>
      </c>
      <c r="M15" s="16">
        <f>'總表'!AV18</f>
        <v/>
      </c>
      <c r="N15" s="16">
        <f>'總表'!AW18</f>
        <v/>
      </c>
      <c r="O15" s="17">
        <f>'總表'!AX18</f>
        <v/>
      </c>
      <c r="P15" s="3">
        <f>'總表'!BB18</f>
        <v/>
      </c>
    </row>
    <row r="16">
      <c r="A16" s="2">
        <f>COUNTIF($O$4:$O$18,"&gt;"&amp;O16)+1</f>
        <v/>
      </c>
      <c r="B16" s="2">
        <f>'總表'!A20</f>
        <v/>
      </c>
      <c r="C16" s="21" t="inlineStr">
        <is>
          <t>TH</t>
        </is>
      </c>
      <c r="D16" s="2">
        <f>'總表'!C20</f>
        <v/>
      </c>
      <c r="E16" s="2">
        <f>'總表'!E20</f>
        <v/>
      </c>
      <c r="F16" s="2">
        <f>'總表'!H20</f>
        <v/>
      </c>
      <c r="G16" s="22">
        <f>'總表'!I20</f>
        <v/>
      </c>
      <c r="H16" s="8">
        <f>'總表'!O20</f>
        <v/>
      </c>
      <c r="I16" s="9">
        <f>'總表'!W20</f>
        <v/>
      </c>
      <c r="J16" s="9">
        <f>'總表'!AD20</f>
        <v/>
      </c>
      <c r="K16" s="9">
        <f>'總表'!AH20</f>
        <v/>
      </c>
      <c r="L16" s="14">
        <f>'總表'!AL20</f>
        <v/>
      </c>
      <c r="M16" s="16">
        <f>'總表'!AV20</f>
        <v/>
      </c>
      <c r="N16" s="16">
        <f>'總表'!AW20</f>
        <v/>
      </c>
      <c r="O16" s="17">
        <f>'總表'!AX20</f>
        <v/>
      </c>
      <c r="P16" s="3">
        <f>'總表'!BB20</f>
        <v/>
      </c>
    </row>
    <row r="17">
      <c r="A17" s="2">
        <f>COUNTIF($O$4:$O$18,"&gt;"&amp;O17)+1</f>
        <v/>
      </c>
      <c r="B17" s="2">
        <f>'總表'!A13</f>
        <v/>
      </c>
      <c r="C17" s="5" t="inlineStr">
        <is>
          <t>MPC</t>
        </is>
      </c>
      <c r="D17" s="2">
        <f>'總表'!C13</f>
        <v/>
      </c>
      <c r="E17" s="2">
        <f>'總表'!E13</f>
        <v/>
      </c>
      <c r="F17" s="2">
        <f>'總表'!H13</f>
        <v/>
      </c>
      <c r="G17" s="22">
        <f>'總表'!I13</f>
        <v/>
      </c>
      <c r="H17" s="8">
        <f>'總表'!O13</f>
        <v/>
      </c>
      <c r="I17" s="9">
        <f>'總表'!W13</f>
        <v/>
      </c>
      <c r="J17" s="9">
        <f>'總表'!AD13</f>
        <v/>
      </c>
      <c r="K17" s="9">
        <f>'總表'!AH13</f>
        <v/>
      </c>
      <c r="L17" s="14">
        <f>'總表'!AL13</f>
        <v/>
      </c>
      <c r="M17" s="16">
        <f>'總表'!AV13</f>
        <v/>
      </c>
      <c r="N17" s="16">
        <f>'總表'!AW13</f>
        <v/>
      </c>
      <c r="O17" s="17">
        <f>'總表'!AX13</f>
        <v/>
      </c>
      <c r="P17" s="3">
        <f>'總表'!BB13</f>
        <v/>
      </c>
    </row>
    <row r="18">
      <c r="A18" s="2">
        <f>COUNTIF($O$4:$O$18,"&gt;"&amp;O18)+1</f>
        <v/>
      </c>
      <c r="B18" s="2">
        <f>'總表'!A14</f>
        <v/>
      </c>
      <c r="C18" s="5" t="inlineStr">
        <is>
          <t>KGEI</t>
        </is>
      </c>
      <c r="D18" s="2">
        <f>'總表'!C14</f>
        <v/>
      </c>
      <c r="E18" s="2">
        <f>'總表'!E14</f>
        <v/>
      </c>
      <c r="F18" s="2">
        <f>'總表'!H14</f>
        <v/>
      </c>
      <c r="G18" s="22">
        <f>'總表'!I14</f>
        <v/>
      </c>
      <c r="H18" s="8">
        <f>'總表'!O14</f>
        <v/>
      </c>
      <c r="I18" s="9">
        <f>'總表'!W14</f>
        <v/>
      </c>
      <c r="J18" s="9">
        <f>'總表'!AD14</f>
        <v/>
      </c>
      <c r="K18" s="9">
        <f>'總表'!AH14</f>
        <v/>
      </c>
      <c r="L18" s="14">
        <f>'總表'!AL14</f>
        <v/>
      </c>
      <c r="M18" s="16">
        <f>'總表'!AV14</f>
        <v/>
      </c>
      <c r="N18" s="16">
        <f>'總表'!AW14</f>
        <v/>
      </c>
      <c r="O18" s="17">
        <f>'總表'!AX14</f>
        <v/>
      </c>
      <c r="P18" s="3">
        <f>'總表'!BB14</f>
        <v/>
      </c>
    </row>
  </sheetData>
  <autoFilter ref="A3:P18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3個月動能（63 個交易日回報排全體合資格股票前 10%）＋ 回到上升中嘅 20MA · 以綜合分數排序 · 2026-09-28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3個月回報</t>
        </is>
      </c>
      <c r="K3" s="4" t="inlineStr">
        <is>
          <t>3個月百分位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COUNTIF($O$4:$O$18,"&gt;"&amp;O4)+1</f>
        <v/>
      </c>
      <c r="B4" s="2">
        <f>'總表'!A2</f>
        <v/>
      </c>
      <c r="C4" s="5" t="inlineStr">
        <is>
          <t>IRD</t>
        </is>
      </c>
      <c r="D4" s="2">
        <f>'總表'!C2</f>
        <v/>
      </c>
      <c r="E4" s="2">
        <f>'總表'!E2</f>
        <v/>
      </c>
      <c r="F4" s="2">
        <f>'總表'!H2</f>
        <v/>
      </c>
      <c r="G4" s="22">
        <f>'總表'!I2</f>
        <v/>
      </c>
      <c r="H4" s="8">
        <f>'總表'!O2</f>
        <v/>
      </c>
      <c r="I4" s="9">
        <f>'總表'!W2</f>
        <v/>
      </c>
      <c r="J4" s="9">
        <f>'總表'!AE2</f>
        <v/>
      </c>
      <c r="K4" s="9">
        <f>'總表'!AI2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COUNTIF($O$4:$O$18,"&gt;"&amp;O5)+1</f>
        <v/>
      </c>
      <c r="B5" s="2">
        <f>'總表'!A3</f>
        <v/>
      </c>
      <c r="C5" s="5" t="inlineStr">
        <is>
          <t>TTRX</t>
        </is>
      </c>
      <c r="D5" s="2">
        <f>'總表'!C3</f>
        <v/>
      </c>
      <c r="E5" s="2">
        <f>'總表'!E3</f>
        <v/>
      </c>
      <c r="F5" s="2">
        <f>'總表'!H3</f>
        <v/>
      </c>
      <c r="G5" s="22">
        <f>'總表'!I3</f>
        <v/>
      </c>
      <c r="H5" s="8">
        <f>'總表'!O3</f>
        <v/>
      </c>
      <c r="I5" s="9">
        <f>'總表'!W3</f>
        <v/>
      </c>
      <c r="J5" s="9">
        <f>'總表'!AE3</f>
        <v/>
      </c>
      <c r="K5" s="9">
        <f>'總表'!AI3</f>
        <v/>
      </c>
      <c r="L5" s="14">
        <f>'總表'!AL3</f>
        <v/>
      </c>
      <c r="M5" s="16">
        <f>'總表'!AV3</f>
        <v/>
      </c>
      <c r="N5" s="16">
        <f>'總表'!AW3</f>
        <v/>
      </c>
      <c r="O5" s="17">
        <f>'總表'!AX3</f>
        <v/>
      </c>
      <c r="P5" s="3">
        <f>'總表'!BB3</f>
        <v/>
      </c>
    </row>
    <row r="6">
      <c r="A6" s="2">
        <f>COUNTIF($O$4:$O$18,"&gt;"&amp;O6)+1</f>
        <v/>
      </c>
      <c r="B6" s="2">
        <f>'總表'!A4</f>
        <v/>
      </c>
      <c r="C6" s="21" t="inlineStr">
        <is>
          <t>DELL</t>
        </is>
      </c>
      <c r="D6" s="2">
        <f>'總表'!C4</f>
        <v/>
      </c>
      <c r="E6" s="2">
        <f>'總表'!E4</f>
        <v/>
      </c>
      <c r="F6" s="2">
        <f>'總表'!H4</f>
        <v/>
      </c>
      <c r="G6" s="22">
        <f>'總表'!I4</f>
        <v/>
      </c>
      <c r="H6" s="8">
        <f>'總表'!O4</f>
        <v/>
      </c>
      <c r="I6" s="9">
        <f>'總表'!W4</f>
        <v/>
      </c>
      <c r="J6" s="9">
        <f>'總表'!AE4</f>
        <v/>
      </c>
      <c r="K6" s="9">
        <f>'總表'!AI4</f>
        <v/>
      </c>
      <c r="L6" s="14">
        <f>'總表'!AL4</f>
        <v/>
      </c>
      <c r="M6" s="16">
        <f>'總表'!AV4</f>
        <v/>
      </c>
      <c r="N6" s="16">
        <f>'總表'!AW4</f>
        <v/>
      </c>
      <c r="O6" s="17">
        <f>'總表'!AX4</f>
        <v/>
      </c>
      <c r="P6" s="3">
        <f>'總表'!BB4</f>
        <v/>
      </c>
    </row>
    <row r="7">
      <c r="A7" s="2">
        <f>COUNTIF($O$4:$O$18,"&gt;"&amp;O7)+1</f>
        <v/>
      </c>
      <c r="B7" s="2">
        <f>'總表'!A5</f>
        <v/>
      </c>
      <c r="C7" s="5" t="inlineStr">
        <is>
          <t>PLSE</t>
        </is>
      </c>
      <c r="D7" s="2">
        <f>'總表'!C5</f>
        <v/>
      </c>
      <c r="E7" s="2">
        <f>'總表'!E5</f>
        <v/>
      </c>
      <c r="F7" s="2">
        <f>'總表'!H5</f>
        <v/>
      </c>
      <c r="G7" s="22">
        <f>'總表'!I5</f>
        <v/>
      </c>
      <c r="H7" s="8">
        <f>'總表'!O5</f>
        <v/>
      </c>
      <c r="I7" s="9">
        <f>'總表'!W5</f>
        <v/>
      </c>
      <c r="J7" s="9">
        <f>'總表'!AE5</f>
        <v/>
      </c>
      <c r="K7" s="9">
        <f>'總表'!AI5</f>
        <v/>
      </c>
      <c r="L7" s="14">
        <f>'總表'!AL5</f>
        <v/>
      </c>
      <c r="M7" s="16">
        <f>'總表'!AV5</f>
        <v/>
      </c>
      <c r="N7" s="16">
        <f>'總表'!AW5</f>
        <v/>
      </c>
      <c r="O7" s="17">
        <f>'總表'!AX5</f>
        <v/>
      </c>
      <c r="P7" s="3">
        <f>'總表'!BB5</f>
        <v/>
      </c>
    </row>
    <row r="8">
      <c r="A8" s="2">
        <f>COUNTIF($O$4:$O$18,"&gt;"&amp;O8)+1</f>
        <v/>
      </c>
      <c r="B8" s="2">
        <f>'總表'!A7</f>
        <v/>
      </c>
      <c r="C8" s="21" t="inlineStr">
        <is>
          <t>ESTC</t>
        </is>
      </c>
      <c r="D8" s="2">
        <f>'總表'!C7</f>
        <v/>
      </c>
      <c r="E8" s="2">
        <f>'總表'!E7</f>
        <v/>
      </c>
      <c r="F8" s="2">
        <f>'總表'!H7</f>
        <v/>
      </c>
      <c r="G8" s="22">
        <f>'總表'!I7</f>
        <v/>
      </c>
      <c r="H8" s="8">
        <f>'總表'!O7</f>
        <v/>
      </c>
      <c r="I8" s="9">
        <f>'總表'!W7</f>
        <v/>
      </c>
      <c r="J8" s="9">
        <f>'總表'!AE7</f>
        <v/>
      </c>
      <c r="K8" s="9">
        <f>'總表'!AI7</f>
        <v/>
      </c>
      <c r="L8" s="14">
        <f>'總表'!AL7</f>
        <v/>
      </c>
      <c r="M8" s="16">
        <f>'總表'!AV7</f>
        <v/>
      </c>
      <c r="N8" s="16">
        <f>'總表'!AW7</f>
        <v/>
      </c>
      <c r="O8" s="17">
        <f>'總表'!AX7</f>
        <v/>
      </c>
      <c r="P8" s="3">
        <f>'總表'!BB7</f>
        <v/>
      </c>
    </row>
    <row r="9">
      <c r="A9" s="2">
        <f>COUNTIF($O$4:$O$18,"&gt;"&amp;O9)+1</f>
        <v/>
      </c>
      <c r="B9" s="2">
        <f>'總表'!A8</f>
        <v/>
      </c>
      <c r="C9" s="21" t="inlineStr">
        <is>
          <t>FIVN</t>
        </is>
      </c>
      <c r="D9" s="2">
        <f>'總表'!C8</f>
        <v/>
      </c>
      <c r="E9" s="2">
        <f>'總表'!E8</f>
        <v/>
      </c>
      <c r="F9" s="2">
        <f>'總表'!H8</f>
        <v/>
      </c>
      <c r="G9" s="22">
        <f>'總表'!I8</f>
        <v/>
      </c>
      <c r="H9" s="8">
        <f>'總表'!O8</f>
        <v/>
      </c>
      <c r="I9" s="9">
        <f>'總表'!W8</f>
        <v/>
      </c>
      <c r="J9" s="9">
        <f>'總表'!AE8</f>
        <v/>
      </c>
      <c r="K9" s="9">
        <f>'總表'!AI8</f>
        <v/>
      </c>
      <c r="L9" s="14">
        <f>'總表'!AL8</f>
        <v/>
      </c>
      <c r="M9" s="16">
        <f>'總表'!AV8</f>
        <v/>
      </c>
      <c r="N9" s="16">
        <f>'總表'!AW8</f>
        <v/>
      </c>
      <c r="O9" s="17">
        <f>'總表'!AX8</f>
        <v/>
      </c>
      <c r="P9" s="3">
        <f>'總表'!BB8</f>
        <v/>
      </c>
    </row>
    <row r="10">
      <c r="A10" s="2">
        <f>COUNTIF($O$4:$O$18,"&gt;"&amp;O10)+1</f>
        <v/>
      </c>
      <c r="B10" s="2">
        <f>'總表'!A12</f>
        <v/>
      </c>
      <c r="C10" s="21" t="inlineStr">
        <is>
          <t>SNOW</t>
        </is>
      </c>
      <c r="D10" s="2">
        <f>'總表'!C12</f>
        <v/>
      </c>
      <c r="E10" s="2">
        <f>'總表'!E12</f>
        <v/>
      </c>
      <c r="F10" s="2">
        <f>'總表'!H12</f>
        <v/>
      </c>
      <c r="G10" s="22">
        <f>'總表'!I12</f>
        <v/>
      </c>
      <c r="H10" s="8">
        <f>'總表'!O12</f>
        <v/>
      </c>
      <c r="I10" s="9">
        <f>'總表'!W12</f>
        <v/>
      </c>
      <c r="J10" s="9">
        <f>'總表'!AE12</f>
        <v/>
      </c>
      <c r="K10" s="9">
        <f>'總表'!AI12</f>
        <v/>
      </c>
      <c r="L10" s="14">
        <f>'總表'!AL12</f>
        <v/>
      </c>
      <c r="M10" s="16">
        <f>'總表'!AV12</f>
        <v/>
      </c>
      <c r="N10" s="16">
        <f>'總表'!AW12</f>
        <v/>
      </c>
      <c r="O10" s="17">
        <f>'總表'!AX12</f>
        <v/>
      </c>
      <c r="P10" s="3">
        <f>'總表'!BB12</f>
        <v/>
      </c>
    </row>
    <row r="11">
      <c r="A11" s="2">
        <f>COUNTIF($O$4:$O$18,"&gt;"&amp;O11)+1</f>
        <v/>
      </c>
      <c r="B11" s="2">
        <f>'總表'!A10</f>
        <v/>
      </c>
      <c r="C11" s="5" t="inlineStr">
        <is>
          <t>VLO</t>
        </is>
      </c>
      <c r="D11" s="2">
        <f>'總表'!C10</f>
        <v/>
      </c>
      <c r="E11" s="2">
        <f>'總表'!E10</f>
        <v/>
      </c>
      <c r="F11" s="2">
        <f>'總表'!H10</f>
        <v/>
      </c>
      <c r="G11" s="22">
        <f>'總表'!I10</f>
        <v/>
      </c>
      <c r="H11" s="8">
        <f>'總表'!O10</f>
        <v/>
      </c>
      <c r="I11" s="9">
        <f>'總表'!W10</f>
        <v/>
      </c>
      <c r="J11" s="9">
        <f>'總表'!AE10</f>
        <v/>
      </c>
      <c r="K11" s="9">
        <f>'總表'!AI10</f>
        <v/>
      </c>
      <c r="L11" s="14">
        <f>'總表'!AL10</f>
        <v/>
      </c>
      <c r="M11" s="16">
        <f>'總表'!AV10</f>
        <v/>
      </c>
      <c r="N11" s="16">
        <f>'總表'!AW10</f>
        <v/>
      </c>
      <c r="O11" s="17">
        <f>'總表'!AX10</f>
        <v/>
      </c>
      <c r="P11" s="3">
        <f>'總表'!BB10</f>
        <v/>
      </c>
    </row>
    <row r="12">
      <c r="A12" s="2">
        <f>COUNTIF($O$4:$O$18,"&gt;"&amp;O12)+1</f>
        <v/>
      </c>
      <c r="B12" s="2">
        <f>'總表'!A11</f>
        <v/>
      </c>
      <c r="C12" s="5" t="inlineStr">
        <is>
          <t>PURR</t>
        </is>
      </c>
      <c r="D12" s="2">
        <f>'總表'!C11</f>
        <v/>
      </c>
      <c r="E12" s="2">
        <f>'總表'!E11</f>
        <v/>
      </c>
      <c r="F12" s="2">
        <f>'總表'!H11</f>
        <v/>
      </c>
      <c r="G12" s="22">
        <f>'總表'!I11</f>
        <v/>
      </c>
      <c r="H12" s="8">
        <f>'總表'!O11</f>
        <v/>
      </c>
      <c r="I12" s="9">
        <f>'總表'!W11</f>
        <v/>
      </c>
      <c r="J12" s="9">
        <f>'總表'!AE11</f>
        <v/>
      </c>
      <c r="K12" s="9">
        <f>'總表'!AI11</f>
        <v/>
      </c>
      <c r="L12" s="14">
        <f>'總表'!AL11</f>
        <v/>
      </c>
      <c r="M12" s="16">
        <f>'總表'!AV11</f>
        <v/>
      </c>
      <c r="N12" s="16">
        <f>'總表'!AW11</f>
        <v/>
      </c>
      <c r="O12" s="17">
        <f>'總表'!AX11</f>
        <v/>
      </c>
      <c r="P12" s="3">
        <f>'總表'!BB11</f>
        <v/>
      </c>
    </row>
    <row r="13">
      <c r="A13" s="2">
        <f>COUNTIF($O$4:$O$18,"&gt;"&amp;O13)+1</f>
        <v/>
      </c>
      <c r="B13" s="2">
        <f>'總表'!A17</f>
        <v/>
      </c>
      <c r="C13" s="21" t="inlineStr">
        <is>
          <t>LPG</t>
        </is>
      </c>
      <c r="D13" s="2">
        <f>'總表'!C17</f>
        <v/>
      </c>
      <c r="E13" s="2">
        <f>'總表'!E17</f>
        <v/>
      </c>
      <c r="F13" s="2">
        <f>'總表'!H17</f>
        <v/>
      </c>
      <c r="G13" s="22">
        <f>'總表'!I17</f>
        <v/>
      </c>
      <c r="H13" s="8">
        <f>'總表'!O17</f>
        <v/>
      </c>
      <c r="I13" s="9">
        <f>'總表'!W17</f>
        <v/>
      </c>
      <c r="J13" s="9">
        <f>'總表'!AE17</f>
        <v/>
      </c>
      <c r="K13" s="9">
        <f>'總表'!AI17</f>
        <v/>
      </c>
      <c r="L13" s="14">
        <f>'總表'!AL17</f>
        <v/>
      </c>
      <c r="M13" s="16">
        <f>'總表'!AV17</f>
        <v/>
      </c>
      <c r="N13" s="16">
        <f>'總表'!AW17</f>
        <v/>
      </c>
      <c r="O13" s="17">
        <f>'總表'!AX17</f>
        <v/>
      </c>
      <c r="P13" s="3">
        <f>'總表'!BB17</f>
        <v/>
      </c>
    </row>
    <row r="14">
      <c r="A14" s="2">
        <f>COUNTIF($O$4:$O$18,"&gt;"&amp;O14)+1</f>
        <v/>
      </c>
      <c r="B14" s="2">
        <f>'總表'!A18</f>
        <v/>
      </c>
      <c r="C14" s="21" t="inlineStr">
        <is>
          <t>DC</t>
        </is>
      </c>
      <c r="D14" s="2">
        <f>'總表'!C18</f>
        <v/>
      </c>
      <c r="E14" s="2">
        <f>'總表'!E18</f>
        <v/>
      </c>
      <c r="F14" s="2">
        <f>'總表'!H18</f>
        <v/>
      </c>
      <c r="G14" s="22">
        <f>'總表'!I18</f>
        <v/>
      </c>
      <c r="H14" s="8">
        <f>'總表'!O18</f>
        <v/>
      </c>
      <c r="I14" s="9">
        <f>'總表'!W18</f>
        <v/>
      </c>
      <c r="J14" s="9">
        <f>'總表'!AE18</f>
        <v/>
      </c>
      <c r="K14" s="9">
        <f>'總表'!AI18</f>
        <v/>
      </c>
      <c r="L14" s="14">
        <f>'總表'!AL18</f>
        <v/>
      </c>
      <c r="M14" s="16">
        <f>'總表'!AV18</f>
        <v/>
      </c>
      <c r="N14" s="16">
        <f>'總表'!AW18</f>
        <v/>
      </c>
      <c r="O14" s="17">
        <f>'總表'!AX18</f>
        <v/>
      </c>
      <c r="P14" s="3">
        <f>'總表'!BB18</f>
        <v/>
      </c>
    </row>
    <row r="15">
      <c r="A15" s="2">
        <f>COUNTIF($O$4:$O$18,"&gt;"&amp;O15)+1</f>
        <v/>
      </c>
      <c r="B15" s="2">
        <f>'總表'!A21</f>
        <v/>
      </c>
      <c r="C15" s="5" t="inlineStr">
        <is>
          <t>DINO</t>
        </is>
      </c>
      <c r="D15" s="2">
        <f>'總表'!C21</f>
        <v/>
      </c>
      <c r="E15" s="2">
        <f>'總表'!E21</f>
        <v/>
      </c>
      <c r="F15" s="2">
        <f>'總表'!H21</f>
        <v/>
      </c>
      <c r="G15" s="22">
        <f>'總表'!I21</f>
        <v/>
      </c>
      <c r="H15" s="8">
        <f>'總表'!O21</f>
        <v/>
      </c>
      <c r="I15" s="9">
        <f>'總表'!W21</f>
        <v/>
      </c>
      <c r="J15" s="9">
        <f>'總表'!AE21</f>
        <v/>
      </c>
      <c r="K15" s="9">
        <f>'總表'!AI21</f>
        <v/>
      </c>
      <c r="L15" s="14">
        <f>'總表'!AL21</f>
        <v/>
      </c>
      <c r="M15" s="16">
        <f>'總表'!AV21</f>
        <v/>
      </c>
      <c r="N15" s="16">
        <f>'總表'!AW21</f>
        <v/>
      </c>
      <c r="O15" s="17">
        <f>'總表'!AX21</f>
        <v/>
      </c>
      <c r="P15" s="3">
        <f>'總表'!BB21</f>
        <v/>
      </c>
    </row>
    <row r="16">
      <c r="A16" s="2">
        <f>COUNTIF($O$4:$O$18,"&gt;"&amp;O16)+1</f>
        <v/>
      </c>
      <c r="B16" s="2">
        <f>'總表'!A13</f>
        <v/>
      </c>
      <c r="C16" s="5" t="inlineStr">
        <is>
          <t>MPC</t>
        </is>
      </c>
      <c r="D16" s="2">
        <f>'總表'!C13</f>
        <v/>
      </c>
      <c r="E16" s="2">
        <f>'總表'!E13</f>
        <v/>
      </c>
      <c r="F16" s="2">
        <f>'總表'!H13</f>
        <v/>
      </c>
      <c r="G16" s="22">
        <f>'總表'!I13</f>
        <v/>
      </c>
      <c r="H16" s="8">
        <f>'總表'!O13</f>
        <v/>
      </c>
      <c r="I16" s="9">
        <f>'總表'!W13</f>
        <v/>
      </c>
      <c r="J16" s="9">
        <f>'總表'!AE13</f>
        <v/>
      </c>
      <c r="K16" s="9">
        <f>'總表'!AI13</f>
        <v/>
      </c>
      <c r="L16" s="14">
        <f>'總表'!AL13</f>
        <v/>
      </c>
      <c r="M16" s="16">
        <f>'總表'!AV13</f>
        <v/>
      </c>
      <c r="N16" s="16">
        <f>'總表'!AW13</f>
        <v/>
      </c>
      <c r="O16" s="17">
        <f>'總表'!AX13</f>
        <v/>
      </c>
      <c r="P16" s="3">
        <f>'總表'!BB13</f>
        <v/>
      </c>
    </row>
    <row r="17">
      <c r="A17" s="2">
        <f>COUNTIF($O$4:$O$18,"&gt;"&amp;O17)+1</f>
        <v/>
      </c>
      <c r="B17" s="2">
        <f>'總表'!A14</f>
        <v/>
      </c>
      <c r="C17" s="5" t="inlineStr">
        <is>
          <t>KGEI</t>
        </is>
      </c>
      <c r="D17" s="2">
        <f>'總表'!C14</f>
        <v/>
      </c>
      <c r="E17" s="2">
        <f>'總表'!E14</f>
        <v/>
      </c>
      <c r="F17" s="2">
        <f>'總表'!H14</f>
        <v/>
      </c>
      <c r="G17" s="22">
        <f>'總表'!I14</f>
        <v/>
      </c>
      <c r="H17" s="8">
        <f>'總表'!O14</f>
        <v/>
      </c>
      <c r="I17" s="9">
        <f>'總表'!W14</f>
        <v/>
      </c>
      <c r="J17" s="9">
        <f>'總表'!AE14</f>
        <v/>
      </c>
      <c r="K17" s="9">
        <f>'總表'!AI14</f>
        <v/>
      </c>
      <c r="L17" s="14">
        <f>'總表'!AL14</f>
        <v/>
      </c>
      <c r="M17" s="16">
        <f>'總表'!AV14</f>
        <v/>
      </c>
      <c r="N17" s="16">
        <f>'總表'!AW14</f>
        <v/>
      </c>
      <c r="O17" s="17">
        <f>'總表'!AX14</f>
        <v/>
      </c>
      <c r="P17" s="3">
        <f>'總表'!BB14</f>
        <v/>
      </c>
    </row>
    <row r="18">
      <c r="A18" s="2">
        <f>COUNTIF($O$4:$O$18,"&gt;"&amp;O18)+1</f>
        <v/>
      </c>
      <c r="B18" s="2">
        <f>'總表'!A22</f>
        <v/>
      </c>
      <c r="C18" s="5" t="inlineStr">
        <is>
          <t>PSX</t>
        </is>
      </c>
      <c r="D18" s="2">
        <f>'總表'!C22</f>
        <v/>
      </c>
      <c r="E18" s="2">
        <f>'總表'!E22</f>
        <v/>
      </c>
      <c r="F18" s="2">
        <f>'總表'!H22</f>
        <v/>
      </c>
      <c r="G18" s="22">
        <f>'總表'!I22</f>
        <v/>
      </c>
      <c r="H18" s="8">
        <f>'總表'!O22</f>
        <v/>
      </c>
      <c r="I18" s="9">
        <f>'總表'!W22</f>
        <v/>
      </c>
      <c r="J18" s="9">
        <f>'總表'!AE22</f>
        <v/>
      </c>
      <c r="K18" s="9">
        <f>'總表'!AI22</f>
        <v/>
      </c>
      <c r="L18" s="14">
        <f>'總表'!AL22</f>
        <v/>
      </c>
      <c r="M18" s="16">
        <f>'總表'!AV22</f>
        <v/>
      </c>
      <c r="N18" s="16">
        <f>'總表'!AW22</f>
        <v/>
      </c>
      <c r="O18" s="17">
        <f>'總表'!AX22</f>
        <v/>
      </c>
      <c r="P18" s="3">
        <f>'總表'!BB22</f>
        <v/>
      </c>
    </row>
  </sheetData>
  <autoFilter ref="A3:P18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6個月動能（126 個交易日回報排全體合資格股票前 10%）＋ 回到上升中嘅 20MA · 以綜合分數排序 · 2026-09-28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6個月回報</t>
        </is>
      </c>
      <c r="K3" s="4" t="inlineStr">
        <is>
          <t>6個月百分位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COUNTIF($O$4:$O$12,"&gt;"&amp;O4)+1</f>
        <v/>
      </c>
      <c r="B4" s="2">
        <f>'總表'!A3</f>
        <v/>
      </c>
      <c r="C4" s="5" t="inlineStr">
        <is>
          <t>TTRX</t>
        </is>
      </c>
      <c r="D4" s="2">
        <f>'總表'!C3</f>
        <v/>
      </c>
      <c r="E4" s="2">
        <f>'總表'!E3</f>
        <v/>
      </c>
      <c r="F4" s="2">
        <f>'總表'!H3</f>
        <v/>
      </c>
      <c r="G4" s="22">
        <f>'總表'!I3</f>
        <v/>
      </c>
      <c r="H4" s="8">
        <f>'總表'!O3</f>
        <v/>
      </c>
      <c r="I4" s="9">
        <f>'總表'!W3</f>
        <v/>
      </c>
      <c r="J4" s="9">
        <f>'總表'!AF3</f>
        <v/>
      </c>
      <c r="K4" s="9">
        <f>'總表'!AJ3</f>
        <v/>
      </c>
      <c r="L4" s="14">
        <f>'總表'!AL3</f>
        <v/>
      </c>
      <c r="M4" s="16">
        <f>'總表'!AV3</f>
        <v/>
      </c>
      <c r="N4" s="16">
        <f>'總表'!AW3</f>
        <v/>
      </c>
      <c r="O4" s="17">
        <f>'總表'!AX3</f>
        <v/>
      </c>
      <c r="P4" s="3">
        <f>'總表'!BB3</f>
        <v/>
      </c>
    </row>
    <row r="5">
      <c r="A5" s="2">
        <f>COUNTIF($O$4:$O$12,"&gt;"&amp;O5)+1</f>
        <v/>
      </c>
      <c r="B5" s="2">
        <f>'總表'!A4</f>
        <v/>
      </c>
      <c r="C5" s="21" t="inlineStr">
        <is>
          <t>DELL</t>
        </is>
      </c>
      <c r="D5" s="2">
        <f>'總表'!C4</f>
        <v/>
      </c>
      <c r="E5" s="2">
        <f>'總表'!E4</f>
        <v/>
      </c>
      <c r="F5" s="2">
        <f>'總表'!H4</f>
        <v/>
      </c>
      <c r="G5" s="22">
        <f>'總表'!I4</f>
        <v/>
      </c>
      <c r="H5" s="8">
        <f>'總表'!O4</f>
        <v/>
      </c>
      <c r="I5" s="9">
        <f>'總表'!W4</f>
        <v/>
      </c>
      <c r="J5" s="9">
        <f>'總表'!AF4</f>
        <v/>
      </c>
      <c r="K5" s="9">
        <f>'總表'!AJ4</f>
        <v/>
      </c>
      <c r="L5" s="14">
        <f>'總表'!AL4</f>
        <v/>
      </c>
      <c r="M5" s="16">
        <f>'總表'!AV4</f>
        <v/>
      </c>
      <c r="N5" s="16">
        <f>'總表'!AW4</f>
        <v/>
      </c>
      <c r="O5" s="17">
        <f>'總表'!AX4</f>
        <v/>
      </c>
      <c r="P5" s="3">
        <f>'總表'!BB4</f>
        <v/>
      </c>
    </row>
    <row r="6">
      <c r="A6" s="2">
        <f>COUNTIF($O$4:$O$12,"&gt;"&amp;O6)+1</f>
        <v/>
      </c>
      <c r="B6" s="2">
        <f>'總表'!A9</f>
        <v/>
      </c>
      <c r="C6" s="5" t="inlineStr">
        <is>
          <t>DHX</t>
        </is>
      </c>
      <c r="D6" s="2">
        <f>'總表'!C9</f>
        <v/>
      </c>
      <c r="E6" s="2">
        <f>'總表'!E9</f>
        <v/>
      </c>
      <c r="F6" s="2">
        <f>'總表'!H9</f>
        <v/>
      </c>
      <c r="G6" s="22">
        <f>'總表'!I9</f>
        <v/>
      </c>
      <c r="H6" s="8">
        <f>'總表'!O9</f>
        <v/>
      </c>
      <c r="I6" s="9">
        <f>'總表'!W9</f>
        <v/>
      </c>
      <c r="J6" s="9">
        <f>'總表'!AF9</f>
        <v/>
      </c>
      <c r="K6" s="9">
        <f>'總表'!AJ9</f>
        <v/>
      </c>
      <c r="L6" s="14">
        <f>'總表'!AL9</f>
        <v/>
      </c>
      <c r="M6" s="16">
        <f>'總表'!AV9</f>
        <v/>
      </c>
      <c r="N6" s="16">
        <f>'總表'!AW9</f>
        <v/>
      </c>
      <c r="O6" s="17">
        <f>'總表'!AX9</f>
        <v/>
      </c>
      <c r="P6" s="3">
        <f>'總表'!BB9</f>
        <v/>
      </c>
    </row>
    <row r="7">
      <c r="A7" s="2">
        <f>COUNTIF($O$4:$O$12,"&gt;"&amp;O7)+1</f>
        <v/>
      </c>
      <c r="B7" s="2">
        <f>'總表'!A5</f>
        <v/>
      </c>
      <c r="C7" s="5" t="inlineStr">
        <is>
          <t>PLSE</t>
        </is>
      </c>
      <c r="D7" s="2">
        <f>'總表'!C5</f>
        <v/>
      </c>
      <c r="E7" s="2">
        <f>'總表'!E5</f>
        <v/>
      </c>
      <c r="F7" s="2">
        <f>'總表'!H5</f>
        <v/>
      </c>
      <c r="G7" s="22">
        <f>'總表'!I5</f>
        <v/>
      </c>
      <c r="H7" s="8">
        <f>'總表'!O5</f>
        <v/>
      </c>
      <c r="I7" s="9">
        <f>'總表'!W5</f>
        <v/>
      </c>
      <c r="J7" s="9">
        <f>'總表'!AF5</f>
        <v/>
      </c>
      <c r="K7" s="9">
        <f>'總表'!AJ5</f>
        <v/>
      </c>
      <c r="L7" s="14">
        <f>'總表'!AL5</f>
        <v/>
      </c>
      <c r="M7" s="16">
        <f>'總表'!AV5</f>
        <v/>
      </c>
      <c r="N7" s="16">
        <f>'總表'!AW5</f>
        <v/>
      </c>
      <c r="O7" s="17">
        <f>'總表'!AX5</f>
        <v/>
      </c>
      <c r="P7" s="3">
        <f>'總表'!BB5</f>
        <v/>
      </c>
    </row>
    <row r="8">
      <c r="A8" s="2">
        <f>COUNTIF($O$4:$O$12,"&gt;"&amp;O8)+1</f>
        <v/>
      </c>
      <c r="B8" s="2">
        <f>'總表'!A7</f>
        <v/>
      </c>
      <c r="C8" s="21" t="inlineStr">
        <is>
          <t>ESTC</t>
        </is>
      </c>
      <c r="D8" s="2">
        <f>'總表'!C7</f>
        <v/>
      </c>
      <c r="E8" s="2">
        <f>'總表'!E7</f>
        <v/>
      </c>
      <c r="F8" s="2">
        <f>'總表'!H7</f>
        <v/>
      </c>
      <c r="G8" s="22">
        <f>'總表'!I7</f>
        <v/>
      </c>
      <c r="H8" s="8">
        <f>'總表'!O7</f>
        <v/>
      </c>
      <c r="I8" s="9">
        <f>'總表'!W7</f>
        <v/>
      </c>
      <c r="J8" s="9">
        <f>'總表'!AF7</f>
        <v/>
      </c>
      <c r="K8" s="9">
        <f>'總表'!AJ7</f>
        <v/>
      </c>
      <c r="L8" s="14">
        <f>'總表'!AL7</f>
        <v/>
      </c>
      <c r="M8" s="16">
        <f>'總表'!AV7</f>
        <v/>
      </c>
      <c r="N8" s="16">
        <f>'總表'!AW7</f>
        <v/>
      </c>
      <c r="O8" s="17">
        <f>'總表'!AX7</f>
        <v/>
      </c>
      <c r="P8" s="3">
        <f>'總表'!BB7</f>
        <v/>
      </c>
    </row>
    <row r="9">
      <c r="A9" s="2">
        <f>COUNTIF($O$4:$O$12,"&gt;"&amp;O9)+1</f>
        <v/>
      </c>
      <c r="B9" s="2">
        <f>'總表'!A8</f>
        <v/>
      </c>
      <c r="C9" s="21" t="inlineStr">
        <is>
          <t>FIVN</t>
        </is>
      </c>
      <c r="D9" s="2">
        <f>'總表'!C8</f>
        <v/>
      </c>
      <c r="E9" s="2">
        <f>'總表'!E8</f>
        <v/>
      </c>
      <c r="F9" s="2">
        <f>'總表'!H8</f>
        <v/>
      </c>
      <c r="G9" s="22">
        <f>'總表'!I8</f>
        <v/>
      </c>
      <c r="H9" s="8">
        <f>'總表'!O8</f>
        <v/>
      </c>
      <c r="I9" s="9">
        <f>'總表'!W8</f>
        <v/>
      </c>
      <c r="J9" s="9">
        <f>'總表'!AF8</f>
        <v/>
      </c>
      <c r="K9" s="9">
        <f>'總表'!AJ8</f>
        <v/>
      </c>
      <c r="L9" s="14">
        <f>'總表'!AL8</f>
        <v/>
      </c>
      <c r="M9" s="16">
        <f>'總表'!AV8</f>
        <v/>
      </c>
      <c r="N9" s="16">
        <f>'總表'!AW8</f>
        <v/>
      </c>
      <c r="O9" s="17">
        <f>'總表'!AX8</f>
        <v/>
      </c>
      <c r="P9" s="3">
        <f>'總表'!BB8</f>
        <v/>
      </c>
    </row>
    <row r="10">
      <c r="A10" s="2">
        <f>COUNTIF($O$4:$O$12,"&gt;"&amp;O10)+1</f>
        <v/>
      </c>
      <c r="B10" s="2">
        <f>'總表'!A12</f>
        <v/>
      </c>
      <c r="C10" s="21" t="inlineStr">
        <is>
          <t>SNOW</t>
        </is>
      </c>
      <c r="D10" s="2">
        <f>'總表'!C12</f>
        <v/>
      </c>
      <c r="E10" s="2">
        <f>'總表'!E12</f>
        <v/>
      </c>
      <c r="F10" s="2">
        <f>'總表'!H12</f>
        <v/>
      </c>
      <c r="G10" s="22">
        <f>'總表'!I12</f>
        <v/>
      </c>
      <c r="H10" s="8">
        <f>'總表'!O12</f>
        <v/>
      </c>
      <c r="I10" s="9">
        <f>'總表'!W12</f>
        <v/>
      </c>
      <c r="J10" s="9">
        <f>'總表'!AF12</f>
        <v/>
      </c>
      <c r="K10" s="9">
        <f>'總表'!AJ12</f>
        <v/>
      </c>
      <c r="L10" s="14">
        <f>'總表'!AL12</f>
        <v/>
      </c>
      <c r="M10" s="16">
        <f>'總表'!AV12</f>
        <v/>
      </c>
      <c r="N10" s="16">
        <f>'總表'!AW12</f>
        <v/>
      </c>
      <c r="O10" s="17">
        <f>'總表'!AX12</f>
        <v/>
      </c>
      <c r="P10" s="3">
        <f>'總表'!BB12</f>
        <v/>
      </c>
    </row>
    <row r="11">
      <c r="A11" s="2">
        <f>COUNTIF($O$4:$O$12,"&gt;"&amp;O11)+1</f>
        <v/>
      </c>
      <c r="B11" s="2">
        <f>'總表'!A11</f>
        <v/>
      </c>
      <c r="C11" s="5" t="inlineStr">
        <is>
          <t>PURR</t>
        </is>
      </c>
      <c r="D11" s="2">
        <f>'總表'!C11</f>
        <v/>
      </c>
      <c r="E11" s="2">
        <f>'總表'!E11</f>
        <v/>
      </c>
      <c r="F11" s="2">
        <f>'總表'!H11</f>
        <v/>
      </c>
      <c r="G11" s="22">
        <f>'總表'!I11</f>
        <v/>
      </c>
      <c r="H11" s="8">
        <f>'總表'!O11</f>
        <v/>
      </c>
      <c r="I11" s="9">
        <f>'總表'!W11</f>
        <v/>
      </c>
      <c r="J11" s="9">
        <f>'總表'!AF11</f>
        <v/>
      </c>
      <c r="K11" s="9">
        <f>'總表'!AJ11</f>
        <v/>
      </c>
      <c r="L11" s="14">
        <f>'總表'!AL11</f>
        <v/>
      </c>
      <c r="M11" s="16">
        <f>'總表'!AV11</f>
        <v/>
      </c>
      <c r="N11" s="16">
        <f>'總表'!AW11</f>
        <v/>
      </c>
      <c r="O11" s="17">
        <f>'總表'!AX11</f>
        <v/>
      </c>
      <c r="P11" s="3">
        <f>'總表'!BB11</f>
        <v/>
      </c>
    </row>
    <row r="12">
      <c r="A12" s="2">
        <f>COUNTIF($O$4:$O$12,"&gt;"&amp;O12)+1</f>
        <v/>
      </c>
      <c r="B12" s="2">
        <f>'總表'!A20</f>
        <v/>
      </c>
      <c r="C12" s="21" t="inlineStr">
        <is>
          <t>TH</t>
        </is>
      </c>
      <c r="D12" s="2">
        <f>'總表'!C20</f>
        <v/>
      </c>
      <c r="E12" s="2">
        <f>'總表'!E20</f>
        <v/>
      </c>
      <c r="F12" s="2">
        <f>'總表'!H20</f>
        <v/>
      </c>
      <c r="G12" s="22">
        <f>'總表'!I20</f>
        <v/>
      </c>
      <c r="H12" s="8">
        <f>'總表'!O20</f>
        <v/>
      </c>
      <c r="I12" s="9">
        <f>'總表'!W20</f>
        <v/>
      </c>
      <c r="J12" s="9">
        <f>'總表'!AF20</f>
        <v/>
      </c>
      <c r="K12" s="9">
        <f>'總表'!AJ20</f>
        <v/>
      </c>
      <c r="L12" s="14">
        <f>'總表'!AL20</f>
        <v/>
      </c>
      <c r="M12" s="16">
        <f>'總表'!AV20</f>
        <v/>
      </c>
      <c r="N12" s="16">
        <f>'總表'!AW20</f>
        <v/>
      </c>
      <c r="O12" s="17">
        <f>'總表'!AX20</f>
        <v/>
      </c>
      <c r="P12" s="3">
        <f>'總表'!BB20</f>
        <v/>
      </c>
    </row>
  </sheetData>
  <autoFilter ref="A3:P12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R22.00 篩選條件：高動能 ＋ 回到上升中嘅 20MA</t>
        </is>
      </c>
    </row>
    <row r="3" ht="45" customHeight="1">
      <c r="A3" s="23" t="inlineStr">
        <is>
          <t>說明</t>
        </is>
      </c>
      <c r="B3" s="3" t="inlineStr">
        <is>
          <t>由 R21 起取代 R1–R20 嘅「10MA 上升＋一底高於一底」規則。股票池規則不變；池之後嘅條件全部重寫。價格改用 Yahoo 日線（開高低收量），因為「觸及 20MA」要用當日最低價，而舊序列只有收市價。數據終點 2026-09-28，共 252 個交易日（2025-09-26 起）。</t>
        </is>
      </c>
      <c r="C3" s="2" t="n"/>
      <c r="D3" s="24" t="n"/>
    </row>
    <row r="4" ht="18" customHeight="1">
      <c r="A4" s="23" t="inlineStr"/>
      <c r="B4" s="3" t="inlineStr"/>
      <c r="C4" s="2" t="inlineStr">
        <is>
          <t>門檻</t>
        </is>
      </c>
      <c r="D4" s="24" t="inlineStr">
        <is>
          <t>通過數目</t>
        </is>
      </c>
    </row>
    <row r="5" ht="45" customHeight="1">
      <c r="A5" s="23" t="inlineStr">
        <is>
          <t>股票池</t>
        </is>
      </c>
      <c r="B5" s="3" t="inlineStr">
        <is>
          <t>當日有成交、≥90 個交易日歷史、收市 ≥$2、普通股（ADR、名有 Trust 嘅銀行／REIT、BDC、MLP 保留；基金、優先股、票據剔除）、20 日成交額中位數 ≥$1M</t>
        </is>
      </c>
      <c r="C5" s="2" t="inlineStr">
        <is>
          <t>同 R1–R20</t>
        </is>
      </c>
      <c r="D5" s="24" t="n">
        <v>2767</v>
      </c>
    </row>
    <row r="6" ht="18" customHeight="1">
      <c r="A6" s="23" t="inlineStr">
        <is>
          <t>S1 趨勢</t>
        </is>
      </c>
      <c r="B6" s="3" t="inlineStr">
        <is>
          <t>MA20 高過 5 日前；MA20 &gt; MA50；MA50 高過 10 日前；收市 &gt; MA50</t>
        </is>
      </c>
      <c r="C6" s="2" t="inlineStr"/>
      <c r="D6" s="24" t="n">
        <v>379</v>
      </c>
    </row>
    <row r="7" ht="45" customHeight="1">
      <c r="A7" s="23" t="inlineStr">
        <is>
          <t>S2 近期高位</t>
        </is>
      </c>
      <c r="B7" s="3" t="inlineStr">
        <is>
          <t>近 63 日最高收市喺 2–25 個交易日前出現，而且唔低過數據期內（2025-09-26 起、約一年即 52 周）最高收市嘅 95%</t>
        </is>
      </c>
      <c r="C7" s="2" t="inlineStr"/>
      <c r="D7" s="24" t="n">
        <v>147</v>
      </c>
    </row>
    <row r="8" ht="18" customHeight="1">
      <c r="A8" s="23" t="inlineStr">
        <is>
          <t>S3 回調深度</t>
        </is>
      </c>
      <c r="B8" s="3" t="inlineStr">
        <is>
          <t>收市比嗰個高位低 3%–30%</t>
        </is>
      </c>
      <c r="C8" s="2" t="inlineStr"/>
      <c r="D8" s="24" t="n">
        <v>79</v>
      </c>
    </row>
    <row r="9" ht="18" customHeight="1">
      <c r="A9" s="23" t="inlineStr">
        <is>
          <t>S4 曾經拉開</t>
        </is>
      </c>
      <c r="B9" s="3" t="inlineStr">
        <is>
          <t>近 25 日內，有一日收市高過當日 MA20 至少 8%（即係先離開咗條線，先至講得上「回到」）</t>
        </is>
      </c>
      <c r="C9" s="2" t="inlineStr"/>
      <c r="D9" s="24" t="n">
        <v>58</v>
      </c>
    </row>
    <row r="10" ht="45" customHeight="1">
      <c r="A10" s="23" t="inlineStr">
        <is>
          <t>S5 回到 20MA</t>
        </is>
      </c>
      <c r="B10" s="3" t="inlineStr">
        <is>
          <t>收市喺 MA20 嘅 -3% 至 +3% 之內；而且近 3 日有一日最低價去到當日 MA20 嘅 1.5% 之內（最低價 ≤ MA20×1.015；插穿都計）</t>
        </is>
      </c>
      <c r="C10" s="2" t="inlineStr"/>
      <c r="D10" s="24" t="n">
        <v>23</v>
      </c>
    </row>
    <row r="11" ht="45" customHeight="1">
      <c r="A11" s="23" t="inlineStr">
        <is>
          <t>動能（逐頁）</t>
        </is>
      </c>
      <c r="B11" s="3" t="inlineStr">
        <is>
          <t>1／2／3／6 個月（21／42／63／126 個交易日）回報，喺全體合資格股票排頭 10%（百分位 ≥90%）而且係正數。形態 S1–S5 全部通過、再有至少一個時間框達標就上總表；覆蓋度 = 幾多個時間框達標（1–4）</t>
        </is>
      </c>
      <c r="C11" s="2" t="inlineStr"/>
      <c r="D11" s="24" t="n">
        <v>21</v>
      </c>
    </row>
    <row r="13">
      <c r="A13" s="23" t="inlineStr">
        <is>
          <t>各時間框分界</t>
        </is>
      </c>
    </row>
    <row r="14">
      <c r="A14" s="25" t="inlineStr">
        <is>
          <t>時間框</t>
        </is>
      </c>
      <c r="B14" s="25" t="inlineStr">
        <is>
          <t>合資格股票數</t>
        </is>
      </c>
      <c r="C14" s="25" t="inlineStr">
        <is>
          <t>中位數回報（大市）</t>
        </is>
      </c>
      <c r="D14" s="25" t="inlineStr">
        <is>
          <t>頭 10% 分界回報</t>
        </is>
      </c>
      <c r="E14" s="25" t="inlineStr">
        <is>
          <t>本頁數目</t>
        </is>
      </c>
    </row>
    <row r="15">
      <c r="A15" s="2" t="inlineStr">
        <is>
          <t>1個月（21日）</t>
        </is>
      </c>
      <c r="B15" s="24" t="n">
        <v>2767</v>
      </c>
      <c r="C15" s="11" t="n">
        <v>-0.06044587451160643</v>
      </c>
      <c r="D15" s="11" t="n">
        <v>0.0547092066840353</v>
      </c>
      <c r="E15" s="14" t="n">
        <v>14</v>
      </c>
    </row>
    <row r="16">
      <c r="A16" s="2" t="inlineStr">
        <is>
          <t>2個月（42日）</t>
        </is>
      </c>
      <c r="B16" s="24" t="n">
        <v>2767</v>
      </c>
      <c r="C16" s="11" t="n">
        <v>-0.0448793063041949</v>
      </c>
      <c r="D16" s="11" t="n">
        <v>0.2374418042690295</v>
      </c>
      <c r="E16" s="14" t="n">
        <v>15</v>
      </c>
    </row>
    <row r="17">
      <c r="A17" s="2" t="inlineStr">
        <is>
          <t>3個月（63日）</t>
        </is>
      </c>
      <c r="B17" s="24" t="n">
        <v>2767</v>
      </c>
      <c r="C17" s="11" t="n">
        <v>-0.05375552282768781</v>
      </c>
      <c r="D17" s="11" t="n">
        <v>0.228260323813632</v>
      </c>
      <c r="E17" s="14" t="n">
        <v>15</v>
      </c>
    </row>
    <row r="18">
      <c r="A18" s="2" t="inlineStr">
        <is>
          <t>6個月（126日）</t>
        </is>
      </c>
      <c r="B18" s="24" t="n">
        <v>2724</v>
      </c>
      <c r="C18" s="11" t="n">
        <v>0.08822320440110309</v>
      </c>
      <c r="D18" s="11" t="n">
        <v>0.6713679089709766</v>
      </c>
      <c r="E18" s="14" t="n">
        <v>9</v>
      </c>
    </row>
    <row r="20">
      <c r="A20" s="23" t="inlineStr">
        <is>
          <t>評分</t>
        </is>
      </c>
    </row>
    <row r="21" ht="30" customHeight="1">
      <c r="A21" s="23" t="inlineStr">
        <is>
          <t>動能分數</t>
        </is>
      </c>
      <c r="B21" s="3" t="inlineStr">
        <is>
          <t>四個時間框回報百分位嘅加權平均：1個月 0.2、2個月 0.2、3個月 0.3、6個月 0.3；上市未夠 126 日嘅按有嘅時間框重新攤分權重</t>
        </is>
      </c>
    </row>
    <row r="22" ht="30" customHeight="1">
      <c r="A22" s="23" t="inlineStr">
        <is>
          <t>回調質素</t>
        </is>
      </c>
      <c r="B22" s="3" t="inlineStr">
        <is>
          <t>0.25 量縮 + 0.20 貼近MA20 + 0.15 MA20斜率 + 0.15 回調深度 + 0.15 企穩 + 0.10 波幅收窄；每項 0–1，線性、兩頭封頂</t>
        </is>
      </c>
    </row>
    <row r="23" ht="18" customHeight="1">
      <c r="A23" s="23" t="inlineStr">
        <is>
          <t xml:space="preserve">　量縮</t>
        </is>
      </c>
      <c r="B23" s="3" t="inlineStr">
        <is>
          <t>高位之後嘅平均成交量 ÷ 高位前 20 日（連高位日）平均成交量：≤0.6 滿分、≥1.2 零分</t>
        </is>
      </c>
    </row>
    <row r="24" ht="18" customHeight="1">
      <c r="A24" s="23" t="inlineStr">
        <is>
          <t xml:space="preserve">　貼近MA20</t>
        </is>
      </c>
      <c r="B24" s="3" t="inlineStr">
        <is>
          <t>|收市 ÷ MA20 − 1|：0% 滿分、3% 零分</t>
        </is>
      </c>
    </row>
    <row r="25" ht="18" customHeight="1">
      <c r="A25" s="23" t="inlineStr">
        <is>
          <t xml:space="preserve">　MA20斜率</t>
        </is>
      </c>
      <c r="B25" s="3" t="inlineStr">
        <is>
          <t>MA20 ÷ 5 日前 MA20 − 1：≥3% 滿分、≤0% 零分</t>
        </is>
      </c>
    </row>
    <row r="26" ht="18" customHeight="1">
      <c r="A26" s="23" t="inlineStr">
        <is>
          <t xml:space="preserve">　回調深度</t>
        </is>
      </c>
      <c r="B26" s="3" t="inlineStr">
        <is>
          <t>距高位跌幅：≤15% 滿分、30% 零分</t>
        </is>
      </c>
    </row>
    <row r="27" ht="18" customHeight="1">
      <c r="A27" s="23" t="inlineStr">
        <is>
          <t xml:space="preserve">　企穩</t>
        </is>
      </c>
      <c r="B27" s="3" t="inlineStr">
        <is>
          <t>0.5 × 當日收市喺當日高低區間嘅位置（收喺最高 = 1）+ 0.5 ×（收市 ≥ MA20 就 1）</t>
        </is>
      </c>
    </row>
    <row r="28" ht="18" customHeight="1">
      <c r="A28" s="23" t="inlineStr">
        <is>
          <t xml:space="preserve">　波幅收窄</t>
        </is>
      </c>
      <c r="B28" s="3" t="inlineStr">
        <is>
          <t>ATR5 ÷ ATR20：≤0.7 滿分、≥1.3 零分</t>
        </is>
      </c>
    </row>
    <row r="29" ht="18" customHeight="1">
      <c r="A29" s="23" t="inlineStr">
        <is>
          <t>綜合分數</t>
        </is>
      </c>
      <c r="B29" s="3" t="inlineStr">
        <is>
          <t>0.5 × 動能分數 + 0.5 × 回調質素（時間框頁排名用）</t>
        </is>
      </c>
    </row>
    <row r="30" ht="18" customHeight="1">
      <c r="A30" s="23" t="inlineStr">
        <is>
          <t>爆發潛力分數</t>
        </is>
      </c>
      <c r="B30" s="3" t="inlineStr">
        <is>
          <t>0.4 × 動能分數 + 0.4 × 回調質素 + 0.2 × 覆蓋度 ÷ 4 × 100（總表排名用）</t>
        </is>
      </c>
    </row>
    <row r="31" ht="18" customHeight="1">
      <c r="A31" s="23" t="inlineStr">
        <is>
          <t>欄位顏色</t>
        </is>
      </c>
      <c r="B31" s="3" t="inlineStr">
        <is>
          <t>藍字 = 量度值（輸入）；黑字 = 公式；橙底 = 有審視標記</t>
        </is>
      </c>
    </row>
    <row r="33" ht="60" customHeight="1">
      <c r="A33" s="23" t="inlineStr">
        <is>
          <t>同舊規則分別</t>
        </is>
      </c>
      <c r="B33" s="3" t="inlineStr">
        <is>
          <t>R1–R20：MA（5／10 日）喺 1星期／2星期／1個月／2個月 時間框上升 ＋ 一底高於一底，以 VCP 收縮 × 底部確定性排序 —— 捉嘅係「築底後轉強」。R22.00：先要已經係強勢股（回報排頭 10%），再等佢回調到上升中嘅 20MA —— 捉嘅係「強勢股回調買位」。兩套名單重疊好少係預期之內（見「同R20對照」頁）。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每次只郁一個門檻，睇名單點變（基準 = 本版門檻）</t>
        </is>
      </c>
    </row>
    <row r="3" ht="42" customHeight="1">
      <c r="A3" s="4" t="inlineStr">
        <is>
          <t>門檻</t>
        </is>
      </c>
      <c r="B3" s="4" t="inlineStr">
        <is>
          <t>基準</t>
        </is>
      </c>
      <c r="C3" s="4" t="inlineStr">
        <is>
          <t>改為</t>
        </is>
      </c>
      <c r="D3" s="4" t="inlineStr">
        <is>
          <t>名單數目</t>
        </is>
      </c>
      <c r="E3" s="4" t="inlineStr">
        <is>
          <t>變動</t>
        </is>
      </c>
      <c r="F3" s="4" t="inlineStr">
        <is>
          <t>新增／剔走嘅代號 →</t>
        </is>
      </c>
    </row>
    <row r="4">
      <c r="A4" s="2" t="inlineStr">
        <is>
          <t>觸及容差</t>
        </is>
      </c>
      <c r="B4" s="2" t="n">
        <v>0.015</v>
      </c>
      <c r="C4" s="2" t="n">
        <v>0</v>
      </c>
      <c r="D4" s="14" t="n">
        <v>19</v>
      </c>
      <c r="E4" s="2" t="inlineStr">
        <is>
          <t>+0 / −2</t>
        </is>
      </c>
      <c r="F4" s="5" t="inlineStr">
        <is>
          <t>DC</t>
        </is>
      </c>
      <c r="G4" s="5" t="inlineStr">
        <is>
          <t>DELL</t>
        </is>
      </c>
    </row>
    <row r="5">
      <c r="A5" s="2" t="inlineStr">
        <is>
          <t>觸及容差</t>
        </is>
      </c>
      <c r="B5" s="2" t="n">
        <v>0.015</v>
      </c>
      <c r="C5" s="2" t="n">
        <v>0.03</v>
      </c>
      <c r="D5" s="14" t="n">
        <v>22</v>
      </c>
      <c r="E5" s="2" t="inlineStr">
        <is>
          <t>+1 / −0</t>
        </is>
      </c>
      <c r="F5" s="20" t="inlineStr">
        <is>
          <t>OMER</t>
        </is>
      </c>
    </row>
    <row r="6">
      <c r="A6" s="2" t="inlineStr">
        <is>
          <t>距MA20上限</t>
        </is>
      </c>
      <c r="B6" s="2" t="n">
        <v>0.03</v>
      </c>
      <c r="C6" s="2" t="n">
        <v>0.02</v>
      </c>
      <c r="D6" s="14" t="n">
        <v>19</v>
      </c>
      <c r="E6" s="2" t="inlineStr">
        <is>
          <t>+0 / −2</t>
        </is>
      </c>
      <c r="F6" s="5" t="inlineStr">
        <is>
          <t>FIVN</t>
        </is>
      </c>
      <c r="G6" s="5" t="inlineStr">
        <is>
          <t>TTRX</t>
        </is>
      </c>
    </row>
    <row r="7">
      <c r="A7" s="2" t="inlineStr">
        <is>
          <t>距MA20上限</t>
        </is>
      </c>
      <c r="B7" s="2" t="n">
        <v>0.03</v>
      </c>
      <c r="C7" s="2" t="n">
        <v>0.05</v>
      </c>
      <c r="D7" s="14" t="n">
        <v>24</v>
      </c>
      <c r="E7" s="2" t="inlineStr">
        <is>
          <t>+3 / −0</t>
        </is>
      </c>
      <c r="F7" s="20" t="inlineStr">
        <is>
          <t>NEO</t>
        </is>
      </c>
      <c r="G7" s="20" t="inlineStr">
        <is>
          <t>RNG</t>
        </is>
      </c>
      <c r="H7" s="20" t="inlineStr">
        <is>
          <t>S</t>
        </is>
      </c>
    </row>
    <row r="8">
      <c r="A8" s="2" t="inlineStr">
        <is>
          <t>距MA20下限</t>
        </is>
      </c>
      <c r="B8" s="2" t="n">
        <v>-0.03</v>
      </c>
      <c r="C8" s="2" t="n">
        <v>-0.02</v>
      </c>
      <c r="D8" s="14" t="n">
        <v>19</v>
      </c>
      <c r="E8" s="2" t="inlineStr">
        <is>
          <t>+0 / −2</t>
        </is>
      </c>
      <c r="F8" s="5" t="inlineStr">
        <is>
          <t>PSX</t>
        </is>
      </c>
      <c r="G8" s="5" t="inlineStr">
        <is>
          <t>PURR</t>
        </is>
      </c>
    </row>
    <row r="9">
      <c r="A9" s="2" t="inlineStr">
        <is>
          <t>距MA20下限</t>
        </is>
      </c>
      <c r="B9" s="2" t="n">
        <v>-0.03</v>
      </c>
      <c r="C9" s="2" t="n">
        <v>-0.05</v>
      </c>
      <c r="D9" s="14" t="n">
        <v>28</v>
      </c>
      <c r="E9" s="2" t="inlineStr">
        <is>
          <t>+7 / −0</t>
        </is>
      </c>
      <c r="F9" s="20" t="inlineStr">
        <is>
          <t>ANF</t>
        </is>
      </c>
      <c r="G9" s="20" t="inlineStr">
        <is>
          <t>APA</t>
        </is>
      </c>
      <c r="H9" s="20" t="inlineStr">
        <is>
          <t>BLTE</t>
        </is>
      </c>
      <c r="I9" s="20" t="inlineStr">
        <is>
          <t>CLMT</t>
        </is>
      </c>
      <c r="J9" s="20" t="inlineStr">
        <is>
          <t>GTLB</t>
        </is>
      </c>
      <c r="K9" s="20" t="inlineStr">
        <is>
          <t>HPQ</t>
        </is>
      </c>
      <c r="L9" s="20" t="inlineStr">
        <is>
          <t>TARS</t>
        </is>
      </c>
    </row>
    <row r="10">
      <c r="A10" s="2" t="inlineStr">
        <is>
          <t>曾經拉開</t>
        </is>
      </c>
      <c r="B10" s="2" t="n">
        <v>0.08</v>
      </c>
      <c r="C10" s="2" t="n">
        <v>0.06</v>
      </c>
      <c r="D10" s="14" t="n">
        <v>25</v>
      </c>
      <c r="E10" s="2" t="inlineStr">
        <is>
          <t>+4 / −0</t>
        </is>
      </c>
      <c r="F10" s="20" t="inlineStr">
        <is>
          <t>AVTR</t>
        </is>
      </c>
      <c r="G10" s="20" t="inlineStr">
        <is>
          <t>MGNI</t>
        </is>
      </c>
      <c r="H10" s="20" t="inlineStr">
        <is>
          <t>NSIT</t>
        </is>
      </c>
      <c r="I10" s="20" t="inlineStr">
        <is>
          <t>PBF</t>
        </is>
      </c>
    </row>
    <row r="11">
      <c r="A11" s="2" t="inlineStr">
        <is>
          <t>曾經拉開</t>
        </is>
      </c>
      <c r="B11" s="2" t="n">
        <v>0.08</v>
      </c>
      <c r="C11" s="2" t="n">
        <v>0.1</v>
      </c>
      <c r="D11" s="14" t="n">
        <v>17</v>
      </c>
      <c r="E11" s="2" t="inlineStr">
        <is>
          <t>+0 / −4</t>
        </is>
      </c>
      <c r="F11" s="5" t="inlineStr">
        <is>
          <t>BBY</t>
        </is>
      </c>
      <c r="G11" s="5" t="inlineStr">
        <is>
          <t>MPC</t>
        </is>
      </c>
      <c r="H11" s="5" t="inlineStr">
        <is>
          <t>PSX</t>
        </is>
      </c>
      <c r="I11" s="5" t="inlineStr">
        <is>
          <t>SNOW</t>
        </is>
      </c>
    </row>
    <row r="12">
      <c r="A12" s="2" t="inlineStr">
        <is>
          <t>最淺回調</t>
        </is>
      </c>
      <c r="B12" s="2" t="n">
        <v>0.03</v>
      </c>
      <c r="C12" s="2" t="n">
        <v>0.02</v>
      </c>
      <c r="D12" s="14" t="n">
        <v>25</v>
      </c>
      <c r="E12" s="2" t="inlineStr">
        <is>
          <t>+4 / −0</t>
        </is>
      </c>
      <c r="F12" s="20" t="inlineStr">
        <is>
          <t>AMWL</t>
        </is>
      </c>
      <c r="G12" s="20" t="inlineStr">
        <is>
          <t>CBLL</t>
        </is>
      </c>
      <c r="H12" s="20" t="inlineStr">
        <is>
          <t>DE</t>
        </is>
      </c>
      <c r="I12" s="20" t="inlineStr">
        <is>
          <t>HAE</t>
        </is>
      </c>
    </row>
    <row r="13">
      <c r="A13" s="2" t="inlineStr">
        <is>
          <t>最淺回調</t>
        </is>
      </c>
      <c r="B13" s="2" t="n">
        <v>0.03</v>
      </c>
      <c r="C13" s="2" t="n">
        <v>0.05</v>
      </c>
      <c r="D13" s="14" t="n">
        <v>21</v>
      </c>
      <c r="E13" s="2" t="inlineStr">
        <is>
          <t>+0 / −0</t>
        </is>
      </c>
    </row>
    <row r="14">
      <c r="A14" s="2" t="inlineStr">
        <is>
          <t>最深回調</t>
        </is>
      </c>
      <c r="B14" s="2" t="n">
        <v>0.3</v>
      </c>
      <c r="C14" s="2" t="n">
        <v>0.25</v>
      </c>
      <c r="D14" s="14" t="n">
        <v>21</v>
      </c>
      <c r="E14" s="2" t="inlineStr">
        <is>
          <t>+0 / −0</t>
        </is>
      </c>
    </row>
    <row r="15">
      <c r="A15" s="2" t="inlineStr">
        <is>
          <t>最深回調</t>
        </is>
      </c>
      <c r="B15" s="2" t="n">
        <v>0.3</v>
      </c>
      <c r="C15" s="2" t="n">
        <v>0.35</v>
      </c>
      <c r="D15" s="14" t="n">
        <v>21</v>
      </c>
      <c r="E15" s="2" t="inlineStr">
        <is>
          <t>+0 / −0</t>
        </is>
      </c>
    </row>
    <row r="16">
      <c r="A16" s="2" t="inlineStr">
        <is>
          <t>高位最遠日數</t>
        </is>
      </c>
      <c r="B16" s="2" t="n">
        <v>25</v>
      </c>
      <c r="C16" s="2" t="n">
        <v>20</v>
      </c>
      <c r="D16" s="14" t="n">
        <v>21</v>
      </c>
      <c r="E16" s="2" t="inlineStr">
        <is>
          <t>+0 / −0</t>
        </is>
      </c>
    </row>
    <row r="17">
      <c r="A17" s="2" t="inlineStr">
        <is>
          <t>高位最遠日數</t>
        </is>
      </c>
      <c r="B17" s="2" t="n">
        <v>25</v>
      </c>
      <c r="C17" s="2" t="n">
        <v>30</v>
      </c>
      <c r="D17" s="14" t="n">
        <v>21</v>
      </c>
      <c r="E17" s="2" t="inlineStr">
        <is>
          <t>+0 / −0</t>
        </is>
      </c>
    </row>
    <row r="18">
      <c r="A18" s="2" t="inlineStr">
        <is>
          <t>貼近紀錄高</t>
        </is>
      </c>
      <c r="B18" s="2" t="n">
        <v>0.95</v>
      </c>
      <c r="C18" s="2" t="n">
        <v>0.9</v>
      </c>
      <c r="D18" s="14" t="n">
        <v>24</v>
      </c>
      <c r="E18" s="2" t="inlineStr">
        <is>
          <t>+3 / −0</t>
        </is>
      </c>
      <c r="F18" s="20" t="inlineStr">
        <is>
          <t>ASO</t>
        </is>
      </c>
      <c r="G18" s="20" t="inlineStr">
        <is>
          <t>LITE</t>
        </is>
      </c>
      <c r="H18" s="20" t="inlineStr">
        <is>
          <t>XRX</t>
        </is>
      </c>
    </row>
    <row r="19">
      <c r="A19" s="2" t="inlineStr">
        <is>
          <t>貼近紀錄高</t>
        </is>
      </c>
      <c r="B19" s="2" t="n">
        <v>0.95</v>
      </c>
      <c r="C19" s="2" t="n">
        <v>0.98</v>
      </c>
      <c r="D19" s="14" t="n">
        <v>21</v>
      </c>
      <c r="E19" s="2" t="inlineStr">
        <is>
          <t>+0 / −0</t>
        </is>
      </c>
    </row>
    <row r="20">
      <c r="A20" s="2" t="inlineStr">
        <is>
          <t>動能百分位</t>
        </is>
      </c>
      <c r="B20" s="2" t="n">
        <v>0.9</v>
      </c>
      <c r="C20" s="2" t="n">
        <v>0.85</v>
      </c>
      <c r="D20" s="14" t="n">
        <v>22</v>
      </c>
      <c r="E20" s="2" t="inlineStr">
        <is>
          <t>+1 / −0</t>
        </is>
      </c>
      <c r="F20" s="20" t="inlineStr">
        <is>
          <t>DJCO</t>
        </is>
      </c>
    </row>
    <row r="21">
      <c r="A21" s="2" t="inlineStr">
        <is>
          <t>動能百分位</t>
        </is>
      </c>
      <c r="B21" s="2" t="n">
        <v>0.9</v>
      </c>
      <c r="C21" s="2" t="n">
        <v>0.95</v>
      </c>
      <c r="D21" s="14" t="n">
        <v>18</v>
      </c>
      <c r="E21" s="2" t="inlineStr">
        <is>
          <t>+0 / −3</t>
        </is>
      </c>
      <c r="F21" s="5" t="inlineStr">
        <is>
          <t>BBY</t>
        </is>
      </c>
      <c r="G21" s="5" t="inlineStr">
        <is>
          <t>KGEI</t>
        </is>
      </c>
      <c r="H21" s="5" t="inlineStr">
        <is>
          <t>TH</t>
        </is>
      </c>
    </row>
    <row r="23">
      <c r="A23" s="23" t="inlineStr">
        <is>
          <t>黃底 = 放寬後新增；橙底 = 收緊後剔走</t>
        </is>
      </c>
    </row>
  </sheetData>
  <autoFilter ref="A3:F3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L9" r:id="rId17"/>
    <hyperlink xmlns:r="http://schemas.openxmlformats.org/officeDocument/2006/relationships" ref="F10" r:id="rId18"/>
    <hyperlink xmlns:r="http://schemas.openxmlformats.org/officeDocument/2006/relationships" ref="G10" r:id="rId19"/>
    <hyperlink xmlns:r="http://schemas.openxmlformats.org/officeDocument/2006/relationships" ref="H10" r:id="rId20"/>
    <hyperlink xmlns:r="http://schemas.openxmlformats.org/officeDocument/2006/relationships" ref="I10" r:id="rId21"/>
    <hyperlink xmlns:r="http://schemas.openxmlformats.org/officeDocument/2006/relationships" ref="F11" r:id="rId22"/>
    <hyperlink xmlns:r="http://schemas.openxmlformats.org/officeDocument/2006/relationships" ref="G11" r:id="rId23"/>
    <hyperlink xmlns:r="http://schemas.openxmlformats.org/officeDocument/2006/relationships" ref="H11" r:id="rId24"/>
    <hyperlink xmlns:r="http://schemas.openxmlformats.org/officeDocument/2006/relationships" ref="I11" r:id="rId25"/>
    <hyperlink xmlns:r="http://schemas.openxmlformats.org/officeDocument/2006/relationships" ref="F12" r:id="rId26"/>
    <hyperlink xmlns:r="http://schemas.openxmlformats.org/officeDocument/2006/relationships" ref="G12" r:id="rId27"/>
    <hyperlink xmlns:r="http://schemas.openxmlformats.org/officeDocument/2006/relationships" ref="H12" r:id="rId28"/>
    <hyperlink xmlns:r="http://schemas.openxmlformats.org/officeDocument/2006/relationships" ref="I12" r:id="rId29"/>
    <hyperlink xmlns:r="http://schemas.openxmlformats.org/officeDocument/2006/relationships" ref="F18" r:id="rId30"/>
    <hyperlink xmlns:r="http://schemas.openxmlformats.org/officeDocument/2006/relationships" ref="G18" r:id="rId31"/>
    <hyperlink xmlns:r="http://schemas.openxmlformats.org/officeDocument/2006/relationships" ref="H18" r:id="rId32"/>
    <hyperlink xmlns:r="http://schemas.openxmlformats.org/officeDocument/2006/relationships" ref="F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H21" r:id="rId3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10" customWidth="1" min="4" max="4"/>
    <col width="9" customWidth="1" min="5" max="5"/>
    <col width="9" customWidth="1" min="6" max="6"/>
    <col width="8" customWidth="1" min="7" max="7"/>
    <col width="60" customWidth="1" min="8" max="8"/>
  </cols>
  <sheetData>
    <row r="1">
      <c r="A1" s="1" t="inlineStr">
        <is>
          <t>動能達標、形態只差一項嘅股票（下一兩日最有機會上榜或者已經走遠）</t>
        </is>
      </c>
    </row>
    <row r="3" ht="42" customHeight="1">
      <c r="A3" s="4" t="inlineStr">
        <is>
          <t>代號</t>
        </is>
      </c>
      <c r="B3" s="4" t="inlineStr">
        <is>
          <t>唔通過嘅一項</t>
        </is>
      </c>
      <c r="C3" s="4" t="inlineStr">
        <is>
          <t>覆蓋度</t>
        </is>
      </c>
      <c r="D3" s="4" t="inlineStr">
        <is>
          <t>收市價</t>
        </is>
      </c>
      <c r="E3" s="4" t="inlineStr">
        <is>
          <t>距MA20%</t>
        </is>
      </c>
      <c r="F3" s="4" t="inlineStr">
        <is>
          <t>距高位%</t>
        </is>
      </c>
      <c r="G3" s="4" t="inlineStr">
        <is>
          <t>高位至今</t>
        </is>
      </c>
      <c r="H3" s="4" t="inlineStr">
        <is>
          <t>說明</t>
        </is>
      </c>
    </row>
    <row r="4">
      <c r="A4" s="21" t="inlineStr">
        <is>
          <t>AMPL</t>
        </is>
      </c>
      <c r="B4" s="2" t="inlineStr">
        <is>
          <t>S1 趨勢</t>
        </is>
      </c>
      <c r="C4" s="14" t="n">
        <v>3</v>
      </c>
      <c r="D4" s="7" t="n">
        <v>13.32</v>
      </c>
      <c r="E4" s="12" t="n">
        <v>0.001936927619084372</v>
      </c>
      <c r="F4" s="11" t="n">
        <v>-0.06853146853146852</v>
      </c>
      <c r="G4" s="10" t="n">
        <v>20</v>
      </c>
      <c r="H4" s="3" t="inlineStr">
        <is>
          <t>MA20 ↓（vs 5日前）；MA20 &gt; MA50；MA50 ↑（vs 10日前）；收市 &gt; MA50</t>
        </is>
      </c>
    </row>
    <row r="5">
      <c r="A5" s="21" t="inlineStr">
        <is>
          <t>CORT</t>
        </is>
      </c>
      <c r="B5" s="2" t="inlineStr">
        <is>
          <t>S1 趨勢</t>
        </is>
      </c>
      <c r="C5" s="14" t="n">
        <v>3</v>
      </c>
      <c r="D5" s="7" t="n">
        <v>115.56</v>
      </c>
      <c r="E5" s="12" t="n">
        <v>0.01683729811301049</v>
      </c>
      <c r="F5" s="11" t="n">
        <v>-0.06482155863073558</v>
      </c>
      <c r="G5" s="10" t="n">
        <v>23</v>
      </c>
      <c r="H5" s="3" t="inlineStr">
        <is>
          <t>MA20 ↓（vs 5日前）；MA20 &gt; MA50；MA50 ↑（vs 10日前）；收市 &gt; MA50</t>
        </is>
      </c>
    </row>
    <row r="6">
      <c r="A6" s="21" t="inlineStr">
        <is>
          <t>PAYC</t>
        </is>
      </c>
      <c r="B6" s="2" t="inlineStr">
        <is>
          <t>S1 趨勢</t>
        </is>
      </c>
      <c r="C6" s="14" t="n">
        <v>3</v>
      </c>
      <c r="D6" s="7" t="n">
        <v>220.58</v>
      </c>
      <c r="E6" s="12" t="n">
        <v>-0.02378792237392202</v>
      </c>
      <c r="F6" s="11" t="n">
        <v>-0.08290370863129881</v>
      </c>
      <c r="G6" s="10" t="n">
        <v>16</v>
      </c>
      <c r="H6" s="3" t="inlineStr">
        <is>
          <t>MA20 ↓（vs 5日前）；MA20 &gt; MA50；MA50 ↑（vs 10日前）；收市 &gt; MA50</t>
        </is>
      </c>
    </row>
    <row r="7">
      <c r="A7" s="21" t="inlineStr">
        <is>
          <t>PAYS</t>
        </is>
      </c>
      <c r="B7" s="2" t="inlineStr">
        <is>
          <t>S1 趨勢</t>
        </is>
      </c>
      <c r="C7" s="14" t="n">
        <v>3</v>
      </c>
      <c r="D7" s="7" t="n">
        <v>12.715</v>
      </c>
      <c r="E7" s="12" t="n">
        <v>0.0004130687070933448</v>
      </c>
      <c r="F7" s="11" t="n">
        <v>-0.1007779349363508</v>
      </c>
      <c r="G7" s="10" t="n">
        <v>23</v>
      </c>
      <c r="H7" s="3" t="inlineStr">
        <is>
          <t>MA20 ↓（vs 5日前）；MA20 &gt; MA50；MA50 ↑（vs 10日前）；收市 &gt; MA50</t>
        </is>
      </c>
    </row>
    <row r="8">
      <c r="A8" s="21" t="inlineStr">
        <is>
          <t>RCMT</t>
        </is>
      </c>
      <c r="B8" s="2" t="inlineStr">
        <is>
          <t>S1 趨勢</t>
        </is>
      </c>
      <c r="C8" s="14" t="n">
        <v>3</v>
      </c>
      <c r="D8" s="7" t="n">
        <v>40.67</v>
      </c>
      <c r="E8" s="12" t="n">
        <v>0.006583506583506704</v>
      </c>
      <c r="F8" s="11" t="n">
        <v>-0.03166666666666662</v>
      </c>
      <c r="G8" s="10" t="n">
        <v>23</v>
      </c>
      <c r="H8" s="3" t="inlineStr">
        <is>
          <t>MA20 ↓（vs 5日前）；MA20 &gt; MA50；MA50 ↑（vs 10日前）；收市 &gt; MA50</t>
        </is>
      </c>
    </row>
    <row r="9">
      <c r="A9" s="21" t="inlineStr">
        <is>
          <t>WT</t>
        </is>
      </c>
      <c r="B9" s="2" t="inlineStr">
        <is>
          <t>S1 趨勢</t>
        </is>
      </c>
      <c r="C9" s="14" t="n">
        <v>3</v>
      </c>
      <c r="D9" s="7" t="n">
        <v>24.06</v>
      </c>
      <c r="E9" s="12" t="n">
        <v>0.01403464407636879</v>
      </c>
      <c r="F9" s="11" t="n">
        <v>-0.03913738019169333</v>
      </c>
      <c r="G9" s="10" t="n">
        <v>21</v>
      </c>
      <c r="H9" s="3" t="inlineStr">
        <is>
          <t>MA20 ↓（vs 5日前）；MA20 &gt; MA50；MA50 ↑（vs 10日前）；收市 &gt; MA50</t>
        </is>
      </c>
    </row>
    <row r="10">
      <c r="A10" s="21" t="inlineStr">
        <is>
          <t>XNCR</t>
        </is>
      </c>
      <c r="B10" s="2" t="inlineStr">
        <is>
          <t>S1 趨勢</t>
        </is>
      </c>
      <c r="C10" s="14" t="n">
        <v>3</v>
      </c>
      <c r="D10" s="7" t="n">
        <v>25.6</v>
      </c>
      <c r="E10" s="12" t="n">
        <v>0.01733644627688524</v>
      </c>
      <c r="F10" s="11" t="n">
        <v>-0.1262798634812287</v>
      </c>
      <c r="G10" s="10" t="n">
        <v>23</v>
      </c>
      <c r="H10" s="3" t="inlineStr">
        <is>
          <t>MA20 ↓（vs 5日前）；MA20 &gt; MA50；MA50 ↑（vs 10日前）；收市 &gt; MA50</t>
        </is>
      </c>
    </row>
    <row r="11">
      <c r="A11" s="21" t="inlineStr">
        <is>
          <t>ETON</t>
        </is>
      </c>
      <c r="B11" s="2" t="inlineStr">
        <is>
          <t>S1 趨勢</t>
        </is>
      </c>
      <c r="C11" s="14" t="n">
        <v>2</v>
      </c>
      <c r="D11" s="7" t="n">
        <v>59.25</v>
      </c>
      <c r="E11" s="12" t="n">
        <v>0.02135801830687267</v>
      </c>
      <c r="F11" s="11" t="n">
        <v>-0.08039733043613229</v>
      </c>
      <c r="G11" s="10" t="n">
        <v>24</v>
      </c>
      <c r="H11" s="3" t="inlineStr">
        <is>
          <t>MA20 ↓（vs 5日前）；MA20 &gt; MA50；MA50 ↑（vs 10日前）；收市 &gt; MA50</t>
        </is>
      </c>
    </row>
    <row r="12">
      <c r="A12" s="21" t="inlineStr">
        <is>
          <t>KRO</t>
        </is>
      </c>
      <c r="B12" s="2" t="inlineStr">
        <is>
          <t>S1 趨勢</t>
        </is>
      </c>
      <c r="C12" s="14" t="n">
        <v>2</v>
      </c>
      <c r="D12" s="7" t="n">
        <v>8.140000000000001</v>
      </c>
      <c r="E12" s="12" t="n">
        <v>-0.02122287019780178</v>
      </c>
      <c r="F12" s="11" t="n">
        <v>-0.08641975308641969</v>
      </c>
      <c r="G12" s="10" t="n">
        <v>23</v>
      </c>
      <c r="H12" s="3" t="inlineStr">
        <is>
          <t>MA20 ↓（vs 5日前）；MA20 &gt; MA50；MA50 ↑（vs 10日前）；收市 &gt; MA50</t>
        </is>
      </c>
    </row>
    <row r="13">
      <c r="A13" s="21" t="inlineStr">
        <is>
          <t>MAN</t>
        </is>
      </c>
      <c r="B13" s="2" t="inlineStr">
        <is>
          <t>S1 趨勢</t>
        </is>
      </c>
      <c r="C13" s="14" t="n">
        <v>2</v>
      </c>
      <c r="D13" s="7" t="n">
        <v>57.06</v>
      </c>
      <c r="E13" s="12" t="n">
        <v>-0.0229953940722204</v>
      </c>
      <c r="F13" s="11" t="n">
        <v>-0.09356632247815733</v>
      </c>
      <c r="G13" s="10" t="n">
        <v>19</v>
      </c>
      <c r="H13" s="3" t="inlineStr">
        <is>
          <t>MA20 ↓（vs 5日前）；MA20 &gt; MA50；MA50 ↑（vs 10日前）；收市 ≤ MA50</t>
        </is>
      </c>
    </row>
    <row r="14">
      <c r="A14" s="21" t="inlineStr">
        <is>
          <t>PRCH</t>
        </is>
      </c>
      <c r="B14" s="2" t="inlineStr">
        <is>
          <t>S1 趨勢</t>
        </is>
      </c>
      <c r="C14" s="14" t="n">
        <v>2</v>
      </c>
      <c r="D14" s="7" t="n">
        <v>16.83</v>
      </c>
      <c r="E14" s="12" t="n">
        <v>0.006503700381252031</v>
      </c>
      <c r="F14" s="11" t="n">
        <v>-0.06810631229235886</v>
      </c>
      <c r="G14" s="10" t="n">
        <v>16</v>
      </c>
      <c r="H14" s="3" t="inlineStr">
        <is>
          <t>MA20 ↓（vs 5日前）；MA20 &gt; MA50；MA50 ↑（vs 10日前）；收市 &gt; MA50</t>
        </is>
      </c>
    </row>
    <row r="15">
      <c r="A15" s="21" t="inlineStr">
        <is>
          <t>PSNL</t>
        </is>
      </c>
      <c r="B15" s="2" t="inlineStr">
        <is>
          <t>S1 趨勢</t>
        </is>
      </c>
      <c r="C15" s="14" t="n">
        <v>2</v>
      </c>
      <c r="D15" s="7" t="n">
        <v>16.32</v>
      </c>
      <c r="E15" s="12" t="n">
        <v>-0.009618593925418417</v>
      </c>
      <c r="F15" s="11" t="n">
        <v>-0.1120783460282916</v>
      </c>
      <c r="G15" s="10" t="n">
        <v>25</v>
      </c>
      <c r="H15" s="3" t="inlineStr">
        <is>
          <t>MA20 ↓（vs 5日前）；MA20 &gt; MA50；MA50 ↑（vs 10日前）；收市 &gt; MA50</t>
        </is>
      </c>
    </row>
    <row r="16">
      <c r="A16" s="21" t="inlineStr">
        <is>
          <t>VCTR</t>
        </is>
      </c>
      <c r="B16" s="2" t="inlineStr">
        <is>
          <t>S1 趨勢</t>
        </is>
      </c>
      <c r="C16" s="14" t="n">
        <v>2</v>
      </c>
      <c r="D16" s="7" t="n">
        <v>109.6</v>
      </c>
      <c r="E16" s="12" t="n">
        <v>0.001452837601995549</v>
      </c>
      <c r="F16" s="11" t="n">
        <v>-0.09518698918517299</v>
      </c>
      <c r="G16" s="10" t="n">
        <v>21</v>
      </c>
      <c r="H16" s="3" t="inlineStr">
        <is>
          <t>MA20 ↓（vs 5日前）；MA20 &gt; MA50；MA50 ↑（vs 10日前）；收市 &gt; MA50</t>
        </is>
      </c>
    </row>
    <row r="17">
      <c r="A17" s="21" t="inlineStr">
        <is>
          <t>AMCX</t>
        </is>
      </c>
      <c r="B17" s="2" t="inlineStr">
        <is>
          <t>S1 趨勢</t>
        </is>
      </c>
      <c r="C17" s="14" t="n">
        <v>1</v>
      </c>
      <c r="D17" s="7" t="n">
        <v>12.05</v>
      </c>
      <c r="E17" s="12" t="n">
        <v>-0.007944675420904268</v>
      </c>
      <c r="F17" s="11" t="n">
        <v>-0.06225680933852129</v>
      </c>
      <c r="G17" s="10" t="n">
        <v>23</v>
      </c>
      <c r="H17" s="3" t="inlineStr">
        <is>
          <t>MA20 ↓（vs 5日前）；MA20 &gt; MA50；MA50 ↑（vs 10日前）；收市 &gt; MA50</t>
        </is>
      </c>
    </row>
    <row r="18">
      <c r="A18" s="21" t="inlineStr">
        <is>
          <t>BIO</t>
        </is>
      </c>
      <c r="B18" s="2" t="inlineStr">
        <is>
          <t>S1 趨勢</t>
        </is>
      </c>
      <c r="C18" s="14" t="n">
        <v>1</v>
      </c>
      <c r="D18" s="7" t="n">
        <v>377.55</v>
      </c>
      <c r="E18" s="12" t="n">
        <v>-0.005273329179309338</v>
      </c>
      <c r="F18" s="11" t="n">
        <v>-0.03276630629707422</v>
      </c>
      <c r="G18" s="10" t="n">
        <v>23</v>
      </c>
      <c r="H18" s="3" t="inlineStr">
        <is>
          <t>MA20 ↓（vs 5日前）；MA20 &gt; MA50；MA50 ↑（vs 10日前）；收市 &gt; MA50</t>
        </is>
      </c>
    </row>
    <row r="19">
      <c r="A19" s="21" t="inlineStr">
        <is>
          <t>FNKO</t>
        </is>
      </c>
      <c r="B19" s="2" t="inlineStr">
        <is>
          <t>S1 趨勢</t>
        </is>
      </c>
      <c r="C19" s="14" t="n">
        <v>1</v>
      </c>
      <c r="D19" s="7" t="n">
        <v>5.46</v>
      </c>
      <c r="E19" s="12" t="n">
        <v>-0.02316844082655334</v>
      </c>
      <c r="F19" s="11" t="n">
        <v>-0.2309859154929577</v>
      </c>
      <c r="G19" s="10" t="n">
        <v>20</v>
      </c>
      <c r="H19" s="3" t="inlineStr">
        <is>
          <t>MA20 ↓（vs 5日前）；MA20 ≤ MA50；MA50 ↓（vs 10日前）；收市 ≤ MA50</t>
        </is>
      </c>
    </row>
    <row r="20">
      <c r="A20" s="21" t="inlineStr">
        <is>
          <t>FROG</t>
        </is>
      </c>
      <c r="B20" s="2" t="inlineStr">
        <is>
          <t>S1 趨勢</t>
        </is>
      </c>
      <c r="C20" s="14" t="n">
        <v>1</v>
      </c>
      <c r="D20" s="7" t="n">
        <v>88.79000000000001</v>
      </c>
      <c r="E20" s="12" t="n">
        <v>-0.02713481945730456</v>
      </c>
      <c r="F20" s="11" t="n">
        <v>-0.1464962030183601</v>
      </c>
      <c r="G20" s="10" t="n">
        <v>21</v>
      </c>
      <c r="H20" s="3" t="inlineStr">
        <is>
          <t>MA20 ↓（vs 5日前）；MA20 &gt; MA50；MA50 ↓（vs 10日前）；收市 ≤ MA50</t>
        </is>
      </c>
    </row>
    <row r="21">
      <c r="A21" s="21" t="inlineStr">
        <is>
          <t>CHPT</t>
        </is>
      </c>
      <c r="B21" s="2" t="inlineStr">
        <is>
          <t>S2 近期高位</t>
        </is>
      </c>
      <c r="C21" s="14" t="n">
        <v>4</v>
      </c>
      <c r="D21" s="7" t="n">
        <v>8.75</v>
      </c>
      <c r="E21" s="12" t="n">
        <v>0.01021762974080698</v>
      </c>
      <c r="F21" s="11" t="n">
        <v>-0.1521317829457365</v>
      </c>
      <c r="G21" s="10" t="n">
        <v>6</v>
      </c>
      <c r="H21" s="3" t="inlineStr">
        <is>
          <t>高位喺 6 個交易日前（要 2–25）；高位係紀錄高嘅 84%（要 ≥95%）</t>
        </is>
      </c>
    </row>
    <row r="22">
      <c r="A22" s="21" t="inlineStr">
        <is>
          <t>PD</t>
        </is>
      </c>
      <c r="B22" s="2" t="inlineStr">
        <is>
          <t>S2 近期高位</t>
        </is>
      </c>
      <c r="C22" s="14" t="n">
        <v>4</v>
      </c>
      <c r="D22" s="7" t="n">
        <v>14.48</v>
      </c>
      <c r="E22" s="12" t="n">
        <v>0.01878561879968954</v>
      </c>
      <c r="F22" s="11" t="n">
        <v>-0.03143812709030092</v>
      </c>
      <c r="G22" s="10" t="n">
        <v>2</v>
      </c>
      <c r="H22" s="3" t="inlineStr">
        <is>
          <t>高位喺 2 個交易日前（要 2–25）；高位係紀錄高嘅 90%（要 ≥95%）</t>
        </is>
      </c>
    </row>
    <row r="23">
      <c r="A23" s="21" t="inlineStr">
        <is>
          <t>BE</t>
        </is>
      </c>
      <c r="B23" s="2" t="inlineStr">
        <is>
          <t>S2 近期高位</t>
        </is>
      </c>
      <c r="C23" s="14" t="n">
        <v>3</v>
      </c>
      <c r="D23" s="7" t="n">
        <v>262.9</v>
      </c>
      <c r="E23" s="12" t="n">
        <v>0.01465831988946409</v>
      </c>
      <c r="F23" s="11" t="n">
        <v>-0.1314833168153288</v>
      </c>
      <c r="G23" s="10" t="n">
        <v>62</v>
      </c>
      <c r="H23" s="3" t="inlineStr">
        <is>
          <t>高位喺 62 個交易日前（要 2–25）；高位係紀錄高嘅 88%（要 ≥95%）</t>
        </is>
      </c>
    </row>
    <row r="24">
      <c r="A24" s="21" t="inlineStr">
        <is>
          <t>DFDV</t>
        </is>
      </c>
      <c r="B24" s="2" t="inlineStr">
        <is>
          <t>S2 近期高位</t>
        </is>
      </c>
      <c r="C24" s="14" t="n">
        <v>3</v>
      </c>
      <c r="D24" s="7" t="n">
        <v>5.575</v>
      </c>
      <c r="E24" s="12" t="n">
        <v>0.006181473627216105</v>
      </c>
      <c r="F24" s="11" t="n">
        <v>-0.1436251920122887</v>
      </c>
      <c r="G24" s="10" t="n">
        <v>5</v>
      </c>
      <c r="H24" s="3" t="inlineStr">
        <is>
          <t>高位喺 5 個交易日前（要 2–25）；高位係紀錄高嘅 36%（要 ≥95%）</t>
        </is>
      </c>
    </row>
    <row r="25">
      <c r="A25" s="21" t="inlineStr">
        <is>
          <t>HOOD</t>
        </is>
      </c>
      <c r="B25" s="2" t="inlineStr">
        <is>
          <t>S2 近期高位</t>
        </is>
      </c>
      <c r="C25" s="14" t="n">
        <v>3</v>
      </c>
      <c r="D25" s="7" t="n">
        <v>116.505</v>
      </c>
      <c r="E25" s="12" t="n">
        <v>0.01024728318010126</v>
      </c>
      <c r="F25" s="11" t="n">
        <v>-0.0658675432969853</v>
      </c>
      <c r="G25" s="10" t="n">
        <v>16</v>
      </c>
      <c r="H25" s="3" t="inlineStr">
        <is>
          <t>高位喺 16 個交易日前（要 2–25）；高位係紀錄高嘅 82%（要 ≥95%）</t>
        </is>
      </c>
    </row>
    <row r="26">
      <c r="A26" s="21" t="inlineStr">
        <is>
          <t>INSP</t>
        </is>
      </c>
      <c r="B26" s="2" t="inlineStr">
        <is>
          <t>S2 近期高位</t>
        </is>
      </c>
      <c r="C26" s="14" t="n">
        <v>3</v>
      </c>
      <c r="D26" s="7" t="n">
        <v>70</v>
      </c>
      <c r="E26" s="12" t="n">
        <v>0.01514008933232724</v>
      </c>
      <c r="F26" s="11" t="n">
        <v>-0.08830424589736907</v>
      </c>
      <c r="G26" s="10" t="n">
        <v>6</v>
      </c>
      <c r="H26" s="3" t="inlineStr">
        <is>
          <t>高位喺 6 個交易日前（要 2–25）；高位係紀錄高嘅 53%（要 ≥95%）</t>
        </is>
      </c>
    </row>
    <row r="27">
      <c r="A27" s="21" t="inlineStr">
        <is>
          <t>NMAX</t>
        </is>
      </c>
      <c r="B27" s="2" t="inlineStr">
        <is>
          <t>S2 近期高位</t>
        </is>
      </c>
      <c r="C27" s="14" t="n">
        <v>3</v>
      </c>
      <c r="D27" s="7" t="n">
        <v>10.92</v>
      </c>
      <c r="E27" s="12" t="n">
        <v>0.009755420962594519</v>
      </c>
      <c r="F27" s="11" t="n">
        <v>-0.04461942257217844</v>
      </c>
      <c r="G27" s="10" t="n">
        <v>28</v>
      </c>
      <c r="H27" s="3" t="inlineStr">
        <is>
          <t>高位喺 28 個交易日前（要 2–25）；高位係紀錄高嘅 88%（要 ≥95%）</t>
        </is>
      </c>
    </row>
    <row r="28">
      <c r="A28" s="21" t="inlineStr">
        <is>
          <t>SNDK</t>
        </is>
      </c>
      <c r="B28" s="2" t="inlineStr">
        <is>
          <t>S2 近期高位</t>
        </is>
      </c>
      <c r="C28" s="14" t="n">
        <v>3</v>
      </c>
      <c r="D28" s="7" t="n">
        <v>1712.89</v>
      </c>
      <c r="E28" s="12" t="n">
        <v>0.02250842570008849</v>
      </c>
      <c r="F28" s="11" t="n">
        <v>-0.2466607732668347</v>
      </c>
      <c r="G28" s="10" t="n">
        <v>62</v>
      </c>
      <c r="H28" s="3" t="inlineStr">
        <is>
          <t>高位喺 62 個交易日前（要 2–25）；高位係紀錄高嘅 97%（要 ≥95%）</t>
        </is>
      </c>
    </row>
    <row r="29">
      <c r="A29" s="21" t="inlineStr">
        <is>
          <t>APPS</t>
        </is>
      </c>
      <c r="B29" s="2" t="inlineStr">
        <is>
          <t>S2 近期高位</t>
        </is>
      </c>
      <c r="C29" s="14" t="n">
        <v>2</v>
      </c>
      <c r="D29" s="7" t="n">
        <v>11.21</v>
      </c>
      <c r="E29" s="12" t="n">
        <v>0.006961598922074819</v>
      </c>
      <c r="F29" s="11" t="n">
        <v>-0.2209867963863794</v>
      </c>
      <c r="G29" s="10" t="n">
        <v>34</v>
      </c>
      <c r="H29" s="3" t="inlineStr">
        <is>
          <t>高位喺 34 個交易日前（要 2–25）；高位係紀錄高嘅 100%（要 ≥95%）</t>
        </is>
      </c>
    </row>
    <row r="30">
      <c r="A30" s="21" t="inlineStr">
        <is>
          <t>BBNX</t>
        </is>
      </c>
      <c r="B30" s="2" t="inlineStr">
        <is>
          <t>S2 近期高位</t>
        </is>
      </c>
      <c r="C30" s="14" t="n">
        <v>2</v>
      </c>
      <c r="D30" s="7" t="n">
        <v>20.52</v>
      </c>
      <c r="E30" s="12" t="n">
        <v>0.0260641290080621</v>
      </c>
      <c r="F30" s="11" t="n">
        <v>-0.1003945637878123</v>
      </c>
      <c r="G30" s="10" t="n">
        <v>4</v>
      </c>
      <c r="H30" s="3" t="inlineStr">
        <is>
          <t>高位喺 4 個交易日前（要 2–25）；高位係紀錄高嘅 71%（要 ≥95%）</t>
        </is>
      </c>
    </row>
    <row r="31">
      <c r="A31" s="21" t="inlineStr">
        <is>
          <t>HYLN</t>
        </is>
      </c>
      <c r="B31" s="2" t="inlineStr">
        <is>
          <t>S2 近期高位</t>
        </is>
      </c>
      <c r="C31" s="14" t="n">
        <v>2</v>
      </c>
      <c r="D31" s="7" t="n">
        <v>3.98</v>
      </c>
      <c r="E31" s="12" t="n">
        <v>0.01105042550488711</v>
      </c>
      <c r="F31" s="11" t="n">
        <v>-0.236084452975048</v>
      </c>
      <c r="G31" s="10" t="n">
        <v>62</v>
      </c>
      <c r="H31" s="3" t="inlineStr">
        <is>
          <t>高位喺 62 個交易日前（要 2–25）；高位係紀錄高嘅 64%（要 ≥95%）</t>
        </is>
      </c>
    </row>
    <row r="32">
      <c r="A32" s="21" t="inlineStr">
        <is>
          <t>NRGV</t>
        </is>
      </c>
      <c r="B32" s="2" t="inlineStr">
        <is>
          <t>S2 近期高位</t>
        </is>
      </c>
      <c r="C32" s="14" t="n">
        <v>2</v>
      </c>
      <c r="D32" s="7" t="n">
        <v>4.055</v>
      </c>
      <c r="E32" s="12" t="n">
        <v>-0.01738656327618415</v>
      </c>
      <c r="F32" s="11" t="n">
        <v>-0.149895178197065</v>
      </c>
      <c r="G32" s="10" t="n">
        <v>4</v>
      </c>
      <c r="H32" s="3" t="inlineStr">
        <is>
          <t>高位喺 4 個交易日前（要 2–25）；高位係紀錄高嘅 73%（要 ≥95%）</t>
        </is>
      </c>
    </row>
    <row r="33">
      <c r="A33" s="21" t="inlineStr">
        <is>
          <t>TASK</t>
        </is>
      </c>
      <c r="B33" s="2" t="inlineStr">
        <is>
          <t>S2 近期高位</t>
        </is>
      </c>
      <c r="C33" s="14" t="n">
        <v>2</v>
      </c>
      <c r="D33" s="7" t="n">
        <v>8.1</v>
      </c>
      <c r="E33" s="12" t="n">
        <v>9.260116677944907e-05</v>
      </c>
      <c r="F33" s="11" t="n">
        <v>-0.06358381502890187</v>
      </c>
      <c r="G33" s="10" t="n">
        <v>4</v>
      </c>
      <c r="H33" s="3" t="inlineStr">
        <is>
          <t>高位喺 4 個交易日前（要 2–25）；高位係紀錄高嘅 48%（要 ≥95%）</t>
        </is>
      </c>
    </row>
    <row r="34">
      <c r="A34" s="21" t="inlineStr">
        <is>
          <t>VSTM</t>
        </is>
      </c>
      <c r="B34" s="2" t="inlineStr">
        <is>
          <t>S2 近期高位</t>
        </is>
      </c>
      <c r="C34" s="14" t="n">
        <v>2</v>
      </c>
      <c r="D34" s="7" t="n">
        <v>7.77</v>
      </c>
      <c r="E34" s="12" t="n">
        <v>0.002580645161293305</v>
      </c>
      <c r="F34" s="11" t="n">
        <v>-0.07168458781362008</v>
      </c>
      <c r="G34" s="10" t="n">
        <v>4</v>
      </c>
      <c r="H34" s="3" t="inlineStr">
        <is>
          <t>高位喺 4 個交易日前（要 2–25）；高位係紀錄高嘅 79%（要 ≥95%）</t>
        </is>
      </c>
    </row>
    <row r="35">
      <c r="A35" s="21" t="inlineStr">
        <is>
          <t>XRX</t>
        </is>
      </c>
      <c r="B35" s="2" t="inlineStr">
        <is>
          <t>S2 近期高位</t>
        </is>
      </c>
      <c r="C35" s="14" t="n">
        <v>2</v>
      </c>
      <c r="D35" s="7" t="n">
        <v>3.26</v>
      </c>
      <c r="E35" s="12" t="n">
        <v>-0.02131492044431116</v>
      </c>
      <c r="F35" s="11" t="n">
        <v>-0.09944751381215478</v>
      </c>
      <c r="G35" s="10" t="n">
        <v>7</v>
      </c>
      <c r="H35" s="3" t="inlineStr">
        <is>
          <t>高位喺 7 個交易日前（要 2–25）；高位係紀錄高嘅 93%（要 ≥95%）</t>
        </is>
      </c>
    </row>
    <row r="36">
      <c r="A36" s="21" t="inlineStr">
        <is>
          <t>ABTC</t>
        </is>
      </c>
      <c r="B36" s="2" t="inlineStr">
        <is>
          <t>S2 近期高位</t>
        </is>
      </c>
      <c r="C36" s="14" t="n">
        <v>1</v>
      </c>
      <c r="D36" s="7" t="n">
        <v>8.845000000000001</v>
      </c>
      <c r="E36" s="12" t="n">
        <v>0.007374505281737553</v>
      </c>
      <c r="F36" s="11" t="n">
        <v>-0.1412621359223301</v>
      </c>
      <c r="G36" s="10" t="n">
        <v>5</v>
      </c>
      <c r="H36" s="3" t="inlineStr">
        <is>
          <t>高位喺 5 個交易日前（要 2–25）；高位係紀錄高嘅 9%（要 ≥95%）</t>
        </is>
      </c>
    </row>
    <row r="37">
      <c r="A37" s="21" t="inlineStr">
        <is>
          <t>ASO</t>
        </is>
      </c>
      <c r="B37" s="2" t="inlineStr">
        <is>
          <t>S2 近期高位</t>
        </is>
      </c>
      <c r="C37" s="14" t="n">
        <v>1</v>
      </c>
      <c r="D37" s="7" t="n">
        <v>48.63</v>
      </c>
      <c r="E37" s="12" t="n">
        <v>0.00402083193542091</v>
      </c>
      <c r="F37" s="11" t="n">
        <v>-0.1215679190751444</v>
      </c>
      <c r="G37" s="10" t="n">
        <v>11</v>
      </c>
      <c r="H37" s="3" t="inlineStr">
        <is>
          <t>高位喺 11 個交易日前（要 2–25）；高位係紀錄高嘅 90%（要 ≥95%）</t>
        </is>
      </c>
    </row>
    <row r="38">
      <c r="A38" s="21" t="inlineStr">
        <is>
          <t>CSR</t>
        </is>
      </c>
      <c r="B38" s="2" t="inlineStr">
        <is>
          <t>S2 近期高位</t>
        </is>
      </c>
      <c r="C38" s="14" t="n">
        <v>1</v>
      </c>
      <c r="D38" s="7" t="n">
        <v>55.59</v>
      </c>
      <c r="E38" s="12" t="n">
        <v>0.003791982665218407</v>
      </c>
      <c r="F38" s="11" t="n">
        <v>-0.05168884339815749</v>
      </c>
      <c r="G38" s="10" t="n">
        <v>10</v>
      </c>
      <c r="H38" s="3" t="inlineStr">
        <is>
          <t>高位喺 10 個交易日前（要 2–25）；高位係紀錄高嘅 85%（要 ≥95%）</t>
        </is>
      </c>
    </row>
    <row r="39">
      <c r="A39" s="21" t="inlineStr">
        <is>
          <t>DOCS</t>
        </is>
      </c>
      <c r="B39" s="2" t="inlineStr">
        <is>
          <t>S2 近期高位</t>
        </is>
      </c>
      <c r="C39" s="14" t="n">
        <v>1</v>
      </c>
      <c r="D39" s="7" t="n">
        <v>26.205</v>
      </c>
      <c r="E39" s="12" t="n">
        <v>0.005824609213820553</v>
      </c>
      <c r="F39" s="11" t="n">
        <v>-0.04361313868613137</v>
      </c>
      <c r="G39" s="10" t="n">
        <v>35</v>
      </c>
      <c r="H39" s="3" t="inlineStr">
        <is>
          <t>高位喺 35 個交易日前（要 2–25）；高位係紀錄高嘅 36%（要 ≥95%）</t>
        </is>
      </c>
    </row>
    <row r="40">
      <c r="A40" s="21" t="inlineStr">
        <is>
          <t>DOCU</t>
        </is>
      </c>
      <c r="B40" s="2" t="inlineStr">
        <is>
          <t>S2 近期高位</t>
        </is>
      </c>
      <c r="C40" s="14" t="n">
        <v>1</v>
      </c>
      <c r="D40" s="7" t="n">
        <v>67.06</v>
      </c>
      <c r="E40" s="12" t="n">
        <v>-0.007804697614201106</v>
      </c>
      <c r="F40" s="11" t="n">
        <v>-0.06666666666666654</v>
      </c>
      <c r="G40" s="10" t="n">
        <v>9</v>
      </c>
      <c r="H40" s="3" t="inlineStr">
        <is>
          <t>高位喺 9 個交易日前（要 2–25）；高位係紀錄高嘅 87%（要 ≥95%）</t>
        </is>
      </c>
    </row>
    <row r="41">
      <c r="A41" s="21" t="inlineStr">
        <is>
          <t>IBRX</t>
        </is>
      </c>
      <c r="B41" s="2" t="inlineStr">
        <is>
          <t>S2 近期高位</t>
        </is>
      </c>
      <c r="C41" s="14" t="n">
        <v>1</v>
      </c>
      <c r="D41" s="7" t="n">
        <v>8.51</v>
      </c>
      <c r="E41" s="12" t="n">
        <v>0.02939397604935046</v>
      </c>
      <c r="F41" s="11" t="n">
        <v>-0.09851694915254239</v>
      </c>
      <c r="G41" s="10" t="n">
        <v>60</v>
      </c>
      <c r="H41" s="3" t="inlineStr">
        <is>
          <t>高位喺 60 個交易日前（要 2–25）；高位係紀錄高嘅 82%（要 ≥95%）</t>
        </is>
      </c>
    </row>
    <row r="42">
      <c r="A42" s="21" t="inlineStr">
        <is>
          <t>LAND</t>
        </is>
      </c>
      <c r="B42" s="2" t="inlineStr">
        <is>
          <t>S2 近期高位</t>
        </is>
      </c>
      <c r="C42" s="14" t="n">
        <v>1</v>
      </c>
      <c r="D42" s="7" t="n">
        <v>9.390000000000001</v>
      </c>
      <c r="E42" s="12" t="n">
        <v>-0.01440604581594696</v>
      </c>
      <c r="F42" s="11" t="n">
        <v>-0.04476093591047803</v>
      </c>
      <c r="G42" s="10" t="n">
        <v>15</v>
      </c>
      <c r="H42" s="3" t="inlineStr">
        <is>
          <t>高位喺 15 個交易日前（要 2–25）；高位係紀錄高嘅 79%（要 ≥95%）</t>
        </is>
      </c>
    </row>
    <row r="43">
      <c r="A43" s="21" t="inlineStr">
        <is>
          <t>LITE</t>
        </is>
      </c>
      <c r="B43" s="2" t="inlineStr">
        <is>
          <t>S2 近期高位</t>
        </is>
      </c>
      <c r="C43" s="14" t="n">
        <v>1</v>
      </c>
      <c r="D43" s="7" t="n">
        <v>921.66</v>
      </c>
      <c r="E43" s="12" t="n">
        <v>0.009453149899947499</v>
      </c>
      <c r="F43" s="11" t="n">
        <v>-0.06807013286416308</v>
      </c>
      <c r="G43" s="10" t="n">
        <v>13</v>
      </c>
      <c r="H43" s="3" t="inlineStr">
        <is>
          <t>高位喺 13 個交易日前（要 2–25）；高位係紀錄高嘅 94%（要 ≥95%）</t>
        </is>
      </c>
    </row>
    <row r="44">
      <c r="A44" s="21" t="inlineStr">
        <is>
          <t>PPHC</t>
        </is>
      </c>
      <c r="B44" s="2" t="inlineStr">
        <is>
          <t>S2 近期高位</t>
        </is>
      </c>
      <c r="C44" s="14" t="n">
        <v>1</v>
      </c>
      <c r="D44" s="7" t="n">
        <v>11.23</v>
      </c>
      <c r="E44" s="12" t="n">
        <v>-0.0282945401055642</v>
      </c>
      <c r="F44" s="11" t="n">
        <v>-0.1434019832189168</v>
      </c>
      <c r="G44" s="10" t="n">
        <v>6</v>
      </c>
      <c r="H44" s="3" t="inlineStr">
        <is>
          <t>高位喺 6 個交易日前（要 2–25）；高位係紀錄高嘅 90%（要 ≥95%）</t>
        </is>
      </c>
    </row>
    <row r="45">
      <c r="A45" s="21" t="inlineStr">
        <is>
          <t>RIOT</t>
        </is>
      </c>
      <c r="B45" s="2" t="inlineStr">
        <is>
          <t>S2 近期高位</t>
        </is>
      </c>
      <c r="C45" s="14" t="n">
        <v>1</v>
      </c>
      <c r="D45" s="7" t="n">
        <v>21.62</v>
      </c>
      <c r="E45" s="12" t="n">
        <v>-0.002859514804907981</v>
      </c>
      <c r="F45" s="11" t="n">
        <v>-0.2103725346968589</v>
      </c>
      <c r="G45" s="10" t="n">
        <v>62</v>
      </c>
      <c r="H45" s="3" t="inlineStr">
        <is>
          <t>高位喺 62 個交易日前（要 2–25）；高位係紀錄高嘅 95%（要 ≥95%）</t>
        </is>
      </c>
    </row>
    <row r="46">
      <c r="A46" s="21" t="inlineStr">
        <is>
          <t>SPCE</t>
        </is>
      </c>
      <c r="B46" s="2" t="inlineStr">
        <is>
          <t>S2 近期高位</t>
        </is>
      </c>
      <c r="C46" s="14" t="n">
        <v>1</v>
      </c>
      <c r="D46" s="7" t="n">
        <v>3.14</v>
      </c>
      <c r="E46" s="12" t="n">
        <v>0.0269828291087495</v>
      </c>
      <c r="F46" s="11" t="n">
        <v>-0.05421686746987942</v>
      </c>
      <c r="G46" s="10" t="n">
        <v>4</v>
      </c>
      <c r="H46" s="3" t="inlineStr">
        <is>
          <t>高位喺 4 個交易日前（要 2–25）；高位係紀錄高嘅 44%（要 ≥95%）</t>
        </is>
      </c>
    </row>
    <row r="47">
      <c r="A47" s="21" t="inlineStr">
        <is>
          <t>TGTX</t>
        </is>
      </c>
      <c r="B47" s="2" t="inlineStr">
        <is>
          <t>S2 近期高位</t>
        </is>
      </c>
      <c r="C47" s="14" t="n">
        <v>1</v>
      </c>
      <c r="D47" s="7" t="n">
        <v>56.19</v>
      </c>
      <c r="E47" s="12" t="n">
        <v>0.004922672461201927</v>
      </c>
      <c r="F47" s="11" t="n">
        <v>-0.04859464950897396</v>
      </c>
      <c r="G47" s="10" t="n">
        <v>56</v>
      </c>
      <c r="H47" s="3" t="inlineStr">
        <is>
          <t>高位喺 56 個交易日前（要 2–25）；高位係紀錄高嘅 100%（要 ≥95%）</t>
        </is>
      </c>
    </row>
    <row r="48">
      <c r="A48" s="21" t="inlineStr">
        <is>
          <t>WLTH</t>
        </is>
      </c>
      <c r="B48" s="2" t="inlineStr">
        <is>
          <t>S2 近期高位</t>
        </is>
      </c>
      <c r="C48" s="14" t="n">
        <v>1</v>
      </c>
      <c r="D48" s="7" t="n">
        <v>10</v>
      </c>
      <c r="E48" s="12" t="n">
        <v>0.007861318282604168</v>
      </c>
      <c r="F48" s="11" t="n">
        <v>-0.08088235294117652</v>
      </c>
      <c r="G48" s="10" t="n">
        <v>12</v>
      </c>
      <c r="H48" s="3" t="inlineStr">
        <is>
          <t>高位喺 12 個交易日前（要 2–25）；高位係紀錄高嘅 78%（要 ≥95%）</t>
        </is>
      </c>
    </row>
    <row r="49">
      <c r="A49" s="21" t="inlineStr">
        <is>
          <t>AMWL</t>
        </is>
      </c>
      <c r="B49" s="2" t="inlineStr">
        <is>
          <t>S3 回調深度</t>
        </is>
      </c>
      <c r="C49" s="14" t="n">
        <v>4</v>
      </c>
      <c r="D49" s="7" t="n">
        <v>13.5</v>
      </c>
      <c r="E49" s="12" t="n">
        <v>0.02649887845492915</v>
      </c>
      <c r="F49" s="11" t="n">
        <v>-0.02667627974044695</v>
      </c>
      <c r="G49" s="10" t="n">
        <v>10</v>
      </c>
      <c r="H49" s="3" t="inlineStr">
        <is>
          <t>距高位 -2.7%（要 −3% 至 −30%）</t>
        </is>
      </c>
    </row>
    <row r="50">
      <c r="A50" s="21" t="inlineStr">
        <is>
          <t>HAE</t>
        </is>
      </c>
      <c r="B50" s="2" t="inlineStr">
        <is>
          <t>S3 回調深度</t>
        </is>
      </c>
      <c r="C50" s="14" t="n">
        <v>3</v>
      </c>
      <c r="D50" s="7" t="n">
        <v>105.85</v>
      </c>
      <c r="E50" s="12" t="n">
        <v>0.008368938235617129</v>
      </c>
      <c r="F50" s="11" t="n">
        <v>-0.02711397058823528</v>
      </c>
      <c r="G50" s="10" t="n">
        <v>25</v>
      </c>
      <c r="H50" s="3" t="inlineStr">
        <is>
          <t>距高位 -2.7%（要 −3% 至 −30%）</t>
        </is>
      </c>
    </row>
    <row r="51">
      <c r="A51" s="21" t="inlineStr">
        <is>
          <t>HTFL</t>
        </is>
      </c>
      <c r="B51" s="2" t="inlineStr">
        <is>
          <t>S3 回調深度</t>
        </is>
      </c>
      <c r="C51" s="14" t="n">
        <v>3</v>
      </c>
      <c r="D51" s="7" t="n">
        <v>49.93</v>
      </c>
      <c r="E51" s="12" t="n">
        <v>0.01755708855986948</v>
      </c>
      <c r="F51" s="11" t="n">
        <v>-0.01615763546798032</v>
      </c>
      <c r="G51" s="10" t="n">
        <v>6</v>
      </c>
      <c r="H51" s="3" t="inlineStr">
        <is>
          <t>距高位 -1.6%（要 −3% 至 −30%）</t>
        </is>
      </c>
    </row>
    <row r="52">
      <c r="A52" s="21" t="inlineStr">
        <is>
          <t>HZO</t>
        </is>
      </c>
      <c r="B52" s="2" t="inlineStr">
        <is>
          <t>S3 回調深度</t>
        </is>
      </c>
      <c r="C52" s="14" t="n">
        <v>3</v>
      </c>
      <c r="D52" s="7" t="n">
        <v>52.4</v>
      </c>
      <c r="E52" s="12" t="n">
        <v>0.002007840137681738</v>
      </c>
      <c r="F52" s="11" t="n">
        <v>-0.003044140030441511</v>
      </c>
      <c r="G52" s="10" t="n">
        <v>6</v>
      </c>
      <c r="H52" s="3" t="inlineStr">
        <is>
          <t>距高位 -0.3%（要 −3% 至 −30%）</t>
        </is>
      </c>
    </row>
    <row r="53">
      <c r="A53" s="21" t="inlineStr">
        <is>
          <t>CBLL</t>
        </is>
      </c>
      <c r="B53" s="2" t="inlineStr">
        <is>
          <t>S3 回調深度</t>
        </is>
      </c>
      <c r="C53" s="14" t="n">
        <v>2</v>
      </c>
      <c r="D53" s="7" t="n">
        <v>24.53</v>
      </c>
      <c r="E53" s="12" t="n">
        <v>0.009797464185741678</v>
      </c>
      <c r="F53" s="11" t="n">
        <v>-0.02036741214057503</v>
      </c>
      <c r="G53" s="10" t="n">
        <v>9</v>
      </c>
      <c r="H53" s="3" t="inlineStr">
        <is>
          <t>距高位 -2.0%（要 −3% 至 −30%）</t>
        </is>
      </c>
    </row>
    <row r="54">
      <c r="A54" s="21" t="inlineStr">
        <is>
          <t>DE</t>
        </is>
      </c>
      <c r="B54" s="2" t="inlineStr">
        <is>
          <t>S3 回調深度</t>
        </is>
      </c>
      <c r="C54" s="14" t="n">
        <v>1</v>
      </c>
      <c r="D54" s="7" t="n">
        <v>689.59</v>
      </c>
      <c r="E54" s="12" t="n">
        <v>0.006272513229771626</v>
      </c>
      <c r="F54" s="11" t="n">
        <v>-0.02803461690252018</v>
      </c>
      <c r="G54" s="10" t="n">
        <v>3</v>
      </c>
      <c r="H54" s="3" t="inlineStr">
        <is>
          <t>距高位 -2.8%（要 −3% 至 −30%）</t>
        </is>
      </c>
    </row>
    <row r="55">
      <c r="A55" s="21" t="inlineStr">
        <is>
          <t>EXEL</t>
        </is>
      </c>
      <c r="B55" s="2" t="inlineStr">
        <is>
          <t>S3 回調深度</t>
        </is>
      </c>
      <c r="C55" s="14" t="n">
        <v>1</v>
      </c>
      <c r="D55" s="7" t="n">
        <v>58.36</v>
      </c>
      <c r="E55" s="12" t="n">
        <v>0.01402185811339152</v>
      </c>
      <c r="F55" s="11" t="n">
        <v>-0.01302215457466604</v>
      </c>
      <c r="G55" s="10" t="n">
        <v>16</v>
      </c>
      <c r="H55" s="3" t="inlineStr">
        <is>
          <t>距高位 -1.3%（要 −3% 至 −30%）</t>
        </is>
      </c>
    </row>
    <row r="56">
      <c r="A56" s="21" t="inlineStr">
        <is>
          <t>AVTR</t>
        </is>
      </c>
      <c r="B56" s="2" t="inlineStr">
        <is>
          <t>S4 曾經拉開</t>
        </is>
      </c>
      <c r="C56" s="14" t="n">
        <v>2</v>
      </c>
      <c r="D56" s="7" t="n">
        <v>15.29</v>
      </c>
      <c r="E56" s="12" t="n">
        <v>0.01365685494563684</v>
      </c>
      <c r="F56" s="11" t="n">
        <v>-0.03593947036569989</v>
      </c>
      <c r="G56" s="10" t="n">
        <v>7</v>
      </c>
      <c r="H56" s="3" t="inlineStr">
        <is>
          <t>25 日內最多只係高過 MA20 7.4%（要 ≥8%）</t>
        </is>
      </c>
    </row>
    <row r="57">
      <c r="A57" s="21" t="inlineStr">
        <is>
          <t>NSIT</t>
        </is>
      </c>
      <c r="B57" s="2" t="inlineStr">
        <is>
          <t>S4 曾經拉開</t>
        </is>
      </c>
      <c r="C57" s="14" t="n">
        <v>2</v>
      </c>
      <c r="D57" s="7" t="n">
        <v>156.06</v>
      </c>
      <c r="E57" s="12" t="n">
        <v>-0.01266591590641686</v>
      </c>
      <c r="F57" s="11" t="n">
        <v>-0.05629799842776806</v>
      </c>
      <c r="G57" s="10" t="n">
        <v>11</v>
      </c>
      <c r="H57" s="3" t="inlineStr">
        <is>
          <t>25 日內最多只係高過 MA20 7.7%（要 ≥8%）</t>
        </is>
      </c>
    </row>
    <row r="58">
      <c r="A58" s="21" t="inlineStr">
        <is>
          <t>PBF</t>
        </is>
      </c>
      <c r="B58" s="2" t="inlineStr">
        <is>
          <t>S4 曾經拉開</t>
        </is>
      </c>
      <c r="C58" s="14" t="n">
        <v>2</v>
      </c>
      <c r="D58" s="7" t="n">
        <v>74.39</v>
      </c>
      <c r="E58" s="12" t="n">
        <v>-0.002520850653006113</v>
      </c>
      <c r="F58" s="11" t="n">
        <v>-0.04993614303959126</v>
      </c>
      <c r="G58" s="10" t="n">
        <v>11</v>
      </c>
      <c r="H58" s="3" t="inlineStr">
        <is>
          <t>25 日內最多只係高過 MA20 7.3%（要 ≥8%）</t>
        </is>
      </c>
    </row>
    <row r="59">
      <c r="A59" s="21" t="inlineStr">
        <is>
          <t>MGNI</t>
        </is>
      </c>
      <c r="B59" s="2" t="inlineStr">
        <is>
          <t>S4 曾經拉開</t>
        </is>
      </c>
      <c r="C59" s="14" t="n">
        <v>1</v>
      </c>
      <c r="D59" s="7" t="n">
        <v>23.41</v>
      </c>
      <c r="E59" s="12" t="n">
        <v>-0.02935566796583677</v>
      </c>
      <c r="F59" s="11" t="n">
        <v>-0.08661724541552862</v>
      </c>
      <c r="G59" s="10" t="n">
        <v>7</v>
      </c>
      <c r="H59" s="3" t="inlineStr">
        <is>
          <t>25 日內最多只係高過 MA20 7.6%（要 ≥8%）</t>
        </is>
      </c>
    </row>
    <row r="60">
      <c r="A60" s="21" t="inlineStr">
        <is>
          <t>ADPT</t>
        </is>
      </c>
      <c r="B60" s="2" t="inlineStr">
        <is>
          <t>S5 回到20MA</t>
        </is>
      </c>
      <c r="C60" s="14" t="n">
        <v>4</v>
      </c>
      <c r="D60" s="7" t="n">
        <v>28.5101</v>
      </c>
      <c r="E60" s="12" t="n">
        <v>0.08080802911309726</v>
      </c>
      <c r="F60" s="11" t="n">
        <v>-0.03584376056814331</v>
      </c>
      <c r="G60" s="10" t="n">
        <v>2</v>
      </c>
      <c r="H60" s="3" t="inlineStr">
        <is>
          <t>收市距 MA20 +8.1%（要 -3% 至 +3%）；近 3 日最低價最近去到 MA20 +5.5%（要 ≤+1.5%）</t>
        </is>
      </c>
    </row>
    <row r="61">
      <c r="A61" s="21" t="inlineStr">
        <is>
          <t>ATRC</t>
        </is>
      </c>
      <c r="B61" s="2" t="inlineStr">
        <is>
          <t>S5 回到20MA</t>
        </is>
      </c>
      <c r="C61" s="14" t="n">
        <v>4</v>
      </c>
      <c r="D61" s="7" t="n">
        <v>58.44</v>
      </c>
      <c r="E61" s="12" t="n">
        <v>0.05376092032781266</v>
      </c>
      <c r="F61" s="11" t="n">
        <v>-0.03834128681915427</v>
      </c>
      <c r="G61" s="10" t="n">
        <v>2</v>
      </c>
      <c r="H61" s="3" t="inlineStr">
        <is>
          <t>收市距 MA20 +5.4%（要 -3% 至 +3%）；近 3 日最低價最近去到 MA20 +2.6%（要 ≤+1.5%）</t>
        </is>
      </c>
    </row>
    <row r="62">
      <c r="A62" s="21" t="inlineStr">
        <is>
          <t>FEIM</t>
        </is>
      </c>
      <c r="B62" s="2" t="inlineStr">
        <is>
          <t>S5 回到20MA</t>
        </is>
      </c>
      <c r="C62" s="14" t="n">
        <v>4</v>
      </c>
      <c r="D62" s="7" t="n">
        <v>82.34999999999999</v>
      </c>
      <c r="E62" s="12" t="n">
        <v>0.08618949950867716</v>
      </c>
      <c r="F62" s="11" t="n">
        <v>-0.07471910112359559</v>
      </c>
      <c r="G62" s="10" t="n">
        <v>5</v>
      </c>
      <c r="H62" s="3" t="inlineStr">
        <is>
          <t>收市距 MA20 +8.6%（要 -3% 至 +3%）；近 3 日最低價最近去到 MA20 +7.6%（要 ≤+1.5%）</t>
        </is>
      </c>
    </row>
    <row r="63">
      <c r="A63" s="21" t="inlineStr">
        <is>
          <t>RNG</t>
        </is>
      </c>
      <c r="B63" s="2" t="inlineStr">
        <is>
          <t>S5 回到20MA</t>
        </is>
      </c>
      <c r="C63" s="14" t="n">
        <v>4</v>
      </c>
      <c r="D63" s="7" t="n">
        <v>76.13</v>
      </c>
      <c r="E63" s="12" t="n">
        <v>0.0331046742795873</v>
      </c>
      <c r="F63" s="11" t="n">
        <v>-0.04622901528438983</v>
      </c>
      <c r="G63" s="10" t="n">
        <v>2</v>
      </c>
      <c r="H63" s="3" t="inlineStr">
        <is>
          <t>收市距 MA20 +3.3%（要 -3% 至 +3%）；近 3 日最低價最近去到 MA20 +0.0%（要 ≤+1.5%）</t>
        </is>
      </c>
    </row>
    <row r="64">
      <c r="A64" s="21" t="inlineStr">
        <is>
          <t>SDGR</t>
        </is>
      </c>
      <c r="B64" s="2" t="inlineStr">
        <is>
          <t>S5 回到20MA</t>
        </is>
      </c>
      <c r="C64" s="14" t="n">
        <v>4</v>
      </c>
      <c r="D64" s="7" t="n">
        <v>29.5</v>
      </c>
      <c r="E64" s="12" t="n">
        <v>0.2184292588232863</v>
      </c>
      <c r="F64" s="11" t="n">
        <v>-0.03908794788273617</v>
      </c>
      <c r="G64" s="10" t="n">
        <v>4</v>
      </c>
      <c r="H64" s="3" t="inlineStr">
        <is>
          <t>收市距 MA20 +21.8%（要 -3% 至 +3%）；近 3 日最低價最近去到 MA20 +16.5%（要 ≤+1.5%）</t>
        </is>
      </c>
    </row>
    <row r="65">
      <c r="A65" s="21" t="inlineStr">
        <is>
          <t>TWLO</t>
        </is>
      </c>
      <c r="B65" s="2" t="inlineStr">
        <is>
          <t>S5 回到20MA</t>
        </is>
      </c>
      <c r="C65" s="14" t="n">
        <v>4</v>
      </c>
      <c r="D65" s="7" t="n">
        <v>286.98</v>
      </c>
      <c r="E65" s="12" t="n">
        <v>0.1518870991695402</v>
      </c>
      <c r="F65" s="11" t="n">
        <v>-0.04231462323967161</v>
      </c>
      <c r="G65" s="10" t="n">
        <v>2</v>
      </c>
      <c r="H65" s="3" t="inlineStr">
        <is>
          <t>收市距 MA20 +15.2%（要 -3% 至 +3%）；近 3 日最低價最近去到 MA20 +6.5%（要 ≤+1.5%）</t>
        </is>
      </c>
    </row>
    <row r="66">
      <c r="A66" s="21" t="inlineStr">
        <is>
          <t>CLMT</t>
        </is>
      </c>
      <c r="B66" s="2" t="inlineStr">
        <is>
          <t>S5 回到20MA</t>
        </is>
      </c>
      <c r="C66" s="14" t="n">
        <v>3</v>
      </c>
      <c r="D66" s="7" t="n">
        <v>52.61</v>
      </c>
      <c r="E66" s="12" t="n">
        <v>-0.04603891276360372</v>
      </c>
      <c r="F66" s="11" t="n">
        <v>-0.1090601185436071</v>
      </c>
      <c r="G66" s="10" t="n">
        <v>7</v>
      </c>
      <c r="H66" s="3" t="inlineStr">
        <is>
          <t>收市距 MA20 -4.6%（要 -3% 至 +3%）；近 3 日最低價最近去到 MA20 -5.8%（要 ≤+1.5%）</t>
        </is>
      </c>
    </row>
    <row r="67">
      <c r="A67" s="21" t="inlineStr">
        <is>
          <t>CVI</t>
        </is>
      </c>
      <c r="B67" s="2" t="inlineStr">
        <is>
          <t>S5 回到20MA</t>
        </is>
      </c>
      <c r="C67" s="14" t="n">
        <v>3</v>
      </c>
      <c r="D67" s="7" t="n">
        <v>50.75</v>
      </c>
      <c r="E67" s="12" t="n">
        <v>0.03553465215217866</v>
      </c>
      <c r="F67" s="11" t="n">
        <v>-0.0626154414480975</v>
      </c>
      <c r="G67" s="10" t="n">
        <v>7</v>
      </c>
      <c r="H67" s="3" t="inlineStr">
        <is>
          <t>收市距 MA20 +3.6%（要 -3% 至 +3%）；近 3 日最低價最近去到 MA20 +1.7%（要 ≤+1.5%）</t>
        </is>
      </c>
    </row>
    <row r="68">
      <c r="A68" s="21" t="inlineStr">
        <is>
          <t>FOSL</t>
        </is>
      </c>
      <c r="B68" s="2" t="inlineStr">
        <is>
          <t>S5 回到20MA</t>
        </is>
      </c>
      <c r="C68" s="14" t="n">
        <v>3</v>
      </c>
      <c r="D68" s="7" t="n">
        <v>6.02</v>
      </c>
      <c r="E68" s="12" t="n">
        <v>0.1220876048462247</v>
      </c>
      <c r="F68" s="11" t="n">
        <v>-0.06084243369734799</v>
      </c>
      <c r="G68" s="10" t="n">
        <v>4</v>
      </c>
      <c r="H68" s="3" t="inlineStr">
        <is>
          <t>收市距 MA20 +12.2%（要 -3% 至 +3%）；近 3 日最低價最近去到 MA20 +8.1%（要 ≤+1.5%）</t>
        </is>
      </c>
    </row>
    <row r="69">
      <c r="A69" s="21" t="inlineStr">
        <is>
          <t>GTLB</t>
        </is>
      </c>
      <c r="B69" s="2" t="inlineStr">
        <is>
          <t>S5 回到20MA</t>
        </is>
      </c>
      <c r="C69" s="14" t="n">
        <v>3</v>
      </c>
      <c r="D69" s="7" t="n">
        <v>46.21</v>
      </c>
      <c r="E69" s="12" t="n">
        <v>-0.04133105819749172</v>
      </c>
      <c r="F69" s="11" t="n">
        <v>-0.08076387507459726</v>
      </c>
      <c r="G69" s="10" t="n">
        <v>7</v>
      </c>
      <c r="H69" s="3" t="inlineStr">
        <is>
          <t>收市距 MA20 -4.1%（要 -3% 至 +3%）；近 3 日最低價最近去到 MA20 -8.3%（要 ≤+1.5%）</t>
        </is>
      </c>
    </row>
    <row r="70">
      <c r="A70" s="21" t="inlineStr">
        <is>
          <t>NEO</t>
        </is>
      </c>
      <c r="B70" s="2" t="inlineStr">
        <is>
          <t>S5 回到20MA</t>
        </is>
      </c>
      <c r="C70" s="14" t="n">
        <v>3</v>
      </c>
      <c r="D70" s="7" t="n">
        <v>19.3</v>
      </c>
      <c r="E70" s="12" t="n">
        <v>0.04709201388889062</v>
      </c>
      <c r="F70" s="11" t="n">
        <v>-0.03063787041687593</v>
      </c>
      <c r="G70" s="10" t="n">
        <v>6</v>
      </c>
      <c r="H70" s="3" t="inlineStr">
        <is>
          <t>收市距 MA20 +4.7%（要 -3% 至 +3%）；近 3 日最低價最近去到 MA20 +0.4%（要 ≤+1.5%）</t>
        </is>
      </c>
    </row>
    <row r="71">
      <c r="A71" s="21" t="inlineStr">
        <is>
          <t>OABI</t>
        </is>
      </c>
      <c r="B71" s="2" t="inlineStr">
        <is>
          <t>S5 回到20MA</t>
        </is>
      </c>
      <c r="C71" s="14" t="n">
        <v>3</v>
      </c>
      <c r="D71" s="7" t="n">
        <v>4.75</v>
      </c>
      <c r="E71" s="12" t="n">
        <v>0.05855479413894904</v>
      </c>
      <c r="F71" s="11" t="n">
        <v>-0.05753968253968256</v>
      </c>
      <c r="G71" s="10" t="n">
        <v>17</v>
      </c>
      <c r="H71" s="3" t="inlineStr">
        <is>
          <t>收市距 MA20 +5.9%（要 -3% 至 +3%）；近 3 日最低價最近去到 MA20 +1.4%（要 ≤+1.5%）</t>
        </is>
      </c>
    </row>
    <row r="72">
      <c r="A72" s="21" t="inlineStr">
        <is>
          <t>OBIO</t>
        </is>
      </c>
      <c r="B72" s="2" t="inlineStr">
        <is>
          <t>S5 回到20MA</t>
        </is>
      </c>
      <c r="C72" s="14" t="n">
        <v>3</v>
      </c>
      <c r="D72" s="7" t="n">
        <v>5.891</v>
      </c>
      <c r="E72" s="12" t="n">
        <v>0.03786964526387027</v>
      </c>
      <c r="F72" s="11" t="n">
        <v>-0.05744000000000005</v>
      </c>
      <c r="G72" s="10" t="n">
        <v>5</v>
      </c>
      <c r="H72" s="3" t="inlineStr">
        <is>
          <t>收市距 MA20 +3.8%（要 -3% 至 +3%）；近 3 日最低價最近去到 MA20 +2.2%（要 ≤+1.5%）</t>
        </is>
      </c>
    </row>
    <row r="73">
      <c r="A73" s="21" t="inlineStr">
        <is>
          <t>OMER</t>
        </is>
      </c>
      <c r="B73" s="2" t="inlineStr">
        <is>
          <t>S5 回到20MA</t>
        </is>
      </c>
      <c r="C73" s="14" t="n">
        <v>3</v>
      </c>
      <c r="D73" s="7" t="n">
        <v>19.42</v>
      </c>
      <c r="E73" s="12" t="n">
        <v>0.02740450745952838</v>
      </c>
      <c r="F73" s="11" t="n">
        <v>-0.07743467933491677</v>
      </c>
      <c r="G73" s="10" t="n">
        <v>4</v>
      </c>
      <c r="H73" s="3" t="inlineStr">
        <is>
          <t>收市距 MA20 +2.7%（要 -3% 至 +3%）；近 3 日最低價最近去到 MA20 +2.5%（要 ≤+1.5%）</t>
        </is>
      </c>
    </row>
    <row r="74">
      <c r="A74" s="21" t="inlineStr">
        <is>
          <t>SMTC</t>
        </is>
      </c>
      <c r="B74" s="2" t="inlineStr">
        <is>
          <t>S5 回到20MA</t>
        </is>
      </c>
      <c r="C74" s="14" t="n">
        <v>3</v>
      </c>
      <c r="D74" s="7" t="n">
        <v>174.78</v>
      </c>
      <c r="E74" s="12" t="n">
        <v>0.08673417044652698</v>
      </c>
      <c r="F74" s="11" t="n">
        <v>-0.05524324324324326</v>
      </c>
      <c r="G74" s="10" t="n">
        <v>6</v>
      </c>
      <c r="H74" s="3" t="inlineStr">
        <is>
          <t>收市距 MA20 +8.7%（要 -3% 至 +3%）；近 3 日最低價最近去到 MA20 +3.8%（要 ≤+1.5%）</t>
        </is>
      </c>
    </row>
    <row r="75">
      <c r="A75" s="21" t="inlineStr">
        <is>
          <t>SWKS</t>
        </is>
      </c>
      <c r="B75" s="2" t="inlineStr">
        <is>
          <t>S5 回到20MA</t>
        </is>
      </c>
      <c r="C75" s="14" t="n">
        <v>3</v>
      </c>
      <c r="D75" s="7" t="n">
        <v>87.59</v>
      </c>
      <c r="E75" s="12" t="n">
        <v>0.06445164152078098</v>
      </c>
      <c r="F75" s="11" t="n">
        <v>-0.04220885729907053</v>
      </c>
      <c r="G75" s="10" t="n">
        <v>3</v>
      </c>
      <c r="H75" s="3" t="inlineStr">
        <is>
          <t>收市距 MA20 +6.4%（要 -3% 至 +3%）；近 3 日最低價最近去到 MA20 +4.1%（要 ≤+1.5%）</t>
        </is>
      </c>
    </row>
    <row r="76">
      <c r="A76" s="21" t="inlineStr">
        <is>
          <t>TARS</t>
        </is>
      </c>
      <c r="B76" s="2" t="inlineStr">
        <is>
          <t>S5 回到20MA</t>
        </is>
      </c>
      <c r="C76" s="14" t="n">
        <v>3</v>
      </c>
      <c r="D76" s="7" t="n">
        <v>76.81</v>
      </c>
      <c r="E76" s="12" t="n">
        <v>-0.03120733310840285</v>
      </c>
      <c r="F76" s="11" t="n">
        <v>-0.1538885217008151</v>
      </c>
      <c r="G76" s="10" t="n">
        <v>15</v>
      </c>
      <c r="H76" s="3" t="inlineStr">
        <is>
          <t>收市距 MA20 -3.1%（要 -3% 至 +3%）；近 3 日最低價最近去到 MA20 -6.6%（要 ≤+1.5%）</t>
        </is>
      </c>
    </row>
    <row r="77">
      <c r="A77" s="21" t="inlineStr">
        <is>
          <t>ZETA</t>
        </is>
      </c>
      <c r="B77" s="2" t="inlineStr">
        <is>
          <t>S5 回到20MA</t>
        </is>
      </c>
      <c r="C77" s="14" t="n">
        <v>3</v>
      </c>
      <c r="D77" s="7" t="n">
        <v>28.99</v>
      </c>
      <c r="E77" s="12" t="n">
        <v>-0.05188625251418677</v>
      </c>
      <c r="F77" s="11" t="n">
        <v>-0.1129130966952265</v>
      </c>
      <c r="G77" s="10" t="n">
        <v>16</v>
      </c>
      <c r="H77" s="3" t="inlineStr">
        <is>
          <t>收市距 MA20 -5.2%（要 -3% 至 +3%）；近 3 日最低價最近去到 MA20 -8.3%（要 ≤+1.5%）</t>
        </is>
      </c>
    </row>
    <row r="78">
      <c r="A78" s="21" t="inlineStr">
        <is>
          <t>ANF</t>
        </is>
      </c>
      <c r="B78" s="2" t="inlineStr">
        <is>
          <t>S5 回到20MA</t>
        </is>
      </c>
      <c r="C78" s="14" t="n">
        <v>2</v>
      </c>
      <c r="D78" s="7" t="n">
        <v>134.14</v>
      </c>
      <c r="E78" s="12" t="n">
        <v>-0.04344570623785193</v>
      </c>
      <c r="F78" s="11" t="n">
        <v>-0.1179642293529722</v>
      </c>
      <c r="G78" s="10" t="n">
        <v>13</v>
      </c>
      <c r="H78" s="3" t="inlineStr">
        <is>
          <t>收市距 MA20 -4.3%（要 -3% 至 +3%）；近 3 日最低價最近去到 MA20 -7.2%（要 ≤+1.5%）</t>
        </is>
      </c>
    </row>
    <row r="79">
      <c r="A79" s="21" t="inlineStr">
        <is>
          <t>HPQ</t>
        </is>
      </c>
      <c r="B79" s="2" t="inlineStr">
        <is>
          <t>S5 回到20MA</t>
        </is>
      </c>
      <c r="C79" s="14" t="n">
        <v>2</v>
      </c>
      <c r="D79" s="7" t="n">
        <v>31.315</v>
      </c>
      <c r="E79" s="12" t="n">
        <v>-0.03672088283923447</v>
      </c>
      <c r="F79" s="11" t="n">
        <v>-0.1173900789177</v>
      </c>
      <c r="G79" s="10" t="n">
        <v>11</v>
      </c>
      <c r="H79" s="3" t="inlineStr">
        <is>
          <t>收市距 MA20 -3.7%（要 -3% 至 +3%）；近 3 日最低價最近去到 MA20 -5.4%（要 ≤+1.5%）</t>
        </is>
      </c>
    </row>
    <row r="80">
      <c r="A80" s="21" t="inlineStr">
        <is>
          <t>META</t>
        </is>
      </c>
      <c r="B80" s="2" t="inlineStr">
        <is>
          <t>S5 回到20MA</t>
        </is>
      </c>
      <c r="C80" s="14" t="n">
        <v>2</v>
      </c>
      <c r="D80" s="7" t="n">
        <v>715.72</v>
      </c>
      <c r="E80" s="12" t="n">
        <v>0.07184709121527666</v>
      </c>
      <c r="F80" s="11" t="n">
        <v>-0.07956635244794819</v>
      </c>
      <c r="G80" s="10" t="n">
        <v>2</v>
      </c>
      <c r="H80" s="3" t="inlineStr">
        <is>
          <t>收市距 MA20 +7.2%（要 -3% 至 +3%）；近 3 日最低價最近去到 MA20 +6.8%（要 ≤+1.5%）</t>
        </is>
      </c>
    </row>
    <row r="81">
      <c r="A81" s="21" t="inlineStr">
        <is>
          <t>MLAB</t>
        </is>
      </c>
      <c r="B81" s="2" t="inlineStr">
        <is>
          <t>S5 回到20MA</t>
        </is>
      </c>
      <c r="C81" s="14" t="n">
        <v>2</v>
      </c>
      <c r="D81" s="7" t="n">
        <v>133.09</v>
      </c>
      <c r="E81" s="12" t="n">
        <v>0.03916891472474759</v>
      </c>
      <c r="F81" s="11" t="n">
        <v>-0.03207272727272725</v>
      </c>
      <c r="G81" s="10" t="n">
        <v>2</v>
      </c>
      <c r="H81" s="3" t="inlineStr">
        <is>
          <t>收市距 MA20 +3.9%（要 -3% 至 +3%）；近 3 日最低價最近去到 MA20 +2.3%（要 ≤+1.5%）</t>
        </is>
      </c>
    </row>
    <row r="82">
      <c r="A82" s="21" t="inlineStr">
        <is>
          <t>S</t>
        </is>
      </c>
      <c r="B82" s="2" t="inlineStr">
        <is>
          <t>S5 回到20MA</t>
        </is>
      </c>
      <c r="C82" s="14" t="n">
        <v>2</v>
      </c>
      <c r="D82" s="7" t="n">
        <v>22.74</v>
      </c>
      <c r="E82" s="12" t="n">
        <v>0.04233034629752619</v>
      </c>
      <c r="F82" s="11" t="n">
        <v>-0.05643153526970968</v>
      </c>
      <c r="G82" s="10" t="n">
        <v>3</v>
      </c>
      <c r="H82" s="3" t="inlineStr">
        <is>
          <t>收市距 MA20 +4.2%（要 -3% 至 +3%）；近 3 日最低價最近去到 MA20 -0.1%（要 ≤+1.5%）</t>
        </is>
      </c>
    </row>
    <row r="83">
      <c r="A83" s="21" t="inlineStr">
        <is>
          <t>APA</t>
        </is>
      </c>
      <c r="B83" s="2" t="inlineStr">
        <is>
          <t>S5 回到20MA</t>
        </is>
      </c>
      <c r="C83" s="14" t="n">
        <v>1</v>
      </c>
      <c r="D83" s="7" t="n">
        <v>42.33</v>
      </c>
      <c r="E83" s="12" t="n">
        <v>-0.04108192599136906</v>
      </c>
      <c r="F83" s="11" t="n">
        <v>-0.1071503902130352</v>
      </c>
      <c r="G83" s="10" t="n">
        <v>9</v>
      </c>
      <c r="H83" s="3" t="inlineStr">
        <is>
          <t>收市距 MA20 -4.1%（要 -3% 至 +3%）；近 3 日最低價最近去到 MA20 -4.4%（要 ≤+1.5%）</t>
        </is>
      </c>
    </row>
    <row r="84">
      <c r="A84" s="21" t="inlineStr">
        <is>
          <t>BLTE</t>
        </is>
      </c>
      <c r="B84" s="2" t="inlineStr">
        <is>
          <t>S5 回到20MA</t>
        </is>
      </c>
      <c r="C84" s="14" t="n">
        <v>1</v>
      </c>
      <c r="D84" s="7" t="n">
        <v>165.89</v>
      </c>
      <c r="E84" s="12" t="n">
        <v>-0.03431052950216573</v>
      </c>
      <c r="F84" s="11" t="n">
        <v>-0.1431744228087394</v>
      </c>
      <c r="G84" s="10" t="n">
        <v>15</v>
      </c>
      <c r="H84" s="3" t="inlineStr">
        <is>
          <t>收市距 MA20 -3.4%（要 -3% 至 +3%）；近 3 日最低價最近去到 MA20 -3.6%（要 ≤+1.5%）</t>
        </is>
      </c>
    </row>
    <row r="85">
      <c r="A85" s="21" t="inlineStr">
        <is>
          <t>CRM</t>
        </is>
      </c>
      <c r="B85" s="2" t="inlineStr">
        <is>
          <t>S5 回到20MA</t>
        </is>
      </c>
      <c r="C85" s="14" t="n">
        <v>1</v>
      </c>
      <c r="D85" s="7" t="n">
        <v>227.31</v>
      </c>
      <c r="E85" s="12" t="n">
        <v>-0.07849663319455424</v>
      </c>
      <c r="F85" s="11" t="n">
        <v>-0.1403774155731196</v>
      </c>
      <c r="G85" s="10" t="n">
        <v>16</v>
      </c>
      <c r="H85" s="3" t="inlineStr">
        <is>
          <t>收市距 MA20 -7.8%（要 -3% 至 +3%）；近 3 日最低價最近去到 MA20 -10.3%（要 ≤+1.5%）</t>
        </is>
      </c>
    </row>
    <row r="86">
      <c r="A86" s="21" t="inlineStr">
        <is>
          <t>FFIV</t>
        </is>
      </c>
      <c r="B86" s="2" t="inlineStr">
        <is>
          <t>S5 回到20MA</t>
        </is>
      </c>
      <c r="C86" s="14" t="n">
        <v>1</v>
      </c>
      <c r="D86" s="7" t="n">
        <v>435.44</v>
      </c>
      <c r="E86" s="12" t="n">
        <v>0.03700016789571614</v>
      </c>
      <c r="F86" s="11" t="n">
        <v>-0.04506677778021451</v>
      </c>
      <c r="G86" s="10" t="n">
        <v>3</v>
      </c>
      <c r="H86" s="3" t="inlineStr">
        <is>
          <t>收市距 MA20 +3.7%（要 -3% 至 +3%）；近 3 日最低價最近去到 MA20 +2.6%（要 ≤+1.5%）</t>
        </is>
      </c>
    </row>
    <row r="87">
      <c r="A87" s="21" t="inlineStr">
        <is>
          <t>GH</t>
        </is>
      </c>
      <c r="B87" s="2" t="inlineStr">
        <is>
          <t>S5 回到20MA</t>
        </is>
      </c>
      <c r="C87" s="14" t="n">
        <v>1</v>
      </c>
      <c r="D87" s="7" t="n">
        <v>177.34</v>
      </c>
      <c r="E87" s="12" t="n">
        <v>0.04676008452466562</v>
      </c>
      <c r="F87" s="11" t="n">
        <v>-0.03145821955215722</v>
      </c>
      <c r="G87" s="10" t="n">
        <v>7</v>
      </c>
      <c r="H87" s="3" t="inlineStr">
        <is>
          <t>收市距 MA20 +4.7%（要 -3% 至 +3%）；近 3 日最低價最近去到 MA20 +3.1%（要 ≤+1.5%）</t>
        </is>
      </c>
    </row>
    <row r="88">
      <c r="A88" s="21" t="inlineStr">
        <is>
          <t>MMED</t>
        </is>
      </c>
      <c r="B88" s="2" t="inlineStr">
        <is>
          <t>S5 回到20MA</t>
        </is>
      </c>
      <c r="C88" s="14" t="n">
        <v>1</v>
      </c>
      <c r="D88" s="7" t="n">
        <v>20.51</v>
      </c>
      <c r="E88" s="12" t="n">
        <v>-0.06470883305212349</v>
      </c>
      <c r="F88" s="11" t="n">
        <v>-0.1396812080536912</v>
      </c>
      <c r="G88" s="10" t="n">
        <v>16</v>
      </c>
      <c r="H88" s="3" t="inlineStr">
        <is>
          <t>收市距 MA20 -6.5%（要 -3% 至 +3%）；近 3 日最低價最近去到 MA20 -10.0%（要 ≤+1.5%）</t>
        </is>
      </c>
    </row>
    <row r="89">
      <c r="A89" s="21" t="inlineStr">
        <is>
          <t>RUSHB</t>
        </is>
      </c>
      <c r="B89" s="2" t="inlineStr">
        <is>
          <t>S5 回到20MA</t>
        </is>
      </c>
      <c r="C89" s="14" t="n">
        <v>1</v>
      </c>
      <c r="D89" s="7" t="n">
        <v>55.09</v>
      </c>
      <c r="E89" s="12" t="n">
        <v>0.045820670705359</v>
      </c>
      <c r="F89" s="11" t="n">
        <v>-0.03350877192982449</v>
      </c>
      <c r="G89" s="10" t="n">
        <v>7</v>
      </c>
      <c r="H89" s="3" t="inlineStr">
        <is>
          <t>收市距 MA20 +4.6%（要 -3% 至 +3%）；近 3 日最低價最近去到 MA20 +3.1%（要 ≤+1.5%）</t>
        </is>
      </c>
    </row>
    <row r="90">
      <c r="A90" s="21" t="inlineStr">
        <is>
          <t>VRA</t>
        </is>
      </c>
      <c r="B90" s="2" t="inlineStr">
        <is>
          <t>S5 回到20MA</t>
        </is>
      </c>
      <c r="C90" s="14" t="n">
        <v>1</v>
      </c>
      <c r="D90" s="7" t="n">
        <v>4.15</v>
      </c>
      <c r="E90" s="12" t="n">
        <v>0.1303282037314475</v>
      </c>
      <c r="F90" s="11" t="n">
        <v>-0.03263403263403253</v>
      </c>
      <c r="G90" s="10" t="n">
        <v>4</v>
      </c>
      <c r="H90" s="3" t="inlineStr">
        <is>
          <t>收市距 MA20 +13.0%（要 -3% 至 +3%）；近 3 日最低價最近去到 MA20 +9.5%（要 ≤+1.5%）</t>
        </is>
      </c>
    </row>
  </sheetData>
  <autoFilter ref="A3:H3"/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70" customWidth="1" min="5" max="5"/>
  </cols>
  <sheetData>
    <row r="1">
      <c r="A1" s="1" t="inlineStr">
        <is>
          <t>R21（2026-09-23 收市）名單 vs R22.00（2026-09-28 收市）名單 · 同一套規則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R21 排名</t>
        </is>
      </c>
      <c r="D3" s="4" t="inlineStr">
        <is>
          <t>R22.00 排名</t>
        </is>
      </c>
      <c r="E3" s="4" t="inlineStr">
        <is>
          <t>說明</t>
        </is>
      </c>
    </row>
    <row r="4">
      <c r="A4" s="2" t="inlineStr">
        <is>
          <t>兩版都上榜</t>
        </is>
      </c>
      <c r="B4" s="21" t="inlineStr">
        <is>
          <t>IRD</t>
        </is>
      </c>
      <c r="C4" s="14" t="n">
        <v>9</v>
      </c>
      <c r="D4" s="14" t="n">
        <v>1</v>
      </c>
      <c r="E4" s="3" t="inlineStr"/>
    </row>
    <row r="5">
      <c r="A5" s="2" t="inlineStr">
        <is>
          <t>兩版都上榜</t>
        </is>
      </c>
      <c r="B5" s="21" t="inlineStr">
        <is>
          <t>PLSE</t>
        </is>
      </c>
      <c r="C5" s="14" t="n">
        <v>8</v>
      </c>
      <c r="D5" s="14" t="n">
        <v>4</v>
      </c>
      <c r="E5" s="3" t="inlineStr"/>
    </row>
    <row r="6">
      <c r="A6" s="2" t="inlineStr">
        <is>
          <t>兩版都上榜</t>
        </is>
      </c>
      <c r="B6" s="21" t="inlineStr">
        <is>
          <t>ESTC</t>
        </is>
      </c>
      <c r="C6" s="14" t="n">
        <v>4</v>
      </c>
      <c r="D6" s="14" t="n">
        <v>6</v>
      </c>
      <c r="E6" s="3" t="inlineStr"/>
    </row>
    <row r="7">
      <c r="A7" s="2" t="inlineStr">
        <is>
          <t>兩版都上榜</t>
        </is>
      </c>
      <c r="B7" s="21" t="inlineStr">
        <is>
          <t>DHX</t>
        </is>
      </c>
      <c r="C7" s="14" t="n">
        <v>13</v>
      </c>
      <c r="D7" s="14" t="n">
        <v>8</v>
      </c>
      <c r="E7" s="3" t="inlineStr"/>
    </row>
    <row r="8">
      <c r="A8" s="2" t="inlineStr">
        <is>
          <t>兩版都上榜</t>
        </is>
      </c>
      <c r="B8" s="21" t="inlineStr">
        <is>
          <t>VLO</t>
        </is>
      </c>
      <c r="C8" s="14" t="n">
        <v>17</v>
      </c>
      <c r="D8" s="14" t="n">
        <v>9</v>
      </c>
      <c r="E8" s="3" t="inlineStr"/>
    </row>
    <row r="9">
      <c r="A9" s="2" t="inlineStr">
        <is>
          <t>兩版都上榜</t>
        </is>
      </c>
      <c r="B9" s="21" t="inlineStr">
        <is>
          <t>SNOW</t>
        </is>
      </c>
      <c r="C9" s="14" t="n">
        <v>11</v>
      </c>
      <c r="D9" s="14" t="n">
        <v>11</v>
      </c>
      <c r="E9" s="3" t="inlineStr"/>
    </row>
    <row r="10">
      <c r="A10" s="2" t="inlineStr">
        <is>
          <t>兩版都上榜</t>
        </is>
      </c>
      <c r="B10" s="21" t="inlineStr">
        <is>
          <t>MPC</t>
        </is>
      </c>
      <c r="C10" s="14" t="n">
        <v>20</v>
      </c>
      <c r="D10" s="14" t="n">
        <v>12</v>
      </c>
      <c r="E10" s="3" t="inlineStr"/>
    </row>
    <row r="11">
      <c r="A11" s="2" t="inlineStr">
        <is>
          <t>兩版都上榜</t>
        </is>
      </c>
      <c r="B11" s="21" t="inlineStr">
        <is>
          <t>LPG</t>
        </is>
      </c>
      <c r="C11" s="14" t="n">
        <v>25</v>
      </c>
      <c r="D11" s="14" t="n">
        <v>16</v>
      </c>
      <c r="E11" s="3" t="inlineStr"/>
    </row>
    <row r="12">
      <c r="A12" s="2" t="inlineStr">
        <is>
          <t>兩版都上榜</t>
        </is>
      </c>
      <c r="B12" s="21" t="inlineStr">
        <is>
          <t>DINO</t>
        </is>
      </c>
      <c r="C12" s="14" t="n">
        <v>15</v>
      </c>
      <c r="D12" s="14" t="n">
        <v>20</v>
      </c>
      <c r="E12" s="3" t="inlineStr"/>
    </row>
    <row r="13">
      <c r="A13" s="2" t="inlineStr">
        <is>
          <t>兩版都上榜</t>
        </is>
      </c>
      <c r="B13" s="21" t="inlineStr">
        <is>
          <t>PSX</t>
        </is>
      </c>
      <c r="C13" s="14" t="n">
        <v>24</v>
      </c>
      <c r="D13" s="14" t="n">
        <v>21</v>
      </c>
      <c r="E13" s="3" t="inlineStr"/>
    </row>
    <row r="14">
      <c r="A14" s="2" t="inlineStr">
        <is>
          <t>新上榜</t>
        </is>
      </c>
      <c r="B14" s="20" t="inlineStr">
        <is>
          <t>TTRX</t>
        </is>
      </c>
      <c r="C14" s="14" t="n"/>
      <c r="D14" s="14" t="n">
        <v>2</v>
      </c>
      <c r="E14" s="3" t="inlineStr">
        <is>
          <t>2026-09-23：形態唔過：S5 回到20MA（距 MA20 +10.5%、距高位 -11.9%）</t>
        </is>
      </c>
    </row>
    <row r="15">
      <c r="A15" s="2" t="inlineStr">
        <is>
          <t>新上榜</t>
        </is>
      </c>
      <c r="B15" s="20" t="inlineStr">
        <is>
          <t>DELL</t>
        </is>
      </c>
      <c r="C15" s="14" t="n"/>
      <c r="D15" s="14" t="n">
        <v>3</v>
      </c>
      <c r="E15" s="3" t="inlineStr">
        <is>
          <t>2026-09-23：形態唔過：S5 回到20MA（距 MA20 +5.5%、距高位 -6.6%）</t>
        </is>
      </c>
    </row>
    <row r="16">
      <c r="A16" s="2" t="inlineStr">
        <is>
          <t>新上榜</t>
        </is>
      </c>
      <c r="B16" s="20" t="inlineStr">
        <is>
          <t>TITN</t>
        </is>
      </c>
      <c r="C16" s="14" t="n"/>
      <c r="D16" s="14" t="n">
        <v>5</v>
      </c>
      <c r="E16" s="3" t="inlineStr">
        <is>
          <t>2026-09-23：形態唔過：S5 回到20MA（距 MA20 +6.1%、距高位 -7.6%）</t>
        </is>
      </c>
    </row>
    <row r="17">
      <c r="A17" s="2" t="inlineStr">
        <is>
          <t>新上榜</t>
        </is>
      </c>
      <c r="B17" s="20" t="inlineStr">
        <is>
          <t>FIVN</t>
        </is>
      </c>
      <c r="C17" s="14" t="n"/>
      <c r="D17" s="14" t="n">
        <v>7</v>
      </c>
      <c r="E17" s="3" t="inlineStr">
        <is>
          <t>2026-09-23：形態唔過：S2 近期高位、S3 回調深度、S5 回到20MA（距 MA20 +12.2%、距高位 -2.5%）</t>
        </is>
      </c>
    </row>
    <row r="18">
      <c r="A18" s="2" t="inlineStr">
        <is>
          <t>新上榜</t>
        </is>
      </c>
      <c r="B18" s="20" t="inlineStr">
        <is>
          <t>PURR</t>
        </is>
      </c>
      <c r="C18" s="14" t="n"/>
      <c r="D18" s="14" t="n">
        <v>10</v>
      </c>
      <c r="E18" s="3" t="inlineStr">
        <is>
          <t>2026-09-23：形態唔過：S3 回調深度、S5 回到20MA（距 MA20 +13.7%、距高位 -1.1%）</t>
        </is>
      </c>
    </row>
    <row r="19">
      <c r="A19" s="2" t="inlineStr">
        <is>
          <t>新上榜</t>
        </is>
      </c>
      <c r="B19" s="20" t="inlineStr">
        <is>
          <t>KGEI</t>
        </is>
      </c>
      <c r="C19" s="14" t="n"/>
      <c r="D19" s="14" t="n">
        <v>13</v>
      </c>
      <c r="E19" s="3" t="inlineStr">
        <is>
          <t>2026-09-23 唔喺股票池</t>
        </is>
      </c>
    </row>
    <row r="20">
      <c r="A20" s="2" t="inlineStr">
        <is>
          <t>新上榜</t>
        </is>
      </c>
      <c r="B20" s="20" t="inlineStr">
        <is>
          <t>IBTA</t>
        </is>
      </c>
      <c r="C20" s="14" t="n"/>
      <c r="D20" s="14" t="n">
        <v>14</v>
      </c>
      <c r="E20" s="3" t="inlineStr">
        <is>
          <t>2026-09-23：形態唔過：S3 回調深度、S5 回到20MA（距 MA20 +4.3%、距高位 -2.8%）</t>
        </is>
      </c>
    </row>
    <row r="21">
      <c r="A21" s="2" t="inlineStr">
        <is>
          <t>新上榜</t>
        </is>
      </c>
      <c r="B21" s="20" t="inlineStr">
        <is>
          <t>ELMT</t>
        </is>
      </c>
      <c r="C21" s="14" t="n"/>
      <c r="D21" s="14" t="n">
        <v>15</v>
      </c>
      <c r="E21" s="3" t="inlineStr">
        <is>
          <t>2026-09-23：形態唔過：S5 回到20MA（距 MA20 +11.7%、距高位 -10.4%）</t>
        </is>
      </c>
    </row>
    <row r="22">
      <c r="A22" s="2" t="inlineStr">
        <is>
          <t>新上榜</t>
        </is>
      </c>
      <c r="B22" s="20" t="inlineStr">
        <is>
          <t>DC</t>
        </is>
      </c>
      <c r="C22" s="14" t="n"/>
      <c r="D22" s="14" t="n">
        <v>17</v>
      </c>
      <c r="E22" s="3" t="inlineStr">
        <is>
          <t>2026-09-23：形態唔過：S2 近期高位、S5 回到20MA（距 MA20 +9.4%、距高位 -3.8%）</t>
        </is>
      </c>
    </row>
    <row r="23">
      <c r="A23" s="2" t="inlineStr">
        <is>
          <t>新上榜</t>
        </is>
      </c>
      <c r="B23" s="20" t="inlineStr">
        <is>
          <t>BBY</t>
        </is>
      </c>
      <c r="C23" s="14" t="n"/>
      <c r="D23" s="14" t="n">
        <v>18</v>
      </c>
      <c r="E23" s="3" t="inlineStr">
        <is>
          <t>2026-09-23：動能：四個時間框都唔入頭 10%（距 MA20 +1.8%、距高位 -4.2%）</t>
        </is>
      </c>
    </row>
    <row r="24">
      <c r="A24" s="2" t="inlineStr">
        <is>
          <t>新上榜</t>
        </is>
      </c>
      <c r="B24" s="20" t="inlineStr">
        <is>
          <t>TH</t>
        </is>
      </c>
      <c r="C24" s="14" t="n"/>
      <c r="D24" s="14" t="n">
        <v>19</v>
      </c>
      <c r="E24" s="3" t="inlineStr">
        <is>
          <t>2026-09-23：形態唔過：S3 回調深度、S5 回到20MA（距 MA20 +9.6%、距高位 -0.4%）</t>
        </is>
      </c>
    </row>
    <row r="25">
      <c r="A25" s="2" t="inlineStr">
        <is>
          <t>跌出</t>
        </is>
      </c>
      <c r="B25" s="5" t="inlineStr">
        <is>
          <t>VEEV</t>
        </is>
      </c>
      <c r="C25" s="14" t="n">
        <v>1</v>
      </c>
      <c r="D25" s="14" t="n"/>
      <c r="E25" s="3" t="inlineStr">
        <is>
          <t>形態唔過：S2 近期高位、S3 回調深度、S5 回到20MA（距 MA20 +3.6%、距高位 -2.0%）</t>
        </is>
      </c>
    </row>
    <row r="26">
      <c r="A26" s="2" t="inlineStr">
        <is>
          <t>跌出</t>
        </is>
      </c>
      <c r="B26" s="5" t="inlineStr">
        <is>
          <t>NUTX</t>
        </is>
      </c>
      <c r="C26" s="14" t="n">
        <v>2</v>
      </c>
      <c r="D26" s="14" t="n"/>
      <c r="E26" s="3" t="inlineStr">
        <is>
          <t>形態唔過：S2 近期高位、S5 回到20MA（距 MA20 +4.8%、距高位 -3.2%）</t>
        </is>
      </c>
    </row>
    <row r="27">
      <c r="A27" s="2" t="inlineStr">
        <is>
          <t>跌出</t>
        </is>
      </c>
      <c r="B27" s="5" t="inlineStr">
        <is>
          <t>CLMT</t>
        </is>
      </c>
      <c r="C27" s="14" t="n">
        <v>3</v>
      </c>
      <c r="D27" s="14" t="n"/>
      <c r="E27" s="3" t="inlineStr">
        <is>
          <t>形態唔過：S5 回到20MA（距 MA20 -4.6%、距高位 -10.9%）</t>
        </is>
      </c>
    </row>
    <row r="28">
      <c r="A28" s="2" t="inlineStr">
        <is>
          <t>跌出</t>
        </is>
      </c>
      <c r="B28" s="5" t="inlineStr">
        <is>
          <t>NEO</t>
        </is>
      </c>
      <c r="C28" s="14" t="n">
        <v>5</v>
      </c>
      <c r="D28" s="14" t="n"/>
      <c r="E28" s="3" t="inlineStr">
        <is>
          <t>形態唔過：S5 回到20MA（距 MA20 +4.7%、距高位 -3.1%）</t>
        </is>
      </c>
    </row>
    <row r="29">
      <c r="A29" s="2" t="inlineStr">
        <is>
          <t>跌出</t>
        </is>
      </c>
      <c r="B29" s="5" t="inlineStr">
        <is>
          <t>NOW</t>
        </is>
      </c>
      <c r="C29" s="14" t="n">
        <v>6</v>
      </c>
      <c r="D29" s="14" t="n"/>
      <c r="E29" s="3" t="inlineStr">
        <is>
          <t>形態唔過：S2 近期高位、S5 回到20MA（距 MA20 -4.8%、距高位 -11.2%）</t>
        </is>
      </c>
    </row>
    <row r="30">
      <c r="A30" s="2" t="inlineStr">
        <is>
          <t>跌出</t>
        </is>
      </c>
      <c r="B30" s="5" t="inlineStr">
        <is>
          <t>HPQ</t>
        </is>
      </c>
      <c r="C30" s="14" t="n">
        <v>7</v>
      </c>
      <c r="D30" s="14" t="n"/>
      <c r="E30" s="3" t="inlineStr">
        <is>
          <t>形態唔過：S5 回到20MA（距 MA20 -3.7%、距高位 -11.7%）</t>
        </is>
      </c>
    </row>
    <row r="31">
      <c r="A31" s="2" t="inlineStr">
        <is>
          <t>跌出</t>
        </is>
      </c>
      <c r="B31" s="5" t="inlineStr">
        <is>
          <t>AMWL</t>
        </is>
      </c>
      <c r="C31" s="14" t="n">
        <v>10</v>
      </c>
      <c r="D31" s="14" t="n"/>
      <c r="E31" s="3" t="inlineStr">
        <is>
          <t>形態唔過：S3 回調深度（距 MA20 +2.6%、距高位 -2.7%）</t>
        </is>
      </c>
    </row>
    <row r="32">
      <c r="A32" s="2" t="inlineStr">
        <is>
          <t>跌出</t>
        </is>
      </c>
      <c r="B32" s="5" t="inlineStr">
        <is>
          <t>AMPL</t>
        </is>
      </c>
      <c r="C32" s="14" t="n">
        <v>12</v>
      </c>
      <c r="D32" s="14" t="n"/>
      <c r="E32" s="3" t="inlineStr">
        <is>
          <t>形態唔過：S1 趨勢（距 MA20 +0.2%、距高位 -6.9%）</t>
        </is>
      </c>
    </row>
    <row r="33">
      <c r="A33" s="2" t="inlineStr">
        <is>
          <t>跌出</t>
        </is>
      </c>
      <c r="B33" s="5" t="inlineStr">
        <is>
          <t>ZETA</t>
        </is>
      </c>
      <c r="C33" s="14" t="n">
        <v>14</v>
      </c>
      <c r="D33" s="14" t="n"/>
      <c r="E33" s="3" t="inlineStr">
        <is>
          <t>形態唔過：S5 回到20MA（距 MA20 -5.2%、距高位 -11.3%）</t>
        </is>
      </c>
    </row>
    <row r="34">
      <c r="A34" s="2" t="inlineStr">
        <is>
          <t>跌出</t>
        </is>
      </c>
      <c r="B34" s="5" t="inlineStr">
        <is>
          <t>MGNI</t>
        </is>
      </c>
      <c r="C34" s="14" t="n">
        <v>16</v>
      </c>
      <c r="D34" s="14" t="n"/>
      <c r="E34" s="3" t="inlineStr">
        <is>
          <t>形態唔過：S4 曾經拉開（距 MA20 -2.9%、距高位 -8.7%）</t>
        </is>
      </c>
    </row>
    <row r="35">
      <c r="A35" s="2" t="inlineStr">
        <is>
          <t>跌出</t>
        </is>
      </c>
      <c r="B35" s="5" t="inlineStr">
        <is>
          <t>SABR</t>
        </is>
      </c>
      <c r="C35" s="14" t="n">
        <v>18</v>
      </c>
      <c r="D35" s="14" t="n"/>
      <c r="E35" s="3" t="inlineStr">
        <is>
          <t>形態唔過：S1 趨勢、S5 回到20MA；動能：四個時間框都唔入頭 10%（距 MA20 -3.8%、距高位 -9.9%）</t>
        </is>
      </c>
    </row>
    <row r="36">
      <c r="A36" s="2" t="inlineStr">
        <is>
          <t>跌出</t>
        </is>
      </c>
      <c r="B36" s="5" t="inlineStr">
        <is>
          <t>VIR</t>
        </is>
      </c>
      <c r="C36" s="14" t="n">
        <v>19</v>
      </c>
      <c r="D36" s="14" t="n"/>
      <c r="E36" s="3" t="inlineStr">
        <is>
          <t>形態唔過：S5 回到20MA；動能：四個時間框都唔入頭 10%（距 MA20 -3.9%、距高位 -9.6%）</t>
        </is>
      </c>
    </row>
    <row r="37">
      <c r="A37" s="2" t="inlineStr">
        <is>
          <t>跌出</t>
        </is>
      </c>
      <c r="B37" s="5" t="inlineStr">
        <is>
          <t>SGP</t>
        </is>
      </c>
      <c r="C37" s="14" t="n">
        <v>21</v>
      </c>
      <c r="D37" s="14" t="n"/>
      <c r="E37" s="3" t="inlineStr">
        <is>
          <t>形態唔過：S5 回到20MA；動能：四個時間框都唔入頭 10%（距 MA20 -7.3%、距高位 -11.4%）</t>
        </is>
      </c>
    </row>
    <row r="38">
      <c r="A38" s="2" t="inlineStr">
        <is>
          <t>跌出</t>
        </is>
      </c>
      <c r="B38" s="5" t="inlineStr">
        <is>
          <t>ANGX</t>
        </is>
      </c>
      <c r="C38" s="14" t="n">
        <v>22</v>
      </c>
      <c r="D38" s="14" t="n"/>
      <c r="E38" s="3" t="inlineStr">
        <is>
          <t>形態唔過：S2 近期高位、S5 回到20MA（距 MA20 -7.1%、距高位 -16.6%）</t>
        </is>
      </c>
    </row>
    <row r="39">
      <c r="A39" s="2" t="inlineStr">
        <is>
          <t>跌出</t>
        </is>
      </c>
      <c r="B39" s="5" t="inlineStr">
        <is>
          <t>DJCO</t>
        </is>
      </c>
      <c r="C39" s="14" t="n">
        <v>23</v>
      </c>
      <c r="D39" s="14" t="n"/>
      <c r="E39" s="3" t="inlineStr">
        <is>
          <t>動能：四個時間框都唔入頭 10%（距 MA20 +1.5%、距高位 -4.0%）</t>
        </is>
      </c>
    </row>
    <row r="40">
      <c r="A40" s="2" t="inlineStr">
        <is>
          <t>跌出</t>
        </is>
      </c>
      <c r="B40" s="5" t="inlineStr">
        <is>
          <t>REPX</t>
        </is>
      </c>
      <c r="C40" s="14" t="n">
        <v>26</v>
      </c>
      <c r="D40" s="14" t="n"/>
      <c r="E40" s="3" t="inlineStr">
        <is>
          <t>形態唔過：S5 回到20MA；動能：四個時間框都唔入頭 10%（距 MA20 -4.3%、距高位 -10.7%）</t>
        </is>
      </c>
    </row>
    <row r="41">
      <c r="A41" s="2" t="inlineStr">
        <is>
          <t>跌出</t>
        </is>
      </c>
      <c r="B41" s="5" t="inlineStr">
        <is>
          <t>APA</t>
        </is>
      </c>
      <c r="C41" s="14" t="n">
        <v>27</v>
      </c>
      <c r="D41" s="14" t="n"/>
      <c r="E41" s="3" t="inlineStr">
        <is>
          <t>形態唔過：S5 回到20MA（距 MA20 -4.1%、距高位 -10.7%）</t>
        </is>
      </c>
    </row>
    <row r="42">
      <c r="A42" s="2" t="inlineStr">
        <is>
          <t>跌出</t>
        </is>
      </c>
      <c r="B42" s="5" t="inlineStr">
        <is>
          <t>CBLL</t>
        </is>
      </c>
      <c r="C42" s="14" t="n">
        <v>28</v>
      </c>
      <c r="D42" s="14" t="n"/>
      <c r="E42" s="3" t="inlineStr">
        <is>
          <t>形態唔過：S3 回調深度（距 MA20 +1.0%、距高位 -2.0%）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16" customWidth="1" min="8" max="8"/>
    <col width="8" customWidth="1" min="9" max="9"/>
    <col width="40" customWidth="1" min="10" max="10"/>
  </cols>
  <sheetData>
    <row r="1">
      <c r="A1" s="1" t="inlineStr">
        <is>
          <t>R21 名單（2026-09-23 收市）之後 3 個交易日點行（至 2026-09-28 收市）</t>
        </is>
      </c>
    </row>
    <row r="3" ht="32" customHeight="1">
      <c r="A3" s="23" t="inlineStr">
        <is>
          <t>整體</t>
        </is>
      </c>
      <c r="B3" s="3" t="inlineStr">
        <is>
          <t>R21 28 隻由 2026-09-23 收市到 2026-09-28 收市（3 個交易日）中位數 -1.57%，13 隻升；同期全體合資格股票中位數 -0.68%。最好 NUTX +5.5%，最差 SGP -7.7%。</t>
        </is>
      </c>
    </row>
    <row r="4" ht="32" customHeight="1">
      <c r="A4" s="23" t="inlineStr">
        <is>
          <t>排名有冇用</t>
        </is>
      </c>
      <c r="B4" s="3" t="inlineStr">
        <is>
          <t>前 10 名中位數 +1.42%（6/10 升），其餘 -2.16%（7/18 升）；爆發潛力分數同期間回報嘅排名相關 +0.15。只係 3 日，樣本太細，唔可以當證明。</t>
        </is>
      </c>
    </row>
    <row r="5" ht="32" customHeight="1">
      <c r="A5" s="23" t="inlineStr">
        <is>
          <t>收市喺 MA20 上定下</t>
        </is>
      </c>
      <c r="B5" s="3" t="inlineStr">
        <is>
          <t>2026-09-23 收市企喺 MA20 上面嘅 15 隻中位數 -2.00%；收喺 MA20 下面（規則容許低 3%）嘅 13 隻 -1.14%。</t>
        </is>
      </c>
    </row>
    <row r="6" ht="32" customHeight="1">
      <c r="A6" s="23" t="inlineStr">
        <is>
          <t>審視標記</t>
        </is>
      </c>
      <c r="B6" s="3" t="inlineStr">
        <is>
          <t>有標記嘅 11 隻中位數 +0.30%，冇標記嘅 17 隻 -2.63%；「放量跌穿」嘅 3 隻 +0.30%。</t>
        </is>
      </c>
    </row>
    <row r="7" ht="32" customHeight="1">
      <c r="A7" s="23" t="inlineStr">
        <is>
          <t>而家狀態</t>
        </is>
      </c>
      <c r="B7" s="3" t="inlineStr">
        <is>
          <t>跌穿 MA20 超過 3% 10 隻；仍然上榜 10 隻；仍喺 MA20 附近（其他條件唔過） 5 隻；已反彈離開 MA20 3 隻</t>
        </is>
      </c>
    </row>
    <row r="9" ht="42" customHeight="1">
      <c r="A9" s="4" t="inlineStr">
        <is>
          <t>R21 排名</t>
        </is>
      </c>
      <c r="B9" s="4" t="inlineStr">
        <is>
          <t>代號</t>
        </is>
      </c>
      <c r="C9" s="4" t="inlineStr">
        <is>
          <t>2026-09-23 收市</t>
        </is>
      </c>
      <c r="D9" s="4" t="inlineStr">
        <is>
          <t>2026-09-28 收市</t>
        </is>
      </c>
      <c r="E9" s="4" t="inlineStr">
        <is>
          <t>期間回報</t>
        </is>
      </c>
      <c r="F9" s="4" t="inlineStr">
        <is>
          <t>減大市中位數</t>
        </is>
      </c>
      <c r="G9" s="4" t="inlineStr">
        <is>
          <t>2026-09-28 距 MA20%</t>
        </is>
      </c>
      <c r="H9" s="4" t="inlineStr">
        <is>
          <t>狀態</t>
        </is>
      </c>
      <c r="I9" s="4" t="inlineStr">
        <is>
          <t>R22.00 排名</t>
        </is>
      </c>
      <c r="J9" s="4" t="inlineStr">
        <is>
          <t>R21 標記</t>
        </is>
      </c>
    </row>
    <row r="10">
      <c r="A10" s="14" t="n">
        <v>1</v>
      </c>
      <c r="B10" s="21" t="inlineStr">
        <is>
          <t>VEEV</t>
        </is>
      </c>
      <c r="C10" s="7" t="n">
        <v>270.75</v>
      </c>
      <c r="D10" s="7" t="n">
        <v>279.96</v>
      </c>
      <c r="E10" s="8">
        <f>D10/C10-1</f>
        <v/>
      </c>
      <c r="F10" s="8">
        <f>E10-(-0.0067584799795971096)</f>
        <v/>
      </c>
      <c r="G10" s="12" t="n">
        <v>0.0362</v>
      </c>
      <c r="H10" s="2" t="inlineStr">
        <is>
          <t>已反彈離開 MA20</t>
        </is>
      </c>
      <c r="I10" s="14" t="n"/>
      <c r="J10" s="3" t="inlineStr"/>
    </row>
    <row r="11">
      <c r="A11" s="14" t="n">
        <v>2</v>
      </c>
      <c r="B11" s="21" t="inlineStr">
        <is>
          <t>NUTX</t>
        </is>
      </c>
      <c r="C11" s="7" t="n">
        <v>201.86</v>
      </c>
      <c r="D11" s="7" t="n">
        <v>213.03</v>
      </c>
      <c r="E11" s="8">
        <f>D11/C11-1</f>
        <v/>
      </c>
      <c r="F11" s="8">
        <f>E11-(-0.0067584799795971096)</f>
        <v/>
      </c>
      <c r="G11" s="12" t="n">
        <v>0.048</v>
      </c>
      <c r="H11" s="2" t="inlineStr">
        <is>
          <t>已反彈離開 MA20</t>
        </is>
      </c>
      <c r="I11" s="14" t="n"/>
      <c r="J11" s="3" t="inlineStr"/>
    </row>
    <row r="12">
      <c r="A12" s="14" t="n">
        <v>3</v>
      </c>
      <c r="B12" s="5" t="inlineStr">
        <is>
          <t>CLMT</t>
        </is>
      </c>
      <c r="C12" s="7" t="n">
        <v>54.38</v>
      </c>
      <c r="D12" s="7" t="n">
        <v>52.61</v>
      </c>
      <c r="E12" s="8">
        <f>D12/C12-1</f>
        <v/>
      </c>
      <c r="F12" s="8">
        <f>E12-(-0.0067584799795971096)</f>
        <v/>
      </c>
      <c r="G12" s="12" t="n">
        <v>-0.046</v>
      </c>
      <c r="H12" s="2" t="inlineStr">
        <is>
          <t>跌穿 MA20 超過 3%</t>
        </is>
      </c>
      <c r="I12" s="14" t="n"/>
      <c r="J12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</row>
    <row r="13">
      <c r="A13" s="14" t="n">
        <v>4</v>
      </c>
      <c r="B13" s="21" t="inlineStr">
        <is>
          <t>ESTC</t>
        </is>
      </c>
      <c r="C13" s="7" t="n">
        <v>91.28</v>
      </c>
      <c r="D13" s="7" t="n">
        <v>87.95</v>
      </c>
      <c r="E13" s="8">
        <f>D13/C13-1</f>
        <v/>
      </c>
      <c r="F13" s="8">
        <f>E13-(-0.0067584799795971096)</f>
        <v/>
      </c>
      <c r="G13" s="12" t="n">
        <v>-0.0108</v>
      </c>
      <c r="H13" s="2" t="inlineStr">
        <is>
          <t>仍然上榜</t>
        </is>
      </c>
      <c r="I13" s="14" t="n">
        <v>6</v>
      </c>
      <c r="J13" s="3" t="inlineStr"/>
    </row>
    <row r="14">
      <c r="A14" s="14" t="n">
        <v>5</v>
      </c>
      <c r="B14" s="21" t="inlineStr">
        <is>
          <t>NEO</t>
        </is>
      </c>
      <c r="C14" s="7" t="n">
        <v>18.36</v>
      </c>
      <c r="D14" s="7" t="n">
        <v>19.3</v>
      </c>
      <c r="E14" s="8">
        <f>D14/C14-1</f>
        <v/>
      </c>
      <c r="F14" s="8">
        <f>E14-(-0.0067584799795971096)</f>
        <v/>
      </c>
      <c r="G14" s="12" t="n">
        <v>0.0471</v>
      </c>
      <c r="H14" s="2" t="inlineStr">
        <is>
          <t>已反彈離開 MA20</t>
        </is>
      </c>
      <c r="I14" s="14" t="n"/>
      <c r="J14" s="3" t="inlineStr"/>
    </row>
    <row r="15">
      <c r="A15" s="14" t="n">
        <v>6</v>
      </c>
      <c r="B15" s="21" t="inlineStr">
        <is>
          <t>NOW</t>
        </is>
      </c>
      <c r="C15" s="7" t="n">
        <v>140.78</v>
      </c>
      <c r="D15" s="7" t="n">
        <v>131.45</v>
      </c>
      <c r="E15" s="8">
        <f>D15/C15-1</f>
        <v/>
      </c>
      <c r="F15" s="8">
        <f>E15-(-0.0067584799795971096)</f>
        <v/>
      </c>
      <c r="G15" s="12" t="n">
        <v>-0.0481</v>
      </c>
      <c r="H15" s="2" t="inlineStr">
        <is>
          <t>跌穿 MA20 超過 3%</t>
        </is>
      </c>
      <c r="I15" s="14" t="n"/>
      <c r="J15" s="3" t="inlineStr"/>
    </row>
    <row r="16">
      <c r="A16" s="14" t="n">
        <v>7</v>
      </c>
      <c r="B16" s="21" t="inlineStr">
        <is>
          <t>HPQ</t>
        </is>
      </c>
      <c r="C16" s="7" t="n">
        <v>32.16</v>
      </c>
      <c r="D16" s="7" t="n">
        <v>31.315</v>
      </c>
      <c r="E16" s="8">
        <f>D16/C16-1</f>
        <v/>
      </c>
      <c r="F16" s="8">
        <f>E16-(-0.0067584799795971096)</f>
        <v/>
      </c>
      <c r="G16" s="12" t="n">
        <v>-0.0367</v>
      </c>
      <c r="H16" s="2" t="inlineStr">
        <is>
          <t>跌穿 MA20 超過 3%</t>
        </is>
      </c>
      <c r="I16" s="14" t="n"/>
      <c r="J16" s="3" t="inlineStr"/>
    </row>
    <row r="17">
      <c r="A17" s="14" t="n">
        <v>8</v>
      </c>
      <c r="B17" s="5" t="inlineStr">
        <is>
          <t>PLSE</t>
        </is>
      </c>
      <c r="C17" s="7" t="n">
        <v>51.98</v>
      </c>
      <c r="D17" s="7" t="n">
        <v>52.32</v>
      </c>
      <c r="E17" s="8">
        <f>D17/C17-1</f>
        <v/>
      </c>
      <c r="F17" s="8">
        <f>E17-(-0.0067584799795971096)</f>
        <v/>
      </c>
      <c r="G17" s="12" t="n">
        <v>-0.0031</v>
      </c>
      <c r="H17" s="2" t="inlineStr">
        <is>
          <t>仍然上榜</t>
        </is>
      </c>
      <c r="I17" s="14" t="n">
        <v>4</v>
      </c>
      <c r="J17" s="3" t="inlineStr">
        <is>
          <t>回調唔係有序回落：期內有一日跌 -10.1%</t>
        </is>
      </c>
    </row>
    <row r="18">
      <c r="A18" s="14" t="n">
        <v>9</v>
      </c>
      <c r="B18" s="5" t="inlineStr">
        <is>
          <t>IRD</t>
        </is>
      </c>
      <c r="C18" s="7" t="n">
        <v>4.83</v>
      </c>
      <c r="D18" s="7" t="n">
        <v>5.07</v>
      </c>
      <c r="E18" s="8">
        <f>D18/C18-1</f>
        <v/>
      </c>
      <c r="F18" s="8">
        <f>E18-(-0.0067584799795971096)</f>
        <v/>
      </c>
      <c r="G18" s="12" t="n">
        <v>0.0048</v>
      </c>
      <c r="H18" s="2" t="inlineStr">
        <is>
          <t>仍然上榜</t>
        </is>
      </c>
      <c r="I18" s="14" t="n">
        <v>1</v>
      </c>
      <c r="J18" s="3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</row>
    <row r="19">
      <c r="A19" s="14" t="n">
        <v>10</v>
      </c>
      <c r="B19" s="5" t="inlineStr">
        <is>
          <t>AMWL</t>
        </is>
      </c>
      <c r="C19" s="7" t="n">
        <v>13.21</v>
      </c>
      <c r="D19" s="7" t="n">
        <v>13.5</v>
      </c>
      <c r="E19" s="8">
        <f>D19/C19-1</f>
        <v/>
      </c>
      <c r="F19" s="8">
        <f>E19-(-0.0067584799795971096)</f>
        <v/>
      </c>
      <c r="G19" s="12" t="n">
        <v>0.0265</v>
      </c>
      <c r="H19" s="2" t="inlineStr">
        <is>
          <t>仍喺 MA20 附近（其他條件唔過）</t>
        </is>
      </c>
      <c r="I19" s="14" t="n"/>
      <c r="J19" s="3" t="inlineStr">
        <is>
          <t>20 日成交額中位數只有 $1.3M（股票池下限 $1M），入市出市都會有滑價</t>
        </is>
      </c>
    </row>
    <row r="20">
      <c r="A20" s="14" t="n">
        <v>11</v>
      </c>
      <c r="B20" s="21" t="inlineStr">
        <is>
          <t>SNOW</t>
        </is>
      </c>
      <c r="C20" s="7" t="n">
        <v>334.81</v>
      </c>
      <c r="D20" s="7" t="n">
        <v>328.12</v>
      </c>
      <c r="E20" s="8">
        <f>D20/C20-1</f>
        <v/>
      </c>
      <c r="F20" s="8">
        <f>E20-(-0.0067584799795971096)</f>
        <v/>
      </c>
      <c r="G20" s="12" t="n">
        <v>-0.012</v>
      </c>
      <c r="H20" s="2" t="inlineStr">
        <is>
          <t>仍然上榜</t>
        </is>
      </c>
      <c r="I20" s="14" t="n">
        <v>11</v>
      </c>
      <c r="J20" s="3" t="inlineStr"/>
    </row>
    <row r="21">
      <c r="A21" s="14" t="n">
        <v>12</v>
      </c>
      <c r="B21" s="21" t="inlineStr">
        <is>
          <t>AMPL</t>
        </is>
      </c>
      <c r="C21" s="7" t="n">
        <v>13.755</v>
      </c>
      <c r="D21" s="7" t="n">
        <v>13.32</v>
      </c>
      <c r="E21" s="8">
        <f>D21/C21-1</f>
        <v/>
      </c>
      <c r="F21" s="8">
        <f>E21-(-0.0067584799795971096)</f>
        <v/>
      </c>
      <c r="G21" s="12" t="n">
        <v>0.0019</v>
      </c>
      <c r="H21" s="2" t="inlineStr">
        <is>
          <t>仍喺 MA20 附近（其他條件唔過）</t>
        </is>
      </c>
      <c r="I21" s="14" t="n"/>
      <c r="J21" s="3" t="inlineStr"/>
    </row>
    <row r="22">
      <c r="A22" s="14" t="n">
        <v>13</v>
      </c>
      <c r="B22" s="5" t="inlineStr">
        <is>
          <t>DHX</t>
        </is>
      </c>
      <c r="C22" s="7" t="n">
        <v>4.6</v>
      </c>
      <c r="D22" s="7" t="n">
        <v>4.62</v>
      </c>
      <c r="E22" s="8">
        <f>D22/C22-1</f>
        <v/>
      </c>
      <c r="F22" s="8">
        <f>E22-(-0.0067584799795971096)</f>
        <v/>
      </c>
      <c r="G22" s="12" t="n">
        <v>-0.0061</v>
      </c>
      <c r="H22" s="2" t="inlineStr">
        <is>
          <t>仍然上榜</t>
        </is>
      </c>
      <c r="I22" s="14" t="n">
        <v>8</v>
      </c>
      <c r="J22" s="3" t="inlineStr">
        <is>
          <t>20 日成交額中位數只有 $1.3M（股票池下限 $1M），入市出市都會有滑價</t>
        </is>
      </c>
    </row>
    <row r="23">
      <c r="A23" s="14" t="n">
        <v>14</v>
      </c>
      <c r="B23" s="21" t="inlineStr">
        <is>
          <t>ZETA</t>
        </is>
      </c>
      <c r="C23" s="7" t="n">
        <v>29.79</v>
      </c>
      <c r="D23" s="7" t="n">
        <v>28.99</v>
      </c>
      <c r="E23" s="8">
        <f>D23/C23-1</f>
        <v/>
      </c>
      <c r="F23" s="8">
        <f>E23-(-0.0067584799795971096)</f>
        <v/>
      </c>
      <c r="G23" s="12" t="n">
        <v>-0.0519</v>
      </c>
      <c r="H23" s="2" t="inlineStr">
        <is>
          <t>跌穿 MA20 超過 3%</t>
        </is>
      </c>
      <c r="I23" s="14" t="n"/>
      <c r="J23" s="3" t="inlineStr"/>
    </row>
    <row r="24">
      <c r="A24" s="14" t="n">
        <v>15</v>
      </c>
      <c r="B24" s="5" t="inlineStr">
        <is>
          <t>DINO</t>
        </is>
      </c>
      <c r="C24" s="7" t="n">
        <v>106.14</v>
      </c>
      <c r="D24" s="7" t="n">
        <v>106.2</v>
      </c>
      <c r="E24" s="8">
        <f>D24/C24-1</f>
        <v/>
      </c>
      <c r="F24" s="8">
        <f>E24-(-0.0067584799795971096)</f>
        <v/>
      </c>
      <c r="G24" s="12" t="n">
        <v>-0.0175</v>
      </c>
      <c r="H24" s="2" t="inlineStr">
        <is>
          <t>仍然上榜</t>
        </is>
      </c>
      <c r="I24" s="14" t="n">
        <v>20</v>
      </c>
      <c r="J24" s="3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</row>
    <row r="25">
      <c r="A25" s="14" t="n">
        <v>16</v>
      </c>
      <c r="B25" s="21" t="inlineStr">
        <is>
          <t>MGNI</t>
        </is>
      </c>
      <c r="C25" s="7" t="n">
        <v>24.06</v>
      </c>
      <c r="D25" s="7" t="n">
        <v>23.41</v>
      </c>
      <c r="E25" s="8">
        <f>D25/C25-1</f>
        <v/>
      </c>
      <c r="F25" s="8">
        <f>E25-(-0.0067584799795971096)</f>
        <v/>
      </c>
      <c r="G25" s="12" t="n">
        <v>-0.0294</v>
      </c>
      <c r="H25" s="2" t="inlineStr">
        <is>
          <t>仍喺 MA20 附近（其他條件唔過）</t>
        </is>
      </c>
      <c r="I25" s="14" t="n"/>
      <c r="J25" s="3" t="inlineStr"/>
    </row>
    <row r="26">
      <c r="A26" s="14" t="n">
        <v>17</v>
      </c>
      <c r="B26" s="5" t="inlineStr">
        <is>
          <t>VLO</t>
        </is>
      </c>
      <c r="C26" s="7" t="n">
        <v>375.84</v>
      </c>
      <c r="D26" s="7" t="n">
        <v>389.57</v>
      </c>
      <c r="E26" s="8">
        <f>D26/C26-1</f>
        <v/>
      </c>
      <c r="F26" s="8">
        <f>E26-(-0.0067584799795971096)</f>
        <v/>
      </c>
      <c r="G26" s="12" t="n">
        <v>0.0131</v>
      </c>
      <c r="H26" s="2" t="inlineStr">
        <is>
          <t>仍然上榜</t>
        </is>
      </c>
      <c r="I26" s="14" t="n">
        <v>9</v>
      </c>
      <c r="J26" s="3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</row>
    <row r="27">
      <c r="A27" s="14" t="n">
        <v>18</v>
      </c>
      <c r="B27" s="5" t="inlineStr">
        <is>
          <t>SABR</t>
        </is>
      </c>
      <c r="C27" s="7" t="n">
        <v>2.19</v>
      </c>
      <c r="D27" s="7" t="n">
        <v>2.1</v>
      </c>
      <c r="E27" s="8">
        <f>D27/C27-1</f>
        <v/>
      </c>
      <c r="F27" s="8">
        <f>E27-(-0.0067584799795971096)</f>
        <v/>
      </c>
      <c r="G27" s="12" t="n">
        <v>-0.0377</v>
      </c>
      <c r="H27" s="2" t="inlineStr">
        <is>
          <t>跌穿 MA20 超過 3%</t>
        </is>
      </c>
      <c r="I27" s="14" t="n"/>
      <c r="J27" s="3" t="inlineStr">
        <is>
          <t>收市 $2.19，貼近股票池 $2 下限；1 個月回報 -3%，靠 2個月 動能上榜</t>
        </is>
      </c>
    </row>
    <row r="28">
      <c r="A28" s="14" t="n">
        <v>19</v>
      </c>
      <c r="B28" s="21" t="inlineStr">
        <is>
          <t>VIR</t>
        </is>
      </c>
      <c r="C28" s="7" t="n">
        <v>11.09</v>
      </c>
      <c r="D28" s="7" t="n">
        <v>10.51</v>
      </c>
      <c r="E28" s="8">
        <f>D28/C28-1</f>
        <v/>
      </c>
      <c r="F28" s="8">
        <f>E28-(-0.0067584799795971096)</f>
        <v/>
      </c>
      <c r="G28" s="12" t="n">
        <v>-0.0389</v>
      </c>
      <c r="H28" s="2" t="inlineStr">
        <is>
          <t>跌穿 MA20 超過 3%</t>
        </is>
      </c>
      <c r="I28" s="14" t="n"/>
      <c r="J28" s="3" t="inlineStr"/>
    </row>
    <row r="29">
      <c r="A29" s="14" t="n">
        <v>20</v>
      </c>
      <c r="B29" s="5" t="inlineStr">
        <is>
          <t>MPC</t>
        </is>
      </c>
      <c r="C29" s="7" t="n">
        <v>388.38</v>
      </c>
      <c r="D29" s="7" t="n">
        <v>389.55</v>
      </c>
      <c r="E29" s="8">
        <f>D29/C29-1</f>
        <v/>
      </c>
      <c r="F29" s="8">
        <f>E29-(-0.0067584799795971096)</f>
        <v/>
      </c>
      <c r="G29" s="12" t="n">
        <v>-0.0173</v>
      </c>
      <c r="H29" s="2" t="inlineStr">
        <is>
          <t>仍然上榜</t>
        </is>
      </c>
      <c r="I29" s="14" t="n">
        <v>12</v>
      </c>
      <c r="J29" s="3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</row>
    <row r="30">
      <c r="A30" s="14" t="n">
        <v>21</v>
      </c>
      <c r="B30" s="5" t="inlineStr">
        <is>
          <t>SGP</t>
        </is>
      </c>
      <c r="C30" s="7" t="n">
        <v>28.16</v>
      </c>
      <c r="D30" s="7" t="n">
        <v>25.98</v>
      </c>
      <c r="E30" s="8">
        <f>D30/C30-1</f>
        <v/>
      </c>
      <c r="F30" s="8">
        <f>E30-(-0.0067584799795971096)</f>
        <v/>
      </c>
      <c r="G30" s="12" t="n">
        <v>-0.0731</v>
      </c>
      <c r="H30" s="2" t="inlineStr">
        <is>
          <t>跌穿 MA20 超過 3%</t>
        </is>
      </c>
      <c r="I30" s="14" t="n"/>
      <c r="J30" s="3" t="inlineStr">
        <is>
          <t>20 日成交額中位數只有 $3.3M（股票池下限 $1M），入市出市都會有滑價</t>
        </is>
      </c>
    </row>
    <row r="31">
      <c r="A31" s="14" t="n">
        <v>22</v>
      </c>
      <c r="B31" s="21" t="inlineStr">
        <is>
          <t>ANGX</t>
        </is>
      </c>
      <c r="C31" s="7" t="n">
        <v>4.85</v>
      </c>
      <c r="D31" s="7" t="n">
        <v>4.57</v>
      </c>
      <c r="E31" s="8">
        <f>D31/C31-1</f>
        <v/>
      </c>
      <c r="F31" s="8">
        <f>E31-(-0.0067584799795971096)</f>
        <v/>
      </c>
      <c r="G31" s="12" t="n">
        <v>-0.0707</v>
      </c>
      <c r="H31" s="2" t="inlineStr">
        <is>
          <t>跌穿 MA20 超過 3%</t>
        </is>
      </c>
      <c r="I31" s="14" t="n"/>
      <c r="J31" s="3" t="inlineStr"/>
    </row>
    <row r="32">
      <c r="A32" s="14" t="n">
        <v>23</v>
      </c>
      <c r="B32" s="21" t="inlineStr">
        <is>
          <t>DJCO</t>
        </is>
      </c>
      <c r="C32" s="7" t="n">
        <v>659.4</v>
      </c>
      <c r="D32" s="7" t="n">
        <v>659.91</v>
      </c>
      <c r="E32" s="8">
        <f>D32/C32-1</f>
        <v/>
      </c>
      <c r="F32" s="8">
        <f>E32-(-0.0067584799795971096)</f>
        <v/>
      </c>
      <c r="G32" s="12" t="n">
        <v>0.0152</v>
      </c>
      <c r="H32" s="2" t="inlineStr">
        <is>
          <t>仍喺 MA20 附近（其他條件唔過）</t>
        </is>
      </c>
      <c r="I32" s="14" t="n"/>
      <c r="J32" s="3" t="inlineStr"/>
    </row>
    <row r="33">
      <c r="A33" s="14" t="n">
        <v>24</v>
      </c>
      <c r="B33" s="5" t="inlineStr">
        <is>
          <t>PSX</t>
        </is>
      </c>
      <c r="C33" s="7" t="n">
        <v>256.48</v>
      </c>
      <c r="D33" s="7" t="n">
        <v>253.55</v>
      </c>
      <c r="E33" s="8">
        <f>D33/C33-1</f>
        <v/>
      </c>
      <c r="F33" s="8">
        <f>E33-(-0.0067584799795971096)</f>
        <v/>
      </c>
      <c r="G33" s="12" t="n">
        <v>-0.0204</v>
      </c>
      <c r="H33" s="2" t="inlineStr">
        <is>
          <t>仍然上榜</t>
        </is>
      </c>
      <c r="I33" s="14" t="n">
        <v>21</v>
      </c>
      <c r="J33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</row>
    <row r="34">
      <c r="A34" s="14" t="n">
        <v>25</v>
      </c>
      <c r="B34" s="21" t="inlineStr">
        <is>
          <t>LPG</t>
        </is>
      </c>
      <c r="C34" s="7" t="n">
        <v>53.16</v>
      </c>
      <c r="D34" s="7" t="n">
        <v>54.38</v>
      </c>
      <c r="E34" s="8">
        <f>D34/C34-1</f>
        <v/>
      </c>
      <c r="F34" s="8">
        <f>E34-(-0.0067584799795971096)</f>
        <v/>
      </c>
      <c r="G34" s="12" t="n">
        <v>-0.0024</v>
      </c>
      <c r="H34" s="2" t="inlineStr">
        <is>
          <t>仍然上榜</t>
        </is>
      </c>
      <c r="I34" s="14" t="n">
        <v>16</v>
      </c>
      <c r="J34" s="3" t="inlineStr"/>
    </row>
    <row r="35">
      <c r="A35" s="14" t="n">
        <v>26</v>
      </c>
      <c r="B35" s="21" t="inlineStr">
        <is>
          <t>REPX</t>
        </is>
      </c>
      <c r="C35" s="7" t="n">
        <v>41.07</v>
      </c>
      <c r="D35" s="7" t="n">
        <v>40.12</v>
      </c>
      <c r="E35" s="8">
        <f>D35/C35-1</f>
        <v/>
      </c>
      <c r="F35" s="8">
        <f>E35-(-0.0067584799795971096)</f>
        <v/>
      </c>
      <c r="G35" s="12" t="n">
        <v>-0.0434</v>
      </c>
      <c r="H35" s="2" t="inlineStr">
        <is>
          <t>跌穿 MA20 超過 3%</t>
        </is>
      </c>
      <c r="I35" s="14" t="n"/>
      <c r="J35" s="3" t="inlineStr"/>
    </row>
    <row r="36">
      <c r="A36" s="14" t="n">
        <v>27</v>
      </c>
      <c r="B36" s="21" t="inlineStr">
        <is>
          <t>APA</t>
        </is>
      </c>
      <c r="C36" s="7" t="n">
        <v>43.7</v>
      </c>
      <c r="D36" s="7" t="n">
        <v>42.33</v>
      </c>
      <c r="E36" s="8">
        <f>D36/C36-1</f>
        <v/>
      </c>
      <c r="F36" s="8">
        <f>E36-(-0.0067584799795971096)</f>
        <v/>
      </c>
      <c r="G36" s="12" t="n">
        <v>-0.0411</v>
      </c>
      <c r="H36" s="2" t="inlineStr">
        <is>
          <t>跌穿 MA20 超過 3%</t>
        </is>
      </c>
      <c r="I36" s="14" t="n"/>
      <c r="J36" s="3" t="inlineStr"/>
    </row>
    <row r="37">
      <c r="A37" s="14" t="n">
        <v>28</v>
      </c>
      <c r="B37" s="21" t="inlineStr">
        <is>
          <t>CBLL</t>
        </is>
      </c>
      <c r="C37" s="7" t="n">
        <v>23.62</v>
      </c>
      <c r="D37" s="7" t="n">
        <v>24.53</v>
      </c>
      <c r="E37" s="8">
        <f>D37/C37-1</f>
        <v/>
      </c>
      <c r="F37" s="8">
        <f>E37-(-0.0067584799795971096)</f>
        <v/>
      </c>
      <c r="G37" s="12" t="n">
        <v>0.0098</v>
      </c>
      <c r="H37" s="2" t="inlineStr">
        <is>
          <t>仍喺 MA20 附近（其他條件唔過）</t>
        </is>
      </c>
      <c r="I37" s="14" t="n"/>
      <c r="J37" s="3" t="inlineStr"/>
    </row>
  </sheetData>
  <autoFilter ref="A9:J37"/>
  <mergeCells count="5">
    <mergeCell ref="B7:I7"/>
    <mergeCell ref="B6:I6"/>
    <mergeCell ref="B3:I3"/>
    <mergeCell ref="B5:I5"/>
    <mergeCell ref="B4:I4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0" r:id="rId21"/>
    <hyperlink xmlns:r="http://schemas.openxmlformats.org/officeDocument/2006/relationships" ref="B31" r:id="rId22"/>
    <hyperlink xmlns:r="http://schemas.openxmlformats.org/officeDocument/2006/relationships" ref="B32" r:id="rId23"/>
    <hyperlink xmlns:r="http://schemas.openxmlformats.org/officeDocument/2006/relationships" ref="B33" r:id="rId24"/>
    <hyperlink xmlns:r="http://schemas.openxmlformats.org/officeDocument/2006/relationships" ref="B34" r:id="rId25"/>
    <hyperlink xmlns:r="http://schemas.openxmlformats.org/officeDocument/2006/relationships" ref="B35" r:id="rId26"/>
    <hyperlink xmlns:r="http://schemas.openxmlformats.org/officeDocument/2006/relationships" ref="B36" r:id="rId27"/>
    <hyperlink xmlns:r="http://schemas.openxmlformats.org/officeDocument/2006/relationships" ref="B37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80" customWidth="1" min="5" max="5"/>
  </cols>
  <sheetData>
    <row r="1">
      <c r="A1" s="1" t="inlineStr">
        <is>
          <t>同一套規則回算 2026-09-25 收市嘅名單，對比 2026-09-28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2026-09-25 排名</t>
        </is>
      </c>
      <c r="D3" s="4" t="inlineStr">
        <is>
          <t>2026-09-28 排名</t>
        </is>
      </c>
      <c r="E3" s="4" t="inlineStr">
        <is>
          <t>說明</t>
        </is>
      </c>
    </row>
    <row r="4">
      <c r="A4" s="2" t="inlineStr">
        <is>
          <t>兩日都上榜</t>
        </is>
      </c>
      <c r="B4" s="21" t="inlineStr">
        <is>
          <t>TTRX</t>
        </is>
      </c>
      <c r="C4" s="14" t="n">
        <v>1</v>
      </c>
      <c r="D4" s="14" t="n">
        <v>2</v>
      </c>
      <c r="E4" s="3" t="inlineStr"/>
    </row>
    <row r="5">
      <c r="A5" s="2" t="inlineStr">
        <is>
          <t>兩日都上榜</t>
        </is>
      </c>
      <c r="B5" s="21" t="inlineStr">
        <is>
          <t>PLSE</t>
        </is>
      </c>
      <c r="C5" s="14" t="n">
        <v>4</v>
      </c>
      <c r="D5" s="14" t="n">
        <v>4</v>
      </c>
      <c r="E5" s="3" t="inlineStr"/>
    </row>
    <row r="6">
      <c r="A6" s="2" t="inlineStr">
        <is>
          <t>兩日都上榜</t>
        </is>
      </c>
      <c r="B6" s="21" t="inlineStr">
        <is>
          <t>TITN</t>
        </is>
      </c>
      <c r="C6" s="14" t="n">
        <v>8</v>
      </c>
      <c r="D6" s="14" t="n">
        <v>5</v>
      </c>
      <c r="E6" s="3" t="inlineStr"/>
    </row>
    <row r="7">
      <c r="A7" s="2" t="inlineStr">
        <is>
          <t>兩日都上榜</t>
        </is>
      </c>
      <c r="B7" s="21" t="inlineStr">
        <is>
          <t>ESTC</t>
        </is>
      </c>
      <c r="C7" s="14" t="n">
        <v>3</v>
      </c>
      <c r="D7" s="14" t="n">
        <v>6</v>
      </c>
      <c r="E7" s="3" t="inlineStr"/>
    </row>
    <row r="8">
      <c r="A8" s="2" t="inlineStr">
        <is>
          <t>兩日都上榜</t>
        </is>
      </c>
      <c r="B8" s="21" t="inlineStr">
        <is>
          <t>DHX</t>
        </is>
      </c>
      <c r="C8" s="14" t="n">
        <v>11</v>
      </c>
      <c r="D8" s="14" t="n">
        <v>8</v>
      </c>
      <c r="E8" s="3" t="inlineStr"/>
    </row>
    <row r="9">
      <c r="A9" s="2" t="inlineStr">
        <is>
          <t>兩日都上榜</t>
        </is>
      </c>
      <c r="B9" s="21" t="inlineStr">
        <is>
          <t>VLO</t>
        </is>
      </c>
      <c r="C9" s="14" t="n">
        <v>10</v>
      </c>
      <c r="D9" s="14" t="n">
        <v>9</v>
      </c>
      <c r="E9" s="3" t="inlineStr"/>
    </row>
    <row r="10">
      <c r="A10" s="2" t="inlineStr">
        <is>
          <t>兩日都上榜</t>
        </is>
      </c>
      <c r="B10" s="21" t="inlineStr">
        <is>
          <t>SNOW</t>
        </is>
      </c>
      <c r="C10" s="14" t="n">
        <v>5</v>
      </c>
      <c r="D10" s="14" t="n">
        <v>11</v>
      </c>
      <c r="E10" s="3" t="inlineStr"/>
    </row>
    <row r="11">
      <c r="A11" s="2" t="inlineStr">
        <is>
          <t>兩日都上榜</t>
        </is>
      </c>
      <c r="B11" s="21" t="inlineStr">
        <is>
          <t>MPC</t>
        </is>
      </c>
      <c r="C11" s="14" t="n">
        <v>12</v>
      </c>
      <c r="D11" s="14" t="n">
        <v>12</v>
      </c>
      <c r="E11" s="3" t="inlineStr"/>
    </row>
    <row r="12">
      <c r="A12" s="2" t="inlineStr">
        <is>
          <t>兩日都上榜</t>
        </is>
      </c>
      <c r="B12" s="21" t="inlineStr">
        <is>
          <t>LPG</t>
        </is>
      </c>
      <c r="C12" s="14" t="n">
        <v>15</v>
      </c>
      <c r="D12" s="14" t="n">
        <v>16</v>
      </c>
      <c r="E12" s="3" t="inlineStr"/>
    </row>
    <row r="13">
      <c r="A13" s="2" t="inlineStr">
        <is>
          <t>兩日都上榜</t>
        </is>
      </c>
      <c r="B13" s="21" t="inlineStr">
        <is>
          <t>DINO</t>
        </is>
      </c>
      <c r="C13" s="14" t="n">
        <v>13</v>
      </c>
      <c r="D13" s="14" t="n">
        <v>20</v>
      </c>
      <c r="E13" s="3" t="inlineStr"/>
    </row>
    <row r="14">
      <c r="A14" s="2" t="inlineStr">
        <is>
          <t>兩日都上榜</t>
        </is>
      </c>
      <c r="B14" s="21" t="inlineStr">
        <is>
          <t>PSX</t>
        </is>
      </c>
      <c r="C14" s="14" t="n">
        <v>16</v>
      </c>
      <c r="D14" s="14" t="n">
        <v>21</v>
      </c>
      <c r="E14" s="3" t="inlineStr"/>
    </row>
    <row r="15">
      <c r="A15" s="2" t="inlineStr">
        <is>
          <t>今日新上榜</t>
        </is>
      </c>
      <c r="B15" s="20" t="inlineStr">
        <is>
          <t>IRD</t>
        </is>
      </c>
      <c r="C15" s="14" t="n"/>
      <c r="D15" s="14" t="n">
        <v>1</v>
      </c>
      <c r="E15" s="3" t="inlineStr">
        <is>
          <t>上日：形態唔過：S5 回到20MA（距 MA20 -4.4%、距高位 -21.6%）</t>
        </is>
      </c>
    </row>
    <row r="16">
      <c r="A16" s="2" t="inlineStr">
        <is>
          <t>今日新上榜</t>
        </is>
      </c>
      <c r="B16" s="20" t="inlineStr">
        <is>
          <t>DELL</t>
        </is>
      </c>
      <c r="C16" s="14" t="n"/>
      <c r="D16" s="14" t="n">
        <v>3</v>
      </c>
      <c r="E16" s="3" t="inlineStr">
        <is>
          <t>上日：形態唔過：S5 回到20MA（距 MA20 +6.4%、距高位 -4.3%）</t>
        </is>
      </c>
    </row>
    <row r="17">
      <c r="A17" s="2" t="inlineStr">
        <is>
          <t>今日新上榜</t>
        </is>
      </c>
      <c r="B17" s="20" t="inlineStr">
        <is>
          <t>FIVN</t>
        </is>
      </c>
      <c r="C17" s="14" t="n"/>
      <c r="D17" s="14" t="n">
        <v>7</v>
      </c>
      <c r="E17" s="3" t="inlineStr">
        <is>
          <t>上日：形態唔過：S5 回到20MA（距 MA20 +5.6%、距高位 -7.4%）</t>
        </is>
      </c>
    </row>
    <row r="18">
      <c r="A18" s="2" t="inlineStr">
        <is>
          <t>今日新上榜</t>
        </is>
      </c>
      <c r="B18" s="20" t="inlineStr">
        <is>
          <t>PURR</t>
        </is>
      </c>
      <c r="C18" s="14" t="n"/>
      <c r="D18" s="14" t="n">
        <v>10</v>
      </c>
      <c r="E18" s="3" t="inlineStr">
        <is>
          <t>上日：形態唔過：S2 近期高位、S5 回到20MA（距 MA20 +3.7%、距高位 -8.8%）</t>
        </is>
      </c>
    </row>
    <row r="19">
      <c r="A19" s="2" t="inlineStr">
        <is>
          <t>今日新上榜</t>
        </is>
      </c>
      <c r="B19" s="20" t="inlineStr">
        <is>
          <t>KGEI</t>
        </is>
      </c>
      <c r="C19" s="14" t="n"/>
      <c r="D19" s="14" t="n">
        <v>13</v>
      </c>
      <c r="E19" s="3" t="inlineStr">
        <is>
          <t>上日：唔喺股票池（未夠 90 個上市交易日、收市 &lt;$2、成交額不足或者已停止交易）</t>
        </is>
      </c>
    </row>
    <row r="20">
      <c r="A20" s="2" t="inlineStr">
        <is>
          <t>今日新上榜</t>
        </is>
      </c>
      <c r="B20" s="20" t="inlineStr">
        <is>
          <t>IBTA</t>
        </is>
      </c>
      <c r="C20" s="14" t="n"/>
      <c r="D20" s="14" t="n">
        <v>14</v>
      </c>
      <c r="E20" s="3" t="inlineStr">
        <is>
          <t>上日：形態唔過：S5 回到20MA（距 MA20 +2.8%、距高位 -3.2%）</t>
        </is>
      </c>
    </row>
    <row r="21">
      <c r="A21" s="2" t="inlineStr">
        <is>
          <t>今日新上榜</t>
        </is>
      </c>
      <c r="B21" s="20" t="inlineStr">
        <is>
          <t>ELMT</t>
        </is>
      </c>
      <c r="C21" s="14" t="n"/>
      <c r="D21" s="14" t="n">
        <v>15</v>
      </c>
      <c r="E21" s="3" t="inlineStr">
        <is>
          <t>上日：形態唔過：S5 回到20MA（距 MA20 +5.7%、距高位 -14.5%）</t>
        </is>
      </c>
    </row>
    <row r="22">
      <c r="A22" s="2" t="inlineStr">
        <is>
          <t>今日新上榜</t>
        </is>
      </c>
      <c r="B22" s="20" t="inlineStr">
        <is>
          <t>DC</t>
        </is>
      </c>
      <c r="C22" s="14" t="n"/>
      <c r="D22" s="14" t="n">
        <v>17</v>
      </c>
      <c r="E22" s="3" t="inlineStr">
        <is>
          <t>上日：形態唔過：S5 回到20MA（距 MA20 +8.0%、距高位 -4.2%）</t>
        </is>
      </c>
    </row>
    <row r="23">
      <c r="A23" s="2" t="inlineStr">
        <is>
          <t>今日新上榜</t>
        </is>
      </c>
      <c r="B23" s="20" t="inlineStr">
        <is>
          <t>BBY</t>
        </is>
      </c>
      <c r="C23" s="14" t="n"/>
      <c r="D23" s="14" t="n">
        <v>18</v>
      </c>
      <c r="E23" s="3" t="inlineStr">
        <is>
          <t>上日：動能：四個時間框都唔入頭 10%（距 MA20 +0.9%、距高位 -4.6%）</t>
        </is>
      </c>
    </row>
    <row r="24">
      <c r="A24" s="2" t="inlineStr">
        <is>
          <t>今日新上榜</t>
        </is>
      </c>
      <c r="B24" s="20" t="inlineStr">
        <is>
          <t>TH</t>
        </is>
      </c>
      <c r="C24" s="14" t="n"/>
      <c r="D24" s="14" t="n">
        <v>19</v>
      </c>
      <c r="E24" s="3" t="inlineStr">
        <is>
          <t>上日：形態唔過：S2 近期高位、S5 回到20MA（距 MA20 +4.7%、距高位 -4.1%）</t>
        </is>
      </c>
    </row>
    <row r="25">
      <c r="A25" s="2" t="inlineStr">
        <is>
          <t>今日跌出</t>
        </is>
      </c>
      <c r="B25" s="5" t="inlineStr">
        <is>
          <t>GTLB</t>
        </is>
      </c>
      <c r="C25" s="14" t="n">
        <v>2</v>
      </c>
      <c r="D25" s="14" t="n"/>
      <c r="E25" s="3" t="inlineStr">
        <is>
          <t>今日：形態唔過：S5 回到20MA（距 MA20 -4.1%、距高位 -8.1%）</t>
        </is>
      </c>
    </row>
    <row r="26">
      <c r="A26" s="2" t="inlineStr">
        <is>
          <t>今日跌出</t>
        </is>
      </c>
      <c r="B26" s="5" t="inlineStr">
        <is>
          <t>AMPL</t>
        </is>
      </c>
      <c r="C26" s="14" t="n">
        <v>6</v>
      </c>
      <c r="D26" s="14" t="n"/>
      <c r="E26" s="3" t="inlineStr">
        <is>
          <t>今日：形態唔過：S1 趨勢（距 MA20 +0.2%、距高位 -6.9%）</t>
        </is>
      </c>
    </row>
    <row r="27">
      <c r="A27" s="2" t="inlineStr">
        <is>
          <t>今日跌出</t>
        </is>
      </c>
      <c r="B27" s="5" t="inlineStr">
        <is>
          <t>AMWL</t>
        </is>
      </c>
      <c r="C27" s="14" t="n">
        <v>7</v>
      </c>
      <c r="D27" s="14" t="n"/>
      <c r="E27" s="3" t="inlineStr">
        <is>
          <t>今日：形態唔過：S3 回調深度（距 MA20 +2.6%、距高位 -2.7%）</t>
        </is>
      </c>
    </row>
    <row r="28">
      <c r="A28" s="2" t="inlineStr">
        <is>
          <t>今日跌出</t>
        </is>
      </c>
      <c r="B28" s="5" t="inlineStr">
        <is>
          <t>CLMT</t>
        </is>
      </c>
      <c r="C28" s="14" t="n">
        <v>9</v>
      </c>
      <c r="D28" s="14" t="n"/>
      <c r="E28" s="3" t="inlineStr">
        <is>
          <t>今日：形態唔過：S5 回到20MA（距 MA20 -4.6%、距高位 -10.9%）</t>
        </is>
      </c>
    </row>
    <row r="29">
      <c r="A29" s="2" t="inlineStr">
        <is>
          <t>今日跌出</t>
        </is>
      </c>
      <c r="B29" s="5" t="inlineStr">
        <is>
          <t>INSW</t>
        </is>
      </c>
      <c r="C29" s="14" t="n">
        <v>14</v>
      </c>
      <c r="D29" s="14" t="n"/>
      <c r="E29" s="3" t="inlineStr">
        <is>
          <t>今日：形態唔過：S3 回調深度、S5 回到20MA（距 MA20 +3.2%、距高位 -2.5%）</t>
        </is>
      </c>
    </row>
    <row r="30">
      <c r="A30" s="2" t="inlineStr">
        <is>
          <t>今日跌出</t>
        </is>
      </c>
      <c r="B30" s="5" t="inlineStr">
        <is>
          <t>SNX</t>
        </is>
      </c>
      <c r="C30" s="14" t="n">
        <v>17</v>
      </c>
      <c r="D30" s="14" t="n"/>
      <c r="E30" s="3" t="inlineStr">
        <is>
          <t>今日：形態唔過：S1 趨勢；動能：四個時間框都唔入頭 10%（距 MA20 -2.5%、距高位 -10.8%）</t>
        </is>
      </c>
    </row>
    <row r="31">
      <c r="A31" s="2" t="inlineStr">
        <is>
          <t>今日跌出</t>
        </is>
      </c>
      <c r="B31" s="5" t="inlineStr">
        <is>
          <t>CBLL</t>
        </is>
      </c>
      <c r="C31" s="14" t="n">
        <v>18</v>
      </c>
      <c r="D31" s="14" t="n"/>
      <c r="E31" s="3" t="inlineStr">
        <is>
          <t>今日：形態唔過：S3 回調深度（距 MA20 +1.0%、距高位 -2.0%）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0" customWidth="1" min="4" max="4"/>
    <col width="30" customWidth="1" min="5" max="5"/>
  </cols>
  <sheetData>
    <row r="1">
      <c r="A1" s="1" t="inlineStr">
        <is>
          <t>批判性覆核：規則捉唔到、但會令名單誤導嘅情況</t>
        </is>
      </c>
    </row>
    <row r="3" ht="42" customHeight="1">
      <c r="A3" s="4" t="inlineStr">
        <is>
          <t>代號</t>
        </is>
      </c>
      <c r="B3" s="4" t="inlineStr">
        <is>
          <t>總表排名</t>
        </is>
      </c>
      <c r="C3" s="4" t="inlineStr">
        <is>
          <t>類別</t>
        </is>
      </c>
      <c r="D3" s="4" t="inlineStr">
        <is>
          <t>說明</t>
        </is>
      </c>
      <c r="E3" s="4" t="inlineStr">
        <is>
          <t>處理</t>
        </is>
      </c>
    </row>
    <row r="4">
      <c r="A4" s="21" t="inlineStr">
        <is>
          <t>IRD</t>
        </is>
      </c>
      <c r="B4" s="14">
        <f>'總表'!A2</f>
        <v/>
      </c>
      <c r="C4" s="2" t="inlineStr">
        <is>
          <t>事件驅動</t>
        </is>
      </c>
      <c r="D4" s="3" t="inlineStr">
        <is>
          <t>二元事件就喺今個星期：10 月 1–4 日 EURETINA 大會公佈 OPGx-BEST1 詳細數據；R21 已標記佢嘅升浪同回調都係臨床消息帶動</t>
        </is>
      </c>
      <c r="E4" s="3" t="inlineStr">
        <is>
          <t>保留、標橙底；要當事件交易睇</t>
        </is>
      </c>
    </row>
    <row r="5">
      <c r="A5" s="21" t="inlineStr">
        <is>
          <t>TTRX</t>
        </is>
      </c>
      <c r="B5" s="14">
        <f>'總表'!A3</f>
        <v/>
      </c>
      <c r="C5" s="2" t="inlineStr">
        <is>
          <t>急跌非有序回調</t>
        </is>
      </c>
      <c r="D5" s="3" t="inlineStr">
        <is>
          <t>回調唔係有序回落：期內有一日跌 -11.6%</t>
        </is>
      </c>
      <c r="E5" s="3" t="inlineStr">
        <is>
          <t>保留、標橙底；回調入面有急跌日</t>
        </is>
      </c>
    </row>
    <row r="6">
      <c r="A6" s="21" t="inlineStr">
        <is>
          <t>TTRX</t>
        </is>
      </c>
      <c r="B6" s="14">
        <f>'總表'!A3</f>
        <v/>
      </c>
      <c r="C6" s="2" t="inlineStr">
        <is>
          <t>事件驅動</t>
        </is>
      </c>
      <c r="D6" s="3" t="inlineStr">
        <is>
          <t>臨床期生物科技，升浪由試驗消息帶動（3 月 $3.22 → 9 月約 $14.8），唔係業績動能</t>
        </is>
      </c>
      <c r="E6" s="3" t="inlineStr">
        <is>
          <t>保留、標橙底；要當事件交易睇</t>
        </is>
      </c>
    </row>
    <row r="7">
      <c r="A7" s="21" t="inlineStr">
        <is>
          <t>TTRX</t>
        </is>
      </c>
      <c r="B7" s="14">
        <f>'總表'!A3</f>
        <v/>
      </c>
      <c r="C7" s="2" t="inlineStr">
        <is>
          <t>流動性低</t>
        </is>
      </c>
      <c r="D7" s="3" t="inlineStr">
        <is>
          <t>20 日成交額中位數只有 $1.7M（股票池下限 $1M），入市出市都會有滑價</t>
        </is>
      </c>
      <c r="E7" s="3" t="inlineStr">
        <is>
          <t>保留、標橙底；落單注意滑價</t>
        </is>
      </c>
    </row>
    <row r="8">
      <c r="A8" s="21" t="inlineStr">
        <is>
          <t>PLSE</t>
        </is>
      </c>
      <c r="B8" s="14">
        <f>'總表'!A5</f>
        <v/>
      </c>
      <c r="C8" s="2" t="inlineStr">
        <is>
          <t>急跌非有序回調</t>
        </is>
      </c>
      <c r="D8" s="3" t="inlineStr">
        <is>
          <t>回調唔係有序回落：期內有一日跌 -10.1%</t>
        </is>
      </c>
      <c r="E8" s="3" t="inlineStr">
        <is>
          <t>保留、標橙底；回調入面有急跌日</t>
        </is>
      </c>
    </row>
    <row r="9">
      <c r="A9" s="21" t="inlineStr">
        <is>
          <t>TITN</t>
        </is>
      </c>
      <c r="B9" s="14">
        <f>'總表'!A6</f>
        <v/>
      </c>
      <c r="C9" s="2" t="inlineStr">
        <is>
          <t>事件驅動</t>
        </is>
      </c>
      <c r="D9" s="3" t="inlineStr">
        <is>
          <t>升浪來自券商升級（08-31 Baird），同期收入 −9.2%、虧損擴大 —— 動能冇基本面支持</t>
        </is>
      </c>
      <c r="E9" s="3" t="inlineStr">
        <is>
          <t>保留、標橙底；要當事件交易睇</t>
        </is>
      </c>
    </row>
    <row r="10">
      <c r="A10" s="21" t="inlineStr">
        <is>
          <t>DHX</t>
        </is>
      </c>
      <c r="B10" s="14">
        <f>'總表'!A9</f>
        <v/>
      </c>
      <c r="C10" s="2" t="inlineStr">
        <is>
          <t>流動性低</t>
        </is>
      </c>
      <c r="D10" s="3" t="inlineStr">
        <is>
          <t>20 日成交額中位數只有 $1.3M（股票池下限 $1M），入市出市都會有滑價</t>
        </is>
      </c>
      <c r="E10" s="3" t="inlineStr">
        <is>
          <t>保留、標橙底；落單注意滑價</t>
        </is>
      </c>
    </row>
    <row r="11">
      <c r="A11" s="21" t="inlineStr">
        <is>
          <t>VLO</t>
        </is>
      </c>
      <c r="B11" s="14">
        <f>'總表'!A10</f>
        <v/>
      </c>
      <c r="C11" s="2" t="inlineStr">
        <is>
          <t>同向群組</t>
        </is>
      </c>
      <c r="D11" s="3" t="inlineStr">
        <is>
          <t>同名單入面 MPC、DINO、PSX 同向（21 日相關系數中位數 +0.91，名單其餘 +0.07）：當一個交易睇</t>
        </is>
      </c>
      <c r="E11" s="3" t="inlineStr">
        <is>
          <t>保留、標橙底；當一個交易睇</t>
        </is>
      </c>
    </row>
    <row r="12">
      <c r="A12" s="21" t="inlineStr">
        <is>
          <t>PURR</t>
        </is>
      </c>
      <c r="B12" s="14">
        <f>'總表'!A11</f>
        <v/>
      </c>
      <c r="C12" s="2" t="inlineStr">
        <is>
          <t>急跌非有序回調</t>
        </is>
      </c>
      <c r="D12" s="3" t="inlineStr">
        <is>
          <t>回調唔係有序回落：期內有一日跌 -8.8%</t>
        </is>
      </c>
      <c r="E12" s="3" t="inlineStr">
        <is>
          <t>保留、標橙底；回調入面有急跌日</t>
        </is>
      </c>
    </row>
    <row r="13">
      <c r="A13" s="21" t="inlineStr">
        <is>
          <t>PURR</t>
        </is>
      </c>
      <c r="B13" s="14">
        <f>'總表'!A11</f>
        <v/>
      </c>
      <c r="C13" s="2" t="inlineStr">
        <is>
          <t>事件驅動</t>
        </is>
      </c>
      <c r="D13" s="3" t="inlineStr">
        <is>
          <t>加密貨幣庫存公司，股價跟 HYPE 代幣走；09-25 監管負面消息</t>
        </is>
      </c>
      <c r="E13" s="3" t="inlineStr">
        <is>
          <t>保留、標橙底；要當事件交易睇</t>
        </is>
      </c>
    </row>
    <row r="14">
      <c r="A14" s="21" t="inlineStr">
        <is>
          <t>MPC</t>
        </is>
      </c>
      <c r="B14" s="14">
        <f>'總表'!A13</f>
        <v/>
      </c>
      <c r="C14" s="2" t="inlineStr">
        <is>
          <t>同向群組</t>
        </is>
      </c>
      <c r="D14" s="3" t="inlineStr">
        <is>
          <t>同名單入面 VLO、DINO、PSX 同向（21 日相關系數中位數 +0.91，名單其餘 +0.07）：當一個交易睇</t>
        </is>
      </c>
      <c r="E14" s="3" t="inlineStr">
        <is>
          <t>保留、標橙底；當一個交易睇</t>
        </is>
      </c>
    </row>
    <row r="15">
      <c r="A15" s="21" t="inlineStr">
        <is>
          <t>KGEI</t>
        </is>
      </c>
      <c r="B15" s="14">
        <f>'總表'!A14</f>
        <v/>
      </c>
      <c r="C15" s="2" t="inlineStr">
        <is>
          <t>放量跌穿</t>
        </is>
      </c>
      <c r="D15" s="3" t="inlineStr">
        <is>
          <t>今日放量（1.8× 50日均量）收喺 20MA 下面</t>
        </is>
      </c>
      <c r="E15" s="3" t="inlineStr">
        <is>
          <t>保留、標橙底；睇之後幾日企唔企得返 MA20</t>
        </is>
      </c>
    </row>
    <row r="16">
      <c r="A16" s="21" t="inlineStr">
        <is>
          <t>KGEI</t>
        </is>
      </c>
      <c r="B16" s="14">
        <f>'總表'!A14</f>
        <v/>
      </c>
      <c r="C16" s="2" t="inlineStr">
        <is>
          <t>流動性低</t>
        </is>
      </c>
      <c r="D16" s="3" t="inlineStr">
        <is>
          <t>20 日成交額中位數只有 $1.0M（股票池下限 $1M），入市出市都會有滑價</t>
        </is>
      </c>
      <c r="E16" s="3" t="inlineStr">
        <is>
          <t>保留、標橙底；落單注意滑價</t>
        </is>
      </c>
    </row>
    <row r="17">
      <c r="A17" s="21" t="inlineStr">
        <is>
          <t>IBTA</t>
        </is>
      </c>
      <c r="B17" s="14">
        <f>'總表'!A15</f>
        <v/>
      </c>
      <c r="C17" s="2" t="inlineStr">
        <is>
          <t>單日急升主導</t>
        </is>
      </c>
      <c r="D17" s="3" t="inlineStr">
        <is>
          <t>升幅過半來自單日：2026-07-31 起計升 77%，最大單日 +51.9%</t>
        </is>
      </c>
      <c r="E17" s="3" t="inlineStr">
        <is>
          <t>保留、標橙底</t>
        </is>
      </c>
    </row>
    <row r="18">
      <c r="A18" s="21" t="inlineStr">
        <is>
          <t>DINO</t>
        </is>
      </c>
      <c r="B18" s="14">
        <f>'總表'!A21</f>
        <v/>
      </c>
      <c r="C18" s="2" t="inlineStr">
        <is>
          <t>同向群組</t>
        </is>
      </c>
      <c r="D18" s="3" t="inlineStr">
        <is>
          <t>同名單入面 VLO、MPC、PSX 同向（21 日相關系數中位數 +0.91，名單其餘 +0.07）：當一個交易睇</t>
        </is>
      </c>
      <c r="E18" s="3" t="inlineStr">
        <is>
          <t>保留、標橙底；當一個交易睇</t>
        </is>
      </c>
    </row>
    <row r="19">
      <c r="A19" s="21" t="inlineStr">
        <is>
          <t>PSX</t>
        </is>
      </c>
      <c r="B19" s="14">
        <f>'總表'!A22</f>
        <v/>
      </c>
      <c r="C19" s="2" t="inlineStr">
        <is>
          <t>同向群組</t>
        </is>
      </c>
      <c r="D19" s="3" t="inlineStr">
        <is>
          <t>同名單入面 VLO、MPC、DINO 同向（21 日相關系數中位數 +0.91，名單其餘 +0.07）：當一個交易睇</t>
        </is>
      </c>
      <c r="E19" s="3" t="inlineStr">
        <is>
          <t>保留、標橙底；當一個交易睇</t>
        </is>
      </c>
    </row>
    <row r="21" ht="90" customHeight="1">
      <c r="A21" s="23" t="inlineStr">
        <is>
          <t>F1</t>
        </is>
      </c>
      <c r="B21" s="26" t="inlineStr">
        <is>
          <t>兩個 Nasdaq 快照其實係舊一日嘅數據（已修正）</t>
        </is>
      </c>
      <c r="D21" s="3" t="inlineStr">
        <is>
          <t>檔 2026-09-24 入面係 2026-09-23 收市（同 Yahoo 2026-09-23 吻合 100.0%，同 2026-09-24 只有 27.1%）；檔 2026-09-28 入面係 2026-09-25 收市（同 Yahoo 2026-09-25 吻合 99.9%，同 2026-09-28 只有 28.0%）。Nasdaq API 喺美東晚上九點半左右仲未轉日。篩選器而家逐個快照同 Yahoo 收市對一次，按實際日期重新標籤或者棄用；抓快照嘅 workflow 亦加咗關卡，同上一個快照幾乎一樣（&gt;95% 相同）就拒絕寫入（會捉到 09-24 嗰種，捉唔到 09-28 嗰種，所以兩道關都要）。我今次工作初段用過 09-28 快照做初步向前測試，得出嘅數其實只計到 09-25，已作廢；正式數字見 F5。R21 用嘅 09-22、09-23 快照係啱嘅。</t>
        </is>
      </c>
      <c r="E21" s="3" t="inlineStr">
        <is>
          <t>已修正</t>
        </is>
      </c>
    </row>
    <row r="22" ht="60" customHeight="1">
      <c r="A22" s="23" t="inlineStr">
        <is>
          <t>F2</t>
        </is>
      </c>
      <c r="B22" s="26" t="inlineStr">
        <is>
          <t>2026-09-28 冇官方快照，Yahoo 日線又未出齊：13/21 隻上榜股用每小時K線合成（暫定）</t>
        </is>
      </c>
      <c r="D22" s="3" t="inlineStr">
        <is>
          <t>Yahoo 當晚只出咗 1,311 隻 2026-09-28 日線，其餘 2,462 隻用每小時K線合成開高低收；喺兩樣都有嘅 1,262 隻上驗證：高位 97.2%、低位 98.1% 喺日線 0.5% 之內，收市中位差 0.04%；但K線成交量只有日線嘅中位 80%（收市競價等冇計入），所以成交量 × 1.253 還原（比例由 1,224 隻實測）。用合成數據嘅上榜股：IRD、DELL、ESTC、FIVN、DHX、MPC、KGEI、IBTA、ELMT、LPG、DC、BBY、DINO。</t>
        </is>
      </c>
      <c r="E22" s="3" t="inlineStr">
        <is>
          <t>已處理；Yahoo 出齊日線（通常翌日下午）後可以重跑確認</t>
        </is>
      </c>
    </row>
    <row r="23" ht="45" customHeight="1">
      <c r="A23" s="23" t="inlineStr">
        <is>
          <t>F3</t>
        </is>
      </c>
      <c r="B23" s="26" t="inlineStr">
        <is>
          <t>Yahoo 補返 09-22：用真實數據重算 R21，名單不變</t>
        </is>
      </c>
      <c r="D23" s="3" t="inlineStr">
        <is>
          <t>R21 時 Yahoo 缺 09-22，用 Nasdaq 收市價補（冇高低位）。而家 Yahoo 補返，用同一套規則重算 2026-09-23：同樣 28 隻，5 隻排名變動（最多 2 位，分數最多變 1.0 分），GRDN 09-22 日內都冇掂到 MA20。另外 ATR 改為只計有真實高低位嘅日子，以後再有缺口日都唔會壓低波幅（今次冇缺口日，冇影響）。</t>
        </is>
      </c>
      <c r="E23" s="3" t="inlineStr">
        <is>
          <t>R21 補洞做法確認冇影響結果</t>
        </is>
      </c>
    </row>
    <row r="24" ht="75" customHeight="1">
      <c r="A24" s="23" t="inlineStr">
        <is>
          <t>F4</t>
        </is>
      </c>
      <c r="B24" s="26" t="inlineStr">
        <is>
          <t>規則修正：S2「貼近期內高位」由九個月改為 52 周，今日因此少 6 隻</t>
        </is>
      </c>
      <c r="D24" s="3" t="inlineStr">
        <is>
          <t>R21 嘅數據由 2025-12-26 開始，S2 其實只係「九個月內高位」，唔係 52 周高位。補抓 2025-09-26 起嘅日線後，CHPT（近 63 日高位只係 52 周高位嘅 84%）、PD（近 63 日高位只係 52 周高位嘅 90%）、VSTM（近 63 日高位只係 52 周高位嘅 79%）、HOOD（近 63 日高位只係 52 周高位嘅 82%）、XRX（近 63 日高位只係 52 周高位嘅 93%）、DOCU（近 63 日高位只係 52 周高位嘅 87%） 唔再過 S2 —— 佢哋係反彈中嘅股票，唔係創新高嘅強勢股。回溯 R21：52 周規則會剔走 VEEV、NOW、ANGX，3 隻之後中位數 -5.77%，其餘 -1.14%（樣本太細，只係方向一致）。</t>
        </is>
      </c>
      <c r="E24" s="3" t="inlineStr">
        <is>
          <t>已修正</t>
        </is>
      </c>
    </row>
    <row r="25" ht="45" customHeight="1">
      <c r="A25" s="23" t="inlineStr">
        <is>
          <t>F5</t>
        </is>
      </c>
      <c r="B25" s="26" t="inlineStr">
        <is>
          <t>R21 向前測試：3 個交易日跑輸大市</t>
        </is>
      </c>
      <c r="D25" s="3" t="inlineStr">
        <is>
          <t>R21 28 隻由 2026-09-23 到 2026-09-28 中位數 -1.57%（13 隻升），全體合資格股票 -0.68%。前 10 名 +1.42%、其餘 -2.16%，分數同回報排名相關 +0.15。而家 10 隻已經跌穿 MA20 超過 3%，10 隻仍然上榜。期內 10 年期債息升到 5.23%（2007 年以來最高），回調買位喺跌市入面先天吃虧；3 日樣本唔可以當結論。</t>
        </is>
      </c>
      <c r="E25" s="3" t="inlineStr">
        <is>
          <t>逐隻列喺「R21向前測試」頁</t>
        </is>
      </c>
    </row>
    <row r="26" ht="45" customHeight="1">
      <c r="A26" s="23" t="inlineStr">
        <is>
          <t>F6</t>
        </is>
      </c>
      <c r="B26" s="26" t="inlineStr">
        <is>
          <t>R21 嘅審視標記冇捉到輸家；「放量跌穿就當失敗」講得太武斷</t>
        </is>
      </c>
      <c r="D26" s="3" t="inlineStr">
        <is>
          <t>有標記嘅 11 隻中位數 +0.30%，冇標記嘅 -2.63% —— 標記冇預測到邊啲會跌。R21 叫「放量跌穿」嘅 DINO、VLO、MPC「聽日企唔返 MA20 就當失敗」，結果 3 隻中位數 +0.30%，DINO +0.1%、VLO +3.7%、MPC +0.3%，全部仍然上榜。今次標記處理改為「睇之後幾日」，唔再落結論。</t>
        </is>
      </c>
      <c r="E26" s="3" t="inlineStr">
        <is>
          <t>已改標記處理字眼</t>
        </is>
      </c>
    </row>
    <row r="27" ht="30" customHeight="1">
      <c r="A27" s="23" t="inlineStr">
        <is>
          <t>F7</t>
        </is>
      </c>
      <c r="B27" s="26" t="inlineStr">
        <is>
          <t>收市企唔企喺 MA20 上面，暫時睇唔出分別</t>
        </is>
      </c>
      <c r="D27" s="3" t="inlineStr">
        <is>
          <t>R21 收市喺 MA20 上面嘅 15 隻中位數 -2.00%，收喺 MA20 下面（容許低 3%）嘅 13 隻 -1.14%。即係「只要收市企返 MA20」呢個待決項目，暫時冇證據支持。</t>
        </is>
      </c>
      <c r="E27" s="3" t="inlineStr">
        <is>
          <t>待決 2 保留</t>
        </is>
      </c>
    </row>
    <row r="28" ht="45" customHeight="1">
      <c r="A28" s="23" t="inlineStr">
        <is>
          <t>F8</t>
        </is>
      </c>
      <c r="B28" s="26" t="inlineStr">
        <is>
          <t>更正 R21 一句冇量度過嘅話：新規則每日換手約四至五成，舊規則約兩成半</t>
        </is>
      </c>
      <c r="D28" s="3" t="inlineStr">
        <is>
          <t>R21 F2 寫「R1–R20 嘅舊名單可以一連幾星期都喺度」，冇數據支持。實際：R19→R20 一日跌出 20/79（25%）；新規則 2026-09-25→2026-09-28 跌出 7/18（39%），R21 09-22→09-23 係 18/33（55%）。R21→R22.00（三個交易日）：兩版都有 10 隻、新上榜 11、跌出 18（跌出入面 10 隻已經跌穿 MA20 超過 3%）。</t>
        </is>
      </c>
      <c r="E28" s="3" t="inlineStr">
        <is>
          <t>已更正</t>
        </is>
      </c>
    </row>
    <row r="29" ht="45" customHeight="1">
      <c r="A29" s="23" t="inlineStr">
        <is>
          <t>F9</t>
        </is>
      </c>
      <c r="B29" s="26" t="inlineStr">
        <is>
          <t>煉油股仍然係一個交易：VLO、MPC、DINO、PSX（相關 +0.91，名單其餘 +0.07）</t>
        </is>
      </c>
      <c r="D29" s="3" t="inlineStr">
        <is>
          <t>能源 5/21 隻（VLO、MPC、KGEI、DINO、PSX）。R21 煉油組五隻向前中位數 +0.06%，CLMT -3.3%、DINO +0.1%、VLO +3.7%、MPC +0.3%、PSX -1.1%；CLMT 已經跌穿 MA20。09-28 特朗普拒絕伊朗和平方案、油價升，對煉油股係雙面刃（原油成本升 vs 柴油緊張）。</t>
        </is>
      </c>
      <c r="E29" s="3" t="inlineStr">
        <is>
          <t>標「同向群組」；當一個交易睇</t>
        </is>
      </c>
    </row>
    <row r="30" ht="30" customHeight="1">
      <c r="A30" s="23" t="inlineStr">
        <is>
          <t>F10</t>
        </is>
      </c>
      <c r="B30" s="26" t="inlineStr">
        <is>
          <t>事件驅動：IRD 呢個星期有二元事件</t>
        </is>
      </c>
      <c r="D30" s="3" t="inlineStr">
        <is>
          <t>IRD 10 月 1–4 日 EURETINA 大會公佈 OPGx-BEST1 詳細數據，排第 1 但係數據前夕；TTRX 升浪由臨床試驗消息帶動；PURR 係加密貨幣（HYPE 代幣）庫存公司；TITN 升浪來自券商升級而收入同期跌 9.2%。</t>
        </is>
      </c>
      <c r="E30" s="3" t="inlineStr">
        <is>
          <t>保留、標橙底</t>
        </is>
      </c>
    </row>
    <row r="31" ht="30" customHeight="1">
      <c r="A31" s="23" t="inlineStr">
        <is>
          <t>F11</t>
        </is>
      </c>
      <c r="B31" s="26" t="inlineStr">
        <is>
          <t>2026-09-28 全市跌：6 隻今日先第一次觸及 MA20</t>
        </is>
      </c>
      <c r="D31" s="3" t="inlineStr">
        <is>
          <t>2026-09-28 合資格股票中位數 -0.69%，31% 上升（10 年期債息 5.23%）。FIVN、PURR、IBTA、ELMT、DC、TH 近 3 日入面只有今日最低價去到 MA20；上榜股當日中位數 -0.86%。</t>
        </is>
      </c>
      <c r="E31" s="3" t="inlineStr">
        <is>
          <t>唔改規則</t>
        </is>
      </c>
    </row>
    <row r="32" ht="45" customHeight="1">
      <c r="A32" s="23" t="inlineStr">
        <is>
          <t>F12</t>
        </is>
      </c>
      <c r="B32" s="26" t="inlineStr">
        <is>
          <t>門檻敏感度：18 個測試入面 10/21 隻次次都留低</t>
        </is>
      </c>
      <c r="D32" s="3" t="inlineStr">
        <is>
          <t>留低嘅：IRD、PLSE、TITN、ESTC、DHX、VLO、IBTA、ELMT、LPG、DINO。變動最大：距MA20下限 -0.03→-0.05：+7／−0；曾經拉開 0.08→0.06：+4／−0；曾經拉開 0.08→0.1：+0／−4；最淺回調 0.03→0.02：+4／−0；距MA20上限 0.03→0.05：+3／−0。</t>
        </is>
      </c>
      <c r="E32" s="3" t="inlineStr">
        <is>
          <t>總表「門檻測試留低」欄</t>
        </is>
      </c>
    </row>
    <row r="33" ht="30" customHeight="1">
      <c r="A33" s="23" t="inlineStr">
        <is>
          <t>F13</t>
        </is>
      </c>
      <c r="B33" s="26" t="inlineStr">
        <is>
          <t>今次冇做嘅嘢</t>
        </is>
      </c>
      <c r="D33" s="3" t="inlineStr">
        <is>
          <t>冇逐隻查業績日期（10 月中開始業績期；IRD 嘅數據事件已知）；沿用舊研究嘅 PD、PLSE、VSTM、ESTC、SNOW、XRX、DOCU 冇重新核實；HTML 報告冇按新規則重做。</t>
        </is>
      </c>
      <c r="E33" s="3" t="inlineStr">
        <is>
          <t>如有需要下一版補</t>
        </is>
      </c>
    </row>
    <row r="34" ht="30" customHeight="1">
      <c r="A34" s="23" t="inlineStr">
        <is>
          <t>待決1</t>
        </is>
      </c>
      <c r="B34" s="26" t="inlineStr">
        <is>
          <t>待你決定</t>
        </is>
      </c>
      <c r="D34" s="3" t="inlineStr">
        <is>
          <t>動能門檻用頭 10% 定頭 15%？今日頭 15% 會多 1 隻。</t>
        </is>
      </c>
      <c r="E34" s="3" t="inlineStr">
        <is>
          <t>今次未改</t>
        </is>
      </c>
    </row>
    <row r="35" ht="30" customHeight="1">
      <c r="A35" s="23" t="inlineStr">
        <is>
          <t>待決2</t>
        </is>
      </c>
      <c r="B35" s="26" t="inlineStr">
        <is>
          <t>待你決定</t>
        </is>
      </c>
      <c r="D35" s="3" t="inlineStr">
        <is>
          <t>只要收市企返 MA20 上面？今日會少 15 隻；但 R21 向前測試入面收喺 MA20 下面嘅反而跌得少（見 F7）。</t>
        </is>
      </c>
      <c r="E35" s="3" t="inlineStr">
        <is>
          <t>今次未改</t>
        </is>
      </c>
    </row>
    <row r="36" ht="30" customHeight="1">
      <c r="A36" s="23" t="inlineStr">
        <is>
          <t>待決3</t>
        </is>
      </c>
      <c r="B36" s="26" t="inlineStr">
        <is>
          <t>待你決定</t>
        </is>
      </c>
      <c r="D36" s="3" t="inlineStr">
        <is>
          <t>成交額下限升到 $5M？今日會少 3 隻（TTRX、DHX、KGEI）。</t>
        </is>
      </c>
      <c r="E36" s="3" t="inlineStr">
        <is>
          <t>今次未改</t>
        </is>
      </c>
    </row>
    <row r="37" ht="30" customHeight="1">
      <c r="A37" s="23" t="inlineStr">
        <is>
          <t>待決4</t>
        </is>
      </c>
      <c r="B37" s="26" t="inlineStr">
        <is>
          <t>待你決定</t>
        </is>
      </c>
      <c r="D37" s="3" t="inlineStr">
        <is>
          <t>事件驅動同放量跌穿要唔要剔走？R21 向前測試入面有標記嘅跌得比冇標記少（見 F6），暫時冇證據支持剔走。</t>
        </is>
      </c>
      <c r="E37" s="3" t="inlineStr">
        <is>
          <t>今次未改</t>
        </is>
      </c>
    </row>
  </sheetData>
  <autoFilter ref="A3:E3"/>
  <mergeCells count="17">
    <mergeCell ref="B21:C21"/>
    <mergeCell ref="B24:C24"/>
    <mergeCell ref="B30:C30"/>
    <mergeCell ref="B29:C29"/>
    <mergeCell ref="B33:C33"/>
    <mergeCell ref="B25:C25"/>
    <mergeCell ref="B34:C34"/>
    <mergeCell ref="B37:C37"/>
    <mergeCell ref="B28:C28"/>
    <mergeCell ref="B23:C23"/>
    <mergeCell ref="B22:C22"/>
    <mergeCell ref="B36:C36"/>
    <mergeCell ref="B32:C32"/>
    <mergeCell ref="B31:C31"/>
    <mergeCell ref="B26:C26"/>
    <mergeCell ref="B27:C27"/>
    <mergeCell ref="B35:C35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Yahoo 日線 vs Nasdaq 來源（序列 + 收市後快照）</t>
        </is>
      </c>
    </row>
    <row r="3" ht="32" customHeight="1">
      <c r="A3" s="23" t="inlineStr">
        <is>
          <t>快照 2026-09-24</t>
        </is>
      </c>
      <c r="B3" s="3" t="inlineStr">
        <is>
          <t>檔名係 2026-09-24，但入面係 2026-09-23 嘅收市（同 Yahoo 2026-09-23 收市 100.0% 吻合，同 2026-09-24 只有 27.1%）：Nasdaq API 晚上抓取時仲未轉日；2026-09-23 已經有自己嘅快照，呢個檔棄用</t>
        </is>
      </c>
    </row>
    <row r="4" ht="32" customHeight="1">
      <c r="A4" s="23" t="inlineStr">
        <is>
          <t>快照 2026-09-28</t>
        </is>
      </c>
      <c r="B4" s="3" t="inlineStr">
        <is>
          <t>檔名係 2026-09-28，但入面係 2026-09-25 嘅收市（吻合 99.9%，同 2026-09-28 只有 28.0%）：當 2026-09-25 快照用；2026-09-28 冇官方快照</t>
        </is>
      </c>
    </row>
    <row r="5" ht="32" customHeight="1">
      <c r="A5" s="23" t="inlineStr">
        <is>
          <t>2026-09-23 收市</t>
        </is>
      </c>
      <c r="B5" s="3" t="inlineStr">
        <is>
          <t>Yahoo 對 Nasdaq 收市後快照（檔 2026-09-23）：3,844 隻，100.0% 喺 0.5% 之內</t>
        </is>
      </c>
    </row>
    <row r="6" ht="32" customHeight="1">
      <c r="A6" s="23" t="inlineStr">
        <is>
          <t>2026-09-25 收市</t>
        </is>
      </c>
      <c r="B6" s="3" t="inlineStr">
        <is>
          <t>Yahoo 對 Nasdaq 收市後快照（檔 2026-09-28）：3,837 隻，99.9% 喺 0.5% 之內</t>
        </is>
      </c>
    </row>
    <row r="7" ht="32" customHeight="1">
      <c r="A7" s="23" t="inlineStr">
        <is>
          <t>2026-09-24 收市</t>
        </is>
      </c>
      <c r="B7" s="3" t="inlineStr">
        <is>
          <t>Yahoo 對 2026-09-25 快照「收市 − 升跌」反推嘅前收：3,836 隻，99.8% 喺 0.5% 之內</t>
        </is>
      </c>
    </row>
    <row r="8" ht="32" customHeight="1">
      <c r="A8" s="23" t="inlineStr">
        <is>
          <t>2026-09-28 收市</t>
        </is>
      </c>
      <c r="B8" s="3" t="inlineStr">
        <is>
          <t>冇官方快照；Yahoo 日線當晚只出咗 1,311 隻，其餘 2,462 隻用每小時K線合成（開高低收取自K線，成交量 × 1.253 還原收市競價等漏計部分，比例由 1,224 隻兩樣都有嘅股票實測）。K線合成同日線嘅吻合度見審視標記 F2</t>
        </is>
      </c>
    </row>
    <row r="9" ht="32" customHeight="1">
      <c r="A9" s="23" t="inlineStr">
        <is>
          <t>名單逐隻</t>
        </is>
      </c>
      <c r="B9" s="3" t="inlineStr">
        <is>
          <t>21 隻上榜股，近 63 個交易日 Yahoo 對 Nasdaq 序列同快照，最大差 0.099%（KGEI）；鏡像照抄前日嘅日子唔計</t>
        </is>
      </c>
    </row>
    <row r="11" ht="42" customHeight="1">
      <c r="A11" s="4" t="inlineStr">
        <is>
          <t>代號</t>
        </is>
      </c>
      <c r="B11" s="4" t="inlineStr">
        <is>
          <t>總表排名</t>
        </is>
      </c>
      <c r="C11" s="4" t="inlineStr">
        <is>
          <t>比較點數</t>
        </is>
      </c>
      <c r="D11" s="4" t="inlineStr">
        <is>
          <t>最大差%</t>
        </is>
      </c>
      <c r="E11" s="4" t="inlineStr">
        <is>
          <t>2026-09-23 收市差%</t>
        </is>
      </c>
      <c r="F11" s="4" t="inlineStr">
        <is>
          <t>2026-09-25 收市差%</t>
        </is>
      </c>
    </row>
    <row r="12">
      <c r="A12" s="21" t="inlineStr">
        <is>
          <t>IRD</t>
        </is>
      </c>
      <c r="B12" s="14">
        <f>'總表'!A2</f>
        <v/>
      </c>
      <c r="C12" s="14" t="n">
        <v>60</v>
      </c>
      <c r="D12" s="19" t="n">
        <v>0</v>
      </c>
      <c r="E12" s="19" t="n">
        <v>0</v>
      </c>
      <c r="F12" s="19" t="n">
        <v>0</v>
      </c>
    </row>
    <row r="13">
      <c r="A13" s="21" t="inlineStr">
        <is>
          <t>TTRX</t>
        </is>
      </c>
      <c r="B13" s="14">
        <f>'總表'!A3</f>
        <v/>
      </c>
      <c r="C13" s="14" t="n">
        <v>57</v>
      </c>
      <c r="D13" s="19" t="n">
        <v>0</v>
      </c>
      <c r="E13" s="19" t="n">
        <v>0</v>
      </c>
      <c r="F13" s="19" t="n">
        <v>0</v>
      </c>
    </row>
    <row r="14">
      <c r="A14" s="21" t="inlineStr">
        <is>
          <t>DELL</t>
        </is>
      </c>
      <c r="B14" s="14">
        <f>'總表'!A4</f>
        <v/>
      </c>
      <c r="C14" s="14" t="n">
        <v>60</v>
      </c>
      <c r="D14" s="19" t="n">
        <v>0</v>
      </c>
      <c r="E14" s="19" t="n">
        <v>0</v>
      </c>
      <c r="F14" s="19" t="n">
        <v>0</v>
      </c>
    </row>
    <row r="15">
      <c r="A15" s="21" t="inlineStr">
        <is>
          <t>PLSE</t>
        </is>
      </c>
      <c r="B15" s="14">
        <f>'總表'!A5</f>
        <v/>
      </c>
      <c r="C15" s="14" t="n">
        <v>60</v>
      </c>
      <c r="D15" s="19" t="n">
        <v>0</v>
      </c>
      <c r="E15" s="19" t="n">
        <v>0</v>
      </c>
      <c r="F15" s="19" t="n">
        <v>0</v>
      </c>
    </row>
    <row r="16">
      <c r="A16" s="21" t="inlineStr">
        <is>
          <t>TITN</t>
        </is>
      </c>
      <c r="B16" s="14">
        <f>'總表'!A6</f>
        <v/>
      </c>
      <c r="C16" s="14" t="n">
        <v>60</v>
      </c>
      <c r="D16" s="19" t="n">
        <v>0.00028</v>
      </c>
      <c r="E16" s="19" t="n">
        <v>0</v>
      </c>
      <c r="F16" s="19" t="n">
        <v>0</v>
      </c>
    </row>
    <row r="17">
      <c r="A17" s="21" t="inlineStr">
        <is>
          <t>ESTC</t>
        </is>
      </c>
      <c r="B17" s="14">
        <f>'總表'!A7</f>
        <v/>
      </c>
      <c r="C17" s="14" t="n">
        <v>60</v>
      </c>
      <c r="D17" s="19" t="n">
        <v>0</v>
      </c>
      <c r="E17" s="19" t="n">
        <v>0</v>
      </c>
      <c r="F17" s="19" t="n">
        <v>0</v>
      </c>
    </row>
    <row r="18">
      <c r="A18" s="21" t="inlineStr">
        <is>
          <t>FIVN</t>
        </is>
      </c>
      <c r="B18" s="14">
        <f>'總表'!A8</f>
        <v/>
      </c>
      <c r="C18" s="14" t="n">
        <v>60</v>
      </c>
      <c r="D18" s="19" t="n">
        <v>0</v>
      </c>
      <c r="E18" s="19" t="n">
        <v>0</v>
      </c>
      <c r="F18" s="19" t="n">
        <v>0</v>
      </c>
    </row>
    <row r="19">
      <c r="A19" s="21" t="inlineStr">
        <is>
          <t>DHX</t>
        </is>
      </c>
      <c r="B19" s="14">
        <f>'總表'!A9</f>
        <v/>
      </c>
      <c r="C19" s="14" t="n">
        <v>60</v>
      </c>
      <c r="D19" s="19" t="n">
        <v>0</v>
      </c>
      <c r="E19" s="19" t="n">
        <v>0</v>
      </c>
      <c r="F19" s="19" t="n">
        <v>0</v>
      </c>
    </row>
    <row r="20">
      <c r="A20" s="21" t="inlineStr">
        <is>
          <t>VLO</t>
        </is>
      </c>
      <c r="B20" s="14">
        <f>'總表'!A10</f>
        <v/>
      </c>
      <c r="C20" s="14" t="n">
        <v>60</v>
      </c>
      <c r="D20" s="19" t="n">
        <v>0</v>
      </c>
      <c r="E20" s="19" t="n">
        <v>0</v>
      </c>
      <c r="F20" s="19" t="n">
        <v>0</v>
      </c>
    </row>
    <row r="21">
      <c r="A21" s="21" t="inlineStr">
        <is>
          <t>PURR</t>
        </is>
      </c>
      <c r="B21" s="14">
        <f>'總表'!A11</f>
        <v/>
      </c>
      <c r="C21" s="14" t="n">
        <v>60</v>
      </c>
      <c r="D21" s="19" t="n">
        <v>0</v>
      </c>
      <c r="E21" s="19" t="n">
        <v>0</v>
      </c>
      <c r="F21" s="19" t="n">
        <v>0</v>
      </c>
    </row>
    <row r="22">
      <c r="A22" s="21" t="inlineStr">
        <is>
          <t>SNOW</t>
        </is>
      </c>
      <c r="B22" s="14">
        <f>'總表'!A12</f>
        <v/>
      </c>
      <c r="C22" s="14" t="n">
        <v>60</v>
      </c>
      <c r="D22" s="19" t="n">
        <v>0</v>
      </c>
      <c r="E22" s="19" t="n">
        <v>0</v>
      </c>
      <c r="F22" s="19" t="n">
        <v>0</v>
      </c>
    </row>
    <row r="23">
      <c r="A23" s="21" t="inlineStr">
        <is>
          <t>MPC</t>
        </is>
      </c>
      <c r="B23" s="14">
        <f>'總表'!A13</f>
        <v/>
      </c>
      <c r="C23" s="14" t="n">
        <v>60</v>
      </c>
      <c r="D23" s="19" t="n">
        <v>0</v>
      </c>
      <c r="E23" s="19" t="n">
        <v>0</v>
      </c>
      <c r="F23" s="19" t="n">
        <v>0</v>
      </c>
    </row>
    <row r="24">
      <c r="A24" s="21" t="inlineStr">
        <is>
          <t>KGEI</t>
        </is>
      </c>
      <c r="B24" s="14">
        <f>'總表'!A14</f>
        <v/>
      </c>
      <c r="C24" s="14" t="n">
        <v>57</v>
      </c>
      <c r="D24" s="19" t="n">
        <v>0.00099</v>
      </c>
      <c r="E24" s="19" t="n">
        <v>0</v>
      </c>
      <c r="F24" s="19" t="n">
        <v>0</v>
      </c>
    </row>
    <row r="25">
      <c r="A25" s="21" t="inlineStr">
        <is>
          <t>IBTA</t>
        </is>
      </c>
      <c r="B25" s="14">
        <f>'總表'!A15</f>
        <v/>
      </c>
      <c r="C25" s="14" t="n">
        <v>60</v>
      </c>
      <c r="D25" s="19" t="n">
        <v>0</v>
      </c>
      <c r="E25" s="19" t="n">
        <v>0</v>
      </c>
      <c r="F25" s="19" t="n">
        <v>0</v>
      </c>
    </row>
    <row r="26">
      <c r="A26" s="21" t="inlineStr">
        <is>
          <t>ELMT</t>
        </is>
      </c>
      <c r="B26" s="14">
        <f>'總表'!A16</f>
        <v/>
      </c>
      <c r="C26" s="14" t="n">
        <v>60</v>
      </c>
      <c r="D26" s="19" t="n">
        <v>0.00032</v>
      </c>
      <c r="E26" s="19" t="n">
        <v>0</v>
      </c>
      <c r="F26" s="19" t="n">
        <v>0</v>
      </c>
    </row>
    <row r="27">
      <c r="A27" s="21" t="inlineStr">
        <is>
          <t>LPG</t>
        </is>
      </c>
      <c r="B27" s="14">
        <f>'總表'!A17</f>
        <v/>
      </c>
      <c r="C27" s="14" t="n">
        <v>60</v>
      </c>
      <c r="D27" s="19" t="n">
        <v>0</v>
      </c>
      <c r="E27" s="19" t="n">
        <v>0</v>
      </c>
      <c r="F27" s="19" t="n">
        <v>0</v>
      </c>
    </row>
    <row r="28">
      <c r="A28" s="21" t="inlineStr">
        <is>
          <t>DC</t>
        </is>
      </c>
      <c r="B28" s="14">
        <f>'總表'!A18</f>
        <v/>
      </c>
      <c r="C28" s="14" t="n">
        <v>60</v>
      </c>
      <c r="D28" s="19" t="n">
        <v>0</v>
      </c>
      <c r="E28" s="19" t="n">
        <v>0</v>
      </c>
      <c r="F28" s="19" t="n">
        <v>0</v>
      </c>
    </row>
    <row r="29">
      <c r="A29" s="21" t="inlineStr">
        <is>
          <t>BBY</t>
        </is>
      </c>
      <c r="B29" s="14">
        <f>'總表'!A19</f>
        <v/>
      </c>
      <c r="C29" s="14" t="n">
        <v>60</v>
      </c>
      <c r="D29" s="19" t="n">
        <v>0</v>
      </c>
      <c r="E29" s="19" t="n">
        <v>0</v>
      </c>
      <c r="F29" s="19" t="n">
        <v>0</v>
      </c>
    </row>
    <row r="30">
      <c r="A30" s="21" t="inlineStr">
        <is>
          <t>TH</t>
        </is>
      </c>
      <c r="B30" s="14">
        <f>'總表'!A20</f>
        <v/>
      </c>
      <c r="C30" s="14" t="n">
        <v>60</v>
      </c>
      <c r="D30" s="19" t="n">
        <v>0</v>
      </c>
      <c r="E30" s="19" t="n">
        <v>0</v>
      </c>
      <c r="F30" s="19" t="n">
        <v>0</v>
      </c>
    </row>
    <row r="31">
      <c r="A31" s="21" t="inlineStr">
        <is>
          <t>DINO</t>
        </is>
      </c>
      <c r="B31" s="14">
        <f>'總表'!A21</f>
        <v/>
      </c>
      <c r="C31" s="14" t="n">
        <v>60</v>
      </c>
      <c r="D31" s="19" t="n">
        <v>0</v>
      </c>
      <c r="E31" s="19" t="n">
        <v>0</v>
      </c>
      <c r="F31" s="19" t="n">
        <v>0</v>
      </c>
    </row>
    <row r="32">
      <c r="A32" s="21" t="inlineStr">
        <is>
          <t>PSX</t>
        </is>
      </c>
      <c r="B32" s="14">
        <f>'總表'!A22</f>
        <v/>
      </c>
      <c r="C32" s="14" t="n">
        <v>60</v>
      </c>
      <c r="D32" s="19" t="n">
        <v>0</v>
      </c>
      <c r="E32" s="19" t="n">
        <v>0</v>
      </c>
      <c r="F32" s="19" t="n">
        <v>0</v>
      </c>
    </row>
  </sheetData>
  <autoFilter ref="A11:F11"/>
  <mergeCells count="7">
    <mergeCell ref="B4:F4"/>
    <mergeCell ref="B7:F7"/>
    <mergeCell ref="B6:F6"/>
    <mergeCell ref="B3:F3"/>
    <mergeCell ref="B5:F5"/>
    <mergeCell ref="B8:F8"/>
    <mergeCell ref="B9:F9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0" customWidth="1" min="3" max="3"/>
    <col width="10" customWidth="1" min="4" max="4"/>
  </cols>
  <sheetData>
    <row r="1">
      <c r="A1" s="1" t="inlineStr">
        <is>
          <t>市況（2026-09-28 收市）</t>
        </is>
      </c>
    </row>
    <row r="3" ht="18" customHeight="1">
      <c r="A3" s="23" t="inlineStr">
        <is>
          <t>09-24（四）</t>
        </is>
      </c>
      <c r="B3" s="3" t="inlineStr">
        <is>
          <t>標普 7,704.13（持平）、道指 −0.3%、納指持平；債息同油價上落，最後債息收高。（AP）</t>
        </is>
      </c>
    </row>
    <row r="4" ht="18" customHeight="1">
      <c r="A4" s="23" t="inlineStr">
        <is>
          <t>09-25（五）</t>
        </is>
      </c>
      <c r="B4" s="3" t="inlineStr">
        <is>
          <t>標普 +0.5% 至 7,743.41、道指 +0.9%、納指 +0.5%；Brent 一度跌穿 $98，油價降溫，美股三星期以來首個上升周。（AP）</t>
        </is>
      </c>
    </row>
    <row r="5" ht="30" customHeight="1">
      <c r="A5" s="23" t="inlineStr">
        <is>
          <t>09-28（一）</t>
        </is>
      </c>
      <c r="B5" s="3" t="inlineStr">
        <is>
          <t>標普 −0.8% 至 7,683.69、道指 −0.7% 至 51,481.51、納指 −0.9% 至 26,820.38、羅素 2000 −0.7%；10 年期美債息升至 5.23%，2007 年以來最高。特朗普周六拒絕伊朗經卡塔爾轉交嘅和平方案，荷姆茲海峽何時重開仍未明，油價升約 2%。（AP、TheStreet、Reuters via Yahoo）</t>
        </is>
      </c>
    </row>
    <row r="6" ht="18" customHeight="1">
      <c r="A6" s="23" t="inlineStr">
        <is>
          <t>背景</t>
        </is>
      </c>
      <c r="B6" s="3" t="inlineStr">
        <is>
          <t>聯儲 09-16 加息 25 點子至 3.75%–4.00%；09-23 5 年期債息 2007 年後首見 5 厘（R21 記錄）。</t>
        </is>
      </c>
    </row>
    <row r="7" ht="30" customHeight="1">
      <c r="A7" s="23" t="inlineStr">
        <is>
          <t>大市闊度</t>
        </is>
      </c>
      <c r="B7" s="3" t="inlineStr">
        <is>
          <t>合資格股票每日中位數：09-23 -1.29%（22% 上升）；09-24 -0.22%（44% 上升）；09-25 +0.25%（57% 上升）；09-28 -0.69%（31% 上升）</t>
        </is>
      </c>
    </row>
    <row r="9">
      <c r="A9" s="25" t="inlineStr">
        <is>
          <t>日期</t>
        </is>
      </c>
      <c r="B9" s="25" t="inlineStr">
        <is>
          <t>合資格股票當日中位數</t>
        </is>
      </c>
      <c r="C9" s="25" t="inlineStr">
        <is>
          <t>上升比例</t>
        </is>
      </c>
      <c r="D9" s="25" t="inlineStr">
        <is>
          <t>股票數</t>
        </is>
      </c>
    </row>
    <row r="10">
      <c r="A10" s="2" t="inlineStr">
        <is>
          <t>2026-09-21</t>
        </is>
      </c>
      <c r="B10" s="12" t="n">
        <v>0.002467612584824197</v>
      </c>
      <c r="C10" s="11" t="n">
        <v>0.5623418865196964</v>
      </c>
      <c r="D10" s="27" t="n">
        <v>2767</v>
      </c>
    </row>
    <row r="11">
      <c r="A11" s="2" t="inlineStr">
        <is>
          <t>2026-09-22</t>
        </is>
      </c>
      <c r="B11" s="12" t="n">
        <v>0.0028195488721805</v>
      </c>
      <c r="C11" s="11" t="n">
        <v>0.5561980484279002</v>
      </c>
      <c r="D11" s="27" t="n">
        <v>2767</v>
      </c>
    </row>
    <row r="12">
      <c r="A12" s="2" t="inlineStr">
        <is>
          <t>2026-09-23</t>
        </is>
      </c>
      <c r="B12" s="12" t="n">
        <v>-0.01294422216992241</v>
      </c>
      <c r="C12" s="11" t="n">
        <v>0.2164799421756415</v>
      </c>
      <c r="D12" s="27" t="n">
        <v>2767</v>
      </c>
    </row>
    <row r="13">
      <c r="A13" s="2" t="inlineStr">
        <is>
          <t>2026-09-24</t>
        </is>
      </c>
      <c r="B13" s="12" t="n">
        <v>-0.002183406113537067</v>
      </c>
      <c r="C13" s="11" t="n">
        <v>0.4409107336465486</v>
      </c>
      <c r="D13" s="27" t="n">
        <v>2767</v>
      </c>
    </row>
    <row r="14">
      <c r="A14" s="2" t="inlineStr">
        <is>
          <t>2026-09-25</t>
        </is>
      </c>
      <c r="B14" s="12" t="n">
        <v>0.002546885853206726</v>
      </c>
      <c r="C14" s="11" t="n">
        <v>0.567401517889411</v>
      </c>
      <c r="D14" s="27" t="n">
        <v>2767</v>
      </c>
    </row>
    <row r="15">
      <c r="A15" s="2" t="inlineStr">
        <is>
          <t>2026-09-28</t>
        </is>
      </c>
      <c r="B15" s="12" t="n">
        <v>-0.00694278190088593</v>
      </c>
      <c r="C15" s="11" t="n">
        <v>0.3097217202746657</v>
      </c>
      <c r="D15" s="27" t="n">
        <v>2767</v>
      </c>
    </row>
    <row r="17">
      <c r="A17" s="23" t="inlineStr">
        <is>
          <t>名單板塊分佈</t>
        </is>
      </c>
    </row>
    <row r="18">
      <c r="A18" s="2" t="inlineStr">
        <is>
          <t>非必需消費</t>
        </is>
      </c>
      <c r="B18" s="14">
        <f>COUNTIF('總表'!E2:E22,A18)</f>
        <v/>
      </c>
    </row>
    <row r="19">
      <c r="A19" s="2" t="inlineStr">
        <is>
          <t>能源</t>
        </is>
      </c>
      <c r="B19" s="14">
        <f>COUNTIF('總表'!E2:E22,A19)</f>
        <v/>
      </c>
    </row>
    <row r="20">
      <c r="A20" s="2" t="inlineStr">
        <is>
          <t>科技</t>
        </is>
      </c>
      <c r="B20" s="14">
        <f>COUNTIF('總表'!E2:E22,A20)</f>
        <v/>
      </c>
    </row>
    <row r="21">
      <c r="A21" s="2" t="inlineStr">
        <is>
          <t>醫療保健</t>
        </is>
      </c>
      <c r="B21" s="14">
        <f>COUNTIF('總表'!E2:E22,A21)</f>
        <v/>
      </c>
    </row>
    <row r="22">
      <c r="A22" s="2" t="inlineStr">
        <is>
          <t>金融</t>
        </is>
      </c>
      <c r="B22" s="14">
        <f>COUNTIF('總表'!E2:E22,A22)</f>
        <v/>
      </c>
    </row>
    <row r="23">
      <c r="A23" s="2" t="inlineStr">
        <is>
          <t>工業</t>
        </is>
      </c>
      <c r="B23" s="14">
        <f>COUNTIF('總表'!E2:E22,A23)</f>
        <v/>
      </c>
    </row>
    <row r="24">
      <c r="A24" s="2" t="inlineStr">
        <is>
          <t>原材料</t>
        </is>
      </c>
      <c r="B24" s="14">
        <f>COUNTIF('總表'!E2:E22,A24)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4" customWidth="1" min="4" max="4"/>
    <col width="90" customWidth="1" min="5" max="5"/>
    <col width="40" customWidth="1" min="6" max="6"/>
  </cols>
  <sheetData>
    <row r="1">
      <c r="A1" s="1" t="inlineStr">
        <is>
          <t>升浪原因（今次快速核查，或者沿用舊版研究）</t>
        </is>
      </c>
    </row>
    <row r="3" ht="42" customHeight="1">
      <c r="A3" s="4" t="inlineStr">
        <is>
          <t>總表排名</t>
        </is>
      </c>
      <c r="B3" s="4" t="inlineStr">
        <is>
          <t>代號</t>
        </is>
      </c>
      <c r="C3" s="4" t="inlineStr">
        <is>
          <t>公司</t>
        </is>
      </c>
      <c r="D3" s="4" t="inlineStr">
        <is>
          <t>來源</t>
        </is>
      </c>
      <c r="E3" s="4" t="inlineStr">
        <is>
          <t>內容</t>
        </is>
      </c>
      <c r="F3" s="4" t="inlineStr">
        <is>
          <t>連結</t>
        </is>
      </c>
    </row>
    <row r="4" ht="30" customHeight="1">
      <c r="A4" s="14">
        <f>'總表'!A2</f>
        <v/>
      </c>
      <c r="B4" s="21" t="inlineStr">
        <is>
          <t>IRD</t>
        </is>
      </c>
      <c r="C4" s="2" t="inlineStr">
        <is>
          <t>Opus Genetics Inc.</t>
        </is>
      </c>
      <c r="D4" s="2" t="inlineStr">
        <is>
          <t>R22.00 快速核查</t>
        </is>
      </c>
      <c r="E4" s="3" t="inlineStr">
        <is>
          <t>OPGx-BEST1 第一組三個月數據（09 月第二個星期）後券商加目標價至 $13–$20；**10 月 1–4 日 EURETINA 大會公佈詳細數據 —— 二元事件就喺今個星期**。</t>
        </is>
      </c>
      <c r="F4" s="28" t="inlineStr">
        <is>
          <t>https://www.stocktitan.net/news/IRD/opus-genetics-provides-best1-program-update-with-detailed-timeline-c1zyafhv8w60.html</t>
        </is>
      </c>
    </row>
    <row r="5" ht="30" customHeight="1">
      <c r="A5" s="14">
        <f>'總表'!A3</f>
        <v/>
      </c>
      <c r="B5" s="21" t="inlineStr">
        <is>
          <t>TTRX</t>
        </is>
      </c>
      <c r="C5" s="2" t="inlineStr">
        <is>
          <t>Turn Therapeutics Inc.</t>
        </is>
      </c>
      <c r="D5" s="2" t="inlineStr">
        <is>
          <t>R22.00 快速核查</t>
        </is>
      </c>
      <c r="E5" s="3" t="inlineStr">
        <is>
          <t>臨床期生物科技（PermaFusion 外用免疫調節劑）；GX-03 二期中期數據支持後擴大試驗；股價由 3 月 $3.22 升到 9 月下旬約 $14.8；下次業績 11-12。</t>
        </is>
      </c>
      <c r="F5" s="28" t="inlineStr">
        <is>
          <t>https://www.investing.com/equities/turn-therapeutics</t>
        </is>
      </c>
    </row>
    <row r="6" ht="30" customHeight="1">
      <c r="A6" s="14">
        <f>'總表'!A4</f>
        <v/>
      </c>
      <c r="B6" s="21" t="inlineStr">
        <is>
          <t>DELL</t>
        </is>
      </c>
      <c r="C6" s="2" t="inlineStr">
        <is>
          <t>Dell Technologies Inc. Class C</t>
        </is>
      </c>
      <c r="D6" s="2" t="inlineStr">
        <is>
          <t>R22.00 快速核查</t>
        </is>
      </c>
      <c r="E6" s="3" t="inlineStr">
        <is>
          <t>FY27 Q2 收入 $470 億（+58%）、AI 伺服器訂單創紀錄 $609 億、積壓訂單 $950 億，全年收入指引上調 $250 億至 $1,920 億；今年升超過 350%，高位 $595.51；多間券商目標 $600–650。</t>
        </is>
      </c>
      <c r="F6" s="28" t="inlineStr">
        <is>
          <t>https://www.fool.com/coverage/stock-market-today/2026/09/02/stock-market-today-sept-2-dell-surges-16-on-soaring-ai-backlog/</t>
        </is>
      </c>
    </row>
    <row r="7" ht="30" customHeight="1">
      <c r="A7" s="14">
        <f>'總表'!A5</f>
        <v/>
      </c>
      <c r="B7" s="21" t="inlineStr">
        <is>
          <t>PLSE</t>
        </is>
      </c>
      <c r="C7" s="2" t="inlineStr">
        <is>
          <t>Pulse Biosciences Inc</t>
        </is>
      </c>
      <c r="D7" s="2" t="inlineStr">
        <is>
          <t>沿用舊版研究（未重新核實）</t>
        </is>
      </c>
      <c r="E7" s="3" t="inlineStr">
        <is>
          <t>7/29 NANOPULSE-AF入組過半 → 事件日−3.4%；7月29日NANOPULSE-AF入組過半、提前3個月完成，升6.4%；Canaccord升目標價至$43，創5年新高</t>
        </is>
      </c>
      <c r="F7" s="28" t="inlineStr">
        <is>
          <t>https://simplywall.st/stocks/us/healthcare/nasdaq-plse/pulse-biosciences/news/why-pulse-biosciences-plse-is-up-64-after-nanopulse-af-trial</t>
        </is>
      </c>
    </row>
    <row r="8" ht="30" customHeight="1">
      <c r="A8" s="14">
        <f>'總表'!A6</f>
        <v/>
      </c>
      <c r="B8" s="21" t="inlineStr">
        <is>
          <t>TITN</t>
        </is>
      </c>
      <c r="C8" s="2" t="inlineStr">
        <is>
          <t>Titan Machinery Inc.</t>
        </is>
      </c>
      <c r="D8" s="2" t="inlineStr">
        <is>
          <t>R22.00 快速核查</t>
        </is>
      </c>
      <c r="E8" s="3" t="inlineStr">
        <is>
          <t>FY27 Q2 收入 $4.96 億（−9.2%）、虧損擴大至每股 $0.40；升浪主要來自 08-31 Baird 升至跑贏大市 —— 基本面仲係轉差緊。</t>
        </is>
      </c>
      <c r="F8" s="28" t="inlineStr">
        <is>
          <t>https://www.ad-hoc-news.de/boerse/news/nebenwerte/titan-machinery-stock-falls-3-06-percent-as-losses-deepen/70183602</t>
        </is>
      </c>
    </row>
    <row r="9" ht="30" customHeight="1">
      <c r="A9" s="14">
        <f>'總表'!A7</f>
        <v/>
      </c>
      <c r="B9" s="21" t="inlineStr">
        <is>
          <t>ESTC</t>
        </is>
      </c>
      <c r="C9" s="2" t="inlineStr">
        <is>
          <t>Elastic N.V.</t>
        </is>
      </c>
      <c r="D9" s="2" t="inlineStr">
        <is>
          <t>沿用舊版研究（未重新核實）</t>
        </is>
      </c>
      <c r="E9" s="3" t="inlineStr">
        <is>
          <t>8/28 Q2收入升15.1%、EPS $0.70超預期 → 單日飆19.3%；8月28日Q2收入升15.1%、EPS 0.70美元超預期，上調全年收入至20億美元，單日飆23%。</t>
        </is>
      </c>
      <c r="F9" s="28" t="inlineStr">
        <is>
          <t>https://markets.financialcontent.com/stocks/article/stockstory-2026-7-21-why-elastic-estc-shares-are-trading-lower-today</t>
        </is>
      </c>
    </row>
    <row r="10" ht="30" customHeight="1">
      <c r="A10" s="14">
        <f>'總表'!A8</f>
        <v/>
      </c>
      <c r="B10" s="21" t="inlineStr">
        <is>
          <t>FIVN</t>
        </is>
      </c>
      <c r="C10" s="2" t="inlineStr">
        <is>
          <t>Five9 Inc.</t>
        </is>
      </c>
      <c r="D10" s="2" t="inlineStr">
        <is>
          <t>R22.00 快速核查</t>
        </is>
      </c>
      <c r="E10" s="3" t="inlineStr">
        <is>
          <t>Q2 收入 $3.124 億（+10%）、AI 收入 +78%（年化 $1.5 億以上），上調全年收入指引至 $12.66 億；Truist 目標 $35→$40、RBC $25→$35；09-25 創 52 周新高 $39.55。</t>
        </is>
      </c>
      <c r="F10" s="28" t="inlineStr">
        <is>
          <t>https://www.gurufocus.com/news/9092651/a-look-at-five9-inc-fivn-after-44-gain-gf-value-3205-vs-price-3865</t>
        </is>
      </c>
    </row>
    <row r="11" ht="30" customHeight="1">
      <c r="A11" s="14">
        <f>'總表'!A9</f>
        <v/>
      </c>
      <c r="B11" s="21" t="inlineStr">
        <is>
          <t>DHX</t>
        </is>
      </c>
      <c r="C11" s="2" t="inlineStr">
        <is>
          <t>DHI Group Inc.</t>
        </is>
      </c>
      <c r="D11" s="2" t="inlineStr">
        <is>
          <t>R22.00 快速核查</t>
        </is>
      </c>
      <c r="E11" s="3" t="inlineStr">
        <is>
          <t>冇搵到近期個股催化劑；六個月升約 72%。（來源為報價聚合網站）</t>
        </is>
      </c>
      <c r="F11" s="28" t="inlineStr">
        <is>
          <t>https://upstox.com/us-stocks/dhx-share-price/</t>
        </is>
      </c>
    </row>
    <row r="12" ht="30" customHeight="1">
      <c r="A12" s="14">
        <f>'總表'!A10</f>
        <v/>
      </c>
      <c r="B12" s="21" t="inlineStr">
        <is>
          <t>VLO</t>
        </is>
      </c>
      <c r="C12" s="2" t="inlineStr">
        <is>
          <t>Valero Energy Corporation</t>
        </is>
      </c>
      <c r="D12" s="2" t="inlineStr">
        <is>
          <t>R22.00 快速核查</t>
        </is>
      </c>
      <c r="E12" s="3" t="inlineStr">
        <is>
          <t>煉油股；09-22 Jefferies 降至持有（目標 $401）；今年升幅超過 80%。</t>
        </is>
      </c>
      <c r="F12" s="28" t="inlineStr">
        <is>
          <t>https://seekingalpha.com/news/4645636-valero-marathon-cut-at-jefferies-supporting-less-refining-exposure-after-big-gains</t>
        </is>
      </c>
    </row>
    <row r="13" ht="30" customHeight="1">
      <c r="A13" s="14">
        <f>'總表'!A11</f>
        <v/>
      </c>
      <c r="B13" s="21" t="inlineStr">
        <is>
          <t>PURR</t>
        </is>
      </c>
      <c r="C13" s="2" t="inlineStr">
        <is>
          <t>Hyperliquid Strategies Inc</t>
        </is>
      </c>
      <c r="D13" s="2" t="inlineStr">
        <is>
          <t>R22.00 快速核查</t>
        </is>
      </c>
      <c r="E13" s="3" t="inlineStr">
        <is>
          <t>持有 HYPE 代幣嘅加密貨幣庫存公司：財年純利 $3.06 億大部分係代幣未實現收益；Cantor 目標 $22.6→$34.2；09-25 因監管負面消息回落。股價基本上係 HYPE 代幣嘅槓桿。</t>
        </is>
      </c>
      <c r="F13" s="28" t="inlineStr">
        <is>
          <t>https://www.gurufocus.com/news/9096248/hyperliquid-strategies-inc-purr-shows-mixed-signals-amid-rising-options-optimism</t>
        </is>
      </c>
    </row>
    <row r="14" ht="30" customHeight="1">
      <c r="A14" s="14">
        <f>'總表'!A12</f>
        <v/>
      </c>
      <c r="B14" s="21" t="inlineStr">
        <is>
          <t>SNOW</t>
        </is>
      </c>
      <c r="C14" s="2" t="inlineStr">
        <is>
          <t>Snowflake Inc.</t>
        </is>
      </c>
      <c r="D14" s="2" t="inlineStr">
        <is>
          <t>沿用舊版研究（未重新核實）</t>
        </is>
      </c>
      <c r="E14" s="3" t="inlineStr">
        <is>
          <t>9/2 Q2收入升35%+上調指引→翌日升17.4%；9/2 Q2產品收入$14.9億升37%（加速）、EPS $0.62勝預期，全年產品收入指引上調至$60.7億；翌日(9/3)單日升17.4%。</t>
        </is>
      </c>
      <c r="F14" s="28" t="inlineStr">
        <is>
          <t>https://www.cnbc.com/2026/09/02/snowflake-snow-q2-earnings-report-2027.html</t>
        </is>
      </c>
    </row>
    <row r="15" ht="30" customHeight="1">
      <c r="A15" s="14">
        <f>'總表'!A13</f>
        <v/>
      </c>
      <c r="B15" s="21" t="inlineStr">
        <is>
          <t>MPC</t>
        </is>
      </c>
      <c r="C15" s="2" t="inlineStr">
        <is>
          <t>Marathon Petroleum Corporation</t>
        </is>
      </c>
      <c r="D15" s="2" t="inlineStr">
        <is>
          <t>R22.00 快速核查</t>
        </is>
      </c>
      <c r="E15" s="3" t="inlineStr">
        <is>
          <t>煉油股；09-22 Jefferies 降至持有（目標 $413）；今年升幅超過 80%。</t>
        </is>
      </c>
      <c r="F15" s="28" t="inlineStr">
        <is>
          <t>https://seekingalpha.com/news/4645636-valero-marathon-cut-at-jefferies-supporting-less-refining-exposure-after-big-gains</t>
        </is>
      </c>
    </row>
    <row r="16" ht="30" customHeight="1">
      <c r="A16" s="14">
        <f>'總表'!A14</f>
        <v/>
      </c>
      <c r="B16" s="21" t="inlineStr">
        <is>
          <t>KGEI</t>
        </is>
      </c>
      <c r="C16" s="2" t="inlineStr">
        <is>
          <t>Kolibri Global Energy Inc. Common stock</t>
        </is>
      </c>
      <c r="D16" s="2" t="inlineStr">
        <is>
          <t>R22.00 快速核查</t>
        </is>
      </c>
      <c r="E16" s="3" t="inlineStr">
        <is>
          <t>小型油氣生產商：Q2 收入 +109%、產量 +46%；油價上升帶動；09-19 內部人士減持約 3.4 萬股。</t>
        </is>
      </c>
      <c r="F16" s="28" t="inlineStr">
        <is>
          <t>https://www.investorideas.com/news/2026/energy/09151-kolibri-global-energy-kei-kgei-oil-prices-rise.asp</t>
        </is>
      </c>
    </row>
    <row r="17" ht="30" customHeight="1">
      <c r="A17" s="14">
        <f>'總表'!A15</f>
        <v/>
      </c>
      <c r="B17" s="21" t="inlineStr">
        <is>
          <t>IBTA</t>
        </is>
      </c>
      <c r="C17" s="2" t="inlineStr">
        <is>
          <t>Ibotta Inc. Class A</t>
        </is>
      </c>
      <c r="D17" s="2" t="inlineStr">
        <is>
          <t>R22.00 快速核查</t>
        </is>
      </c>
      <c r="E17" s="3" t="inlineStr">
        <is>
          <t>今年升約 81%，Q2 收入重拾增長（+3% 至 $8,890 萬）；CEO 09-21／22 減持約 $63 萬、CTO 09-10 減持約 $66 萬。</t>
        </is>
      </c>
      <c r="F17" s="28" t="inlineStr">
        <is>
          <t>https://za.investing.com/news/stock-market-news/ibotta-ceo-bryan-leach-sells-625981-in-company-shares-93CH-4479296</t>
        </is>
      </c>
    </row>
    <row r="18" ht="30" customHeight="1">
      <c r="A18" s="14">
        <f>'總表'!A16</f>
        <v/>
      </c>
      <c r="B18" s="21" t="inlineStr">
        <is>
          <t>ELMT</t>
        </is>
      </c>
      <c r="C18" s="2" t="inlineStr">
        <is>
          <t>The Elmet Group Co.</t>
        </is>
      </c>
      <c r="D18" s="2" t="inlineStr">
        <is>
          <t>R22.00 快速核查</t>
        </is>
      </c>
      <c r="E18" s="3" t="inlineStr">
        <is>
          <t>精密鎢／鉬零件；09-14 創上市新高 $25.03；Needham 09-15 目標 $21→$25；09-23 宣布以 $1.25 億入股越南 Masan High-Tech Materials 4.99%（鎢供應鏈）。</t>
        </is>
      </c>
      <c r="F18" s="28" t="inlineStr">
        <is>
          <t>https://www.globenewswire.com/news-release/2026/09/24/3367921/0/en/the-elmet-group-to-invest-approximately-125-million-in-masan-high-tech-materials-to-strengthen-tungsten-supply-chain.html</t>
        </is>
      </c>
    </row>
    <row r="19" ht="30" customHeight="1">
      <c r="A19" s="14">
        <f>'總表'!A17</f>
        <v/>
      </c>
      <c r="B19" s="21" t="inlineStr">
        <is>
          <t>LPG</t>
        </is>
      </c>
      <c r="C19" s="2" t="inlineStr">
        <is>
          <t>Dorian LPG Ltd.</t>
        </is>
      </c>
      <c r="D19" s="2" t="inlineStr">
        <is>
          <t>R22.00 快速核查</t>
        </is>
      </c>
      <c r="E19" s="3" t="inlineStr">
        <is>
          <t>超大型液化氣船運費高企：截至 09-30 季度 99% 營運日鎖定每日 $88,000 以上；訂三艘新船共 $3.45 億。</t>
        </is>
      </c>
      <c r="F19" s="28" t="inlineStr">
        <is>
          <t>https://www.stocktitan.net/news/LPG/dorian-lpg-ltd-announces-vlgc-newbuilding-contracts-forward-9zhz9yb9avle.html</t>
        </is>
      </c>
    </row>
    <row r="20" ht="30" customHeight="1">
      <c r="A20" s="14">
        <f>'總表'!A18</f>
        <v/>
      </c>
      <c r="B20" s="21" t="inlineStr">
        <is>
          <t>DC</t>
        </is>
      </c>
      <c r="C20" s="2" t="inlineStr">
        <is>
          <t>Dakota Gold Corp.</t>
        </is>
      </c>
      <c r="D20" s="2" t="inlineStr">
        <is>
          <t>R22.00 快速核查</t>
        </is>
      </c>
      <c r="E20" s="3" t="inlineStr">
        <is>
          <t>南達科他州金礦勘探公司（未有生產），跟金價走；分析員目標 $10–16。</t>
        </is>
      </c>
      <c r="F20" s="28" t="inlineStr">
        <is>
          <t>https://www.investing.com/equities/dakota-gold</t>
        </is>
      </c>
    </row>
    <row r="21" ht="30" customHeight="1">
      <c r="A21" s="14">
        <f>'總表'!A19</f>
        <v/>
      </c>
      <c r="B21" s="21" t="inlineStr">
        <is>
          <t>BBY</t>
        </is>
      </c>
      <c r="C21" s="2" t="inlineStr">
        <is>
          <t>Best Buy Co. Inc.</t>
        </is>
      </c>
      <c r="D21" s="2" t="inlineStr">
        <is>
          <t>R22.00 快速核查</t>
        </is>
      </c>
      <c r="E21" s="3" t="inlineStr">
        <is>
          <t>Q2 同店銷售 +4.1%、EPS +15%，上調 FY27 指引；30 日升約 37.5%；分析員平均「持有」、目標 $86.7 低過現價；人事總監減持約 $1,070 萬。</t>
        </is>
      </c>
      <c r="F21" s="28" t="inlineStr">
        <is>
          <t>https://simplywall.st/stocks/us/retail/nyse-bby/best-buy/future</t>
        </is>
      </c>
    </row>
    <row r="22" ht="30" customHeight="1">
      <c r="A22" s="14">
        <f>'總表'!A20</f>
        <v/>
      </c>
      <c r="B22" s="21" t="inlineStr">
        <is>
          <t>TH</t>
        </is>
      </c>
      <c r="C22" s="2" t="inlineStr">
        <is>
          <t>Target Hospitality Corp.</t>
        </is>
      </c>
      <c r="D22" s="2" t="inlineStr">
        <is>
          <t>R22.00 快速核查</t>
        </is>
      </c>
      <c r="E22" s="3" t="inlineStr">
        <is>
          <t>今年升約 159%；09-08 大股東 TDR Capital 以 $18.50 配售 1,400 萬股（公司同時回購 $3,000 萬），CEO 09-15 以 $18.69 增持；Morgan Stanley 目標 $25、Oppenheimer $27。配售價 $18.50 係而家下面嘅參考位。</t>
        </is>
      </c>
      <c r="F22" s="28" t="inlineStr">
        <is>
          <t>https://www.stocktitan.net/news/TH/target-hospitality-announces-pricing-of-upsized-secondary-offering-hovo0l2urqqi.html</t>
        </is>
      </c>
    </row>
    <row r="23" ht="30" customHeight="1">
      <c r="A23" s="14">
        <f>'總表'!A21</f>
        <v/>
      </c>
      <c r="B23" s="21" t="inlineStr">
        <is>
          <t>DINO</t>
        </is>
      </c>
      <c r="C23" s="2" t="inlineStr">
        <is>
          <t>HF Sinclair Corporation</t>
        </is>
      </c>
      <c r="D23" s="2" t="inlineStr">
        <is>
          <t>R22.00 快速核查</t>
        </is>
      </c>
      <c r="E23" s="3" t="inlineStr">
        <is>
          <t>煉油股（HF Sinclair）；柴油零售價破 $6.50，煉油毛利大升；09-22 行業被降級同柴油出口禁令消息拖累。</t>
        </is>
      </c>
      <c r="F23" s="28" t="inlineStr">
        <is>
          <t>https://www.benzinga.com/markets/commodities/26/09/61881898/diesel-squeeze-oil-refiners-stocks-four-top-performing-six-weeks-of-gains</t>
        </is>
      </c>
    </row>
    <row r="24" ht="30" customHeight="1">
      <c r="A24" s="14">
        <f>'總表'!A22</f>
        <v/>
      </c>
      <c r="B24" s="21" t="inlineStr">
        <is>
          <t>PSX</t>
        </is>
      </c>
      <c r="C24" s="2" t="inlineStr">
        <is>
          <t>Phillips 66</t>
        </is>
      </c>
      <c r="D24" s="2" t="inlineStr">
        <is>
          <t>R22.00 快速核查</t>
        </is>
      </c>
      <c r="E24" s="3" t="inlineStr">
        <is>
          <t>煉油股；柴油價格帶動季度每股盈利按年接近四倍；09-22 同組受柴油出口禁令提案拖累。</t>
        </is>
      </c>
      <c r="F24" s="28" t="inlineStr">
        <is>
          <t>https://www.benzinga.com/markets/commodities/26/09/61881898/diesel-squeeze-oil-refiners-stocks-four-top-performing-six-weeks-of-gains</t>
        </is>
      </c>
    </row>
    <row r="26">
      <c r="A26" s="23" t="inlineStr">
        <is>
          <t>市況來源</t>
        </is>
      </c>
    </row>
    <row r="27">
      <c r="E27" s="28" t="inlineStr">
        <is>
          <t>https://wtop.com/national/2026/09/how-major-us-stock-indexes-fared-thursday-9-24-2026</t>
        </is>
      </c>
    </row>
    <row r="28">
      <c r="E28" s="28" t="inlineStr">
        <is>
          <t>https://wtop.com/national/2026/09/how-major-us-stock-indexes-fared-friday-9-25-2026</t>
        </is>
      </c>
    </row>
    <row r="29">
      <c r="E29" s="28" t="inlineStr">
        <is>
          <t>https://krmg.com/2026/09/28/how-major-us-stock-indexes-fared-monday-9-28-2026/</t>
        </is>
      </c>
    </row>
    <row r="30">
      <c r="E30" s="28" t="inlineStr">
        <is>
          <t>https://www.thestreet.com/stock-market-today/stock-market-today-dow-jones-sp-500-nasdaq-updates-sept-28-2026</t>
        </is>
      </c>
    </row>
    <row r="31">
      <c r="E31" s="28" t="inlineStr">
        <is>
          <t>https://finance.yahoo.com/energy/articles/oil-rebounds-trump-rejects-iran-221457073.html</t>
        </is>
      </c>
    </row>
    <row r="32">
      <c r="E32" s="28" t="inlineStr">
        <is>
          <t>https://seekingalpha.com/news/4645636-valero-marathon-cut-at-jefferies-supporting-less-refining-exposure-after-big-gains</t>
        </is>
      </c>
    </row>
    <row r="33">
      <c r="E33" s="28" t="inlineStr">
        <is>
          <t>https://www.bloomberg.com/news/articles/2026-09-22/refining-stocks-rally-stalls-as-talk-of-diesel-export-ban-swirls</t>
        </is>
      </c>
    </row>
  </sheetData>
  <autoFilter ref="A3:F3"/>
  <hyperlinks>
    <hyperlink xmlns:r="http://schemas.openxmlformats.org/officeDocument/2006/relationships" ref="B4" r:id="rId1"/>
    <hyperlink xmlns:r="http://schemas.openxmlformats.org/officeDocument/2006/relationships" ref="F4" r:id="rId2"/>
    <hyperlink xmlns:r="http://schemas.openxmlformats.org/officeDocument/2006/relationships" ref="B5" r:id="rId3"/>
    <hyperlink xmlns:r="http://schemas.openxmlformats.org/officeDocument/2006/relationships" ref="F5" r:id="rId4"/>
    <hyperlink xmlns:r="http://schemas.openxmlformats.org/officeDocument/2006/relationships" ref="B6" r:id="rId5"/>
    <hyperlink xmlns:r="http://schemas.openxmlformats.org/officeDocument/2006/relationships" ref="F6" r:id="rId6"/>
    <hyperlink xmlns:r="http://schemas.openxmlformats.org/officeDocument/2006/relationships" ref="B7" r:id="rId7"/>
    <hyperlink xmlns:r="http://schemas.openxmlformats.org/officeDocument/2006/relationships" ref="F7" r:id="rId8"/>
    <hyperlink xmlns:r="http://schemas.openxmlformats.org/officeDocument/2006/relationships" ref="B8" r:id="rId9"/>
    <hyperlink xmlns:r="http://schemas.openxmlformats.org/officeDocument/2006/relationships" ref="F8" r:id="rId10"/>
    <hyperlink xmlns:r="http://schemas.openxmlformats.org/officeDocument/2006/relationships" ref="B9" r:id="rId11"/>
    <hyperlink xmlns:r="http://schemas.openxmlformats.org/officeDocument/2006/relationships" ref="F9" r:id="rId12"/>
    <hyperlink xmlns:r="http://schemas.openxmlformats.org/officeDocument/2006/relationships" ref="B10" r:id="rId13"/>
    <hyperlink xmlns:r="http://schemas.openxmlformats.org/officeDocument/2006/relationships" ref="F10" r:id="rId14"/>
    <hyperlink xmlns:r="http://schemas.openxmlformats.org/officeDocument/2006/relationships" ref="B11" r:id="rId15"/>
    <hyperlink xmlns:r="http://schemas.openxmlformats.org/officeDocument/2006/relationships" ref="F11" r:id="rId16"/>
    <hyperlink xmlns:r="http://schemas.openxmlformats.org/officeDocument/2006/relationships" ref="B12" r:id="rId17"/>
    <hyperlink xmlns:r="http://schemas.openxmlformats.org/officeDocument/2006/relationships" ref="F12" r:id="rId18"/>
    <hyperlink xmlns:r="http://schemas.openxmlformats.org/officeDocument/2006/relationships" ref="B13" r:id="rId19"/>
    <hyperlink xmlns:r="http://schemas.openxmlformats.org/officeDocument/2006/relationships" ref="F13" r:id="rId20"/>
    <hyperlink xmlns:r="http://schemas.openxmlformats.org/officeDocument/2006/relationships" ref="B14" r:id="rId21"/>
    <hyperlink xmlns:r="http://schemas.openxmlformats.org/officeDocument/2006/relationships" ref="F14" r:id="rId22"/>
    <hyperlink xmlns:r="http://schemas.openxmlformats.org/officeDocument/2006/relationships" ref="B15" r:id="rId23"/>
    <hyperlink xmlns:r="http://schemas.openxmlformats.org/officeDocument/2006/relationships" ref="F15" r:id="rId24"/>
    <hyperlink xmlns:r="http://schemas.openxmlformats.org/officeDocument/2006/relationships" ref="B16" r:id="rId25"/>
    <hyperlink xmlns:r="http://schemas.openxmlformats.org/officeDocument/2006/relationships" ref="F16" r:id="rId26"/>
    <hyperlink xmlns:r="http://schemas.openxmlformats.org/officeDocument/2006/relationships" ref="B17" r:id="rId27"/>
    <hyperlink xmlns:r="http://schemas.openxmlformats.org/officeDocument/2006/relationships" ref="F17" r:id="rId28"/>
    <hyperlink xmlns:r="http://schemas.openxmlformats.org/officeDocument/2006/relationships" ref="B18" r:id="rId29"/>
    <hyperlink xmlns:r="http://schemas.openxmlformats.org/officeDocument/2006/relationships" ref="F18" r:id="rId30"/>
    <hyperlink xmlns:r="http://schemas.openxmlformats.org/officeDocument/2006/relationships" ref="B19" r:id="rId31"/>
    <hyperlink xmlns:r="http://schemas.openxmlformats.org/officeDocument/2006/relationships" ref="F19" r:id="rId32"/>
    <hyperlink xmlns:r="http://schemas.openxmlformats.org/officeDocument/2006/relationships" ref="B20" r:id="rId33"/>
    <hyperlink xmlns:r="http://schemas.openxmlformats.org/officeDocument/2006/relationships" ref="F20" r:id="rId34"/>
    <hyperlink xmlns:r="http://schemas.openxmlformats.org/officeDocument/2006/relationships" ref="B21" r:id="rId35"/>
    <hyperlink xmlns:r="http://schemas.openxmlformats.org/officeDocument/2006/relationships" ref="F21" r:id="rId36"/>
    <hyperlink xmlns:r="http://schemas.openxmlformats.org/officeDocument/2006/relationships" ref="B22" r:id="rId37"/>
    <hyperlink xmlns:r="http://schemas.openxmlformats.org/officeDocument/2006/relationships" ref="F22" r:id="rId38"/>
    <hyperlink xmlns:r="http://schemas.openxmlformats.org/officeDocument/2006/relationships" ref="B23" r:id="rId39"/>
    <hyperlink xmlns:r="http://schemas.openxmlformats.org/officeDocument/2006/relationships" ref="F23" r:id="rId40"/>
    <hyperlink xmlns:r="http://schemas.openxmlformats.org/officeDocument/2006/relationships" ref="B24" r:id="rId41"/>
    <hyperlink xmlns:r="http://schemas.openxmlformats.org/officeDocument/2006/relationships" ref="F24" r:id="rId42"/>
    <hyperlink xmlns:r="http://schemas.openxmlformats.org/officeDocument/2006/relationships" ref="E27" r:id="rId43"/>
    <hyperlink xmlns:r="http://schemas.openxmlformats.org/officeDocument/2006/relationships" ref="E28" r:id="rId44"/>
    <hyperlink xmlns:r="http://schemas.openxmlformats.org/officeDocument/2006/relationships" ref="E29" r:id="rId45"/>
    <hyperlink xmlns:r="http://schemas.openxmlformats.org/officeDocument/2006/relationships" ref="E30" r:id="rId46"/>
    <hyperlink xmlns:r="http://schemas.openxmlformats.org/officeDocument/2006/relationships" ref="E31" r:id="rId47"/>
    <hyperlink xmlns:r="http://schemas.openxmlformats.org/officeDocument/2006/relationships" ref="E32" r:id="rId48"/>
    <hyperlink xmlns:r="http://schemas.openxmlformats.org/officeDocument/2006/relationships" ref="E33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2026-09-29T01:50:09Z</dcterms:created>
  <dcterms:modified xmlns:dcterms="http://purl.org/dc/terms/" xmlns:xsi="http://www.w3.org/2001/XMLSchema-instance" xsi:type="dcterms:W3CDTF">2026-09-29T01:50:10Z</dcterms:modified>
</cp:coreProperties>
</file>