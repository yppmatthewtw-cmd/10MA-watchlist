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觀察名單" sheetId="2" state="visible" r:id="rId2"/>
    <sheet xmlns:r="http://schemas.openxmlformats.org/officeDocument/2006/relationships" name="圖表連結" sheetId="3" state="visible" r:id="rId3"/>
    <sheet xmlns:r="http://schemas.openxmlformats.org/officeDocument/2006/relationships" name="一次性項目總表" sheetId="4" state="visible" r:id="rId4"/>
    <sheet xmlns:r="http://schemas.openxmlformats.org/officeDocument/2006/relationships" name="經常性轉正排隊" sheetId="5" state="visible" r:id="rId5"/>
    <sheet xmlns:r="http://schemas.openxmlformats.org/officeDocument/2006/relationships" name="分級彙總" sheetId="6" state="visible" r:id="rId6"/>
  </sheets>
  <definedNames>
    <definedName name="_xlnm._FilterDatabase" localSheetId="1" hidden="1">'觀察名單'!$A$1:$V$159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6">
    <font>
      <name val="Calibri"/>
      <family val="2"/>
      <color theme="1"/>
      <sz val="11"/>
      <scheme val="minor"/>
    </font>
    <font>
      <name val="Microsoft JhengHei"/>
      <b val="1"/>
      <sz val="13"/>
    </font>
    <font>
      <name val="Microsoft JhengHei"/>
      <sz val="10"/>
    </font>
    <font>
      <name val="Microsoft JhengHei"/>
      <b val="1"/>
      <sz val="11"/>
    </font>
    <font>
      <name val="Noto Sans CJK SC"/>
      <b val="1"/>
      <color rgb="00FFFFFF"/>
      <sz val="9.5"/>
    </font>
    <font>
      <name val="Microsoft JhengHei"/>
      <sz val="9"/>
    </font>
    <font>
      <name val="Microsoft JhengHei"/>
      <b val="1"/>
      <color rgb="000563C1"/>
      <sz val="9"/>
    </font>
    <font>
      <name val="Microsoft JhengHei"/>
      <b val="1"/>
      <sz val="8"/>
    </font>
    <font>
      <name val="Microsoft JhengHei"/>
      <sz val="7.5"/>
    </font>
    <font>
      <name val="Microsoft JhengHei"/>
      <b val="1"/>
      <color rgb="00000000"/>
      <sz val="9.5"/>
    </font>
    <font>
      <name val="Noto Sans CJK SC"/>
      <sz val="7.5"/>
    </font>
    <font>
      <name val="Noto Sans CJK SC"/>
      <b val="1"/>
      <sz val="7.5"/>
    </font>
    <font>
      <name val="Microsoft JhengHei"/>
      <sz val="8.5"/>
    </font>
    <font>
      <name val="Microsoft JhengHei"/>
      <b val="1"/>
      <sz val="9"/>
    </font>
    <font>
      <name val="Microsoft JhengHei"/>
      <b val="1"/>
      <sz val="10"/>
    </font>
    <font>
      <name val="Microsoft JhengHei"/>
      <b val="1"/>
      <sz val="8.5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EAF1F8"/>
      </patternFill>
    </fill>
    <fill>
      <patternFill patternType="solid">
        <fgColor rgb="00FCEAEA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13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top" wrapText="1"/>
    </xf>
    <xf numFmtId="0" fontId="13" fillId="11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center" vertical="top" wrapText="1"/>
    </xf>
    <xf numFmtId="0" fontId="13" fillId="13" borderId="1" applyAlignment="1" pivotButton="0" quotePrefix="0" xfId="0">
      <alignment horizontal="center" vertical="top" wrapText="1"/>
    </xf>
    <xf numFmtId="0" fontId="13" fillId="12" borderId="1" applyAlignment="1" pivotButton="0" quotePrefix="0" xfId="0">
      <alignment horizontal="center" vertical="top" wrapText="1"/>
    </xf>
    <xf numFmtId="0" fontId="13" fillId="14" borderId="1" applyAlignment="1" pivotButton="0" quotePrefix="0" xfId="0">
      <alignment horizontal="center" vertical="top" wrapText="1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nyse%3Aitgr" TargetMode="External" Id="rId1"/><Relationship Type="http://schemas.openxmlformats.org/officeDocument/2006/relationships/hyperlink" Target="https://www.tradingview.com/chart/Q1c5VWwD/?symbol=nasdaq%3Admlp" TargetMode="External" Id="rId2"/><Relationship Type="http://schemas.openxmlformats.org/officeDocument/2006/relationships/hyperlink" Target="https://www.tradingview.com/chart/Q1c5VWwD/?symbol=nyse%3Aman" TargetMode="External" Id="rId3"/><Relationship Type="http://schemas.openxmlformats.org/officeDocument/2006/relationships/hyperlink" Target="https://www.tradingview.com/chart/Q1c5VWwD/?symbol=nasdaq%3Asmti" TargetMode="External" Id="rId4"/><Relationship Type="http://schemas.openxmlformats.org/officeDocument/2006/relationships/hyperlink" Target="https://www.tradingview.com/chart/Q1c5VWwD/?symbol=nyse%3Ainsp" TargetMode="External" Id="rId5"/><Relationship Type="http://schemas.openxmlformats.org/officeDocument/2006/relationships/hyperlink" Target="https://www.tradingview.com/chart/Q1c5VWwD/?symbol=nyse%3Aexpd" TargetMode="External" Id="rId6"/><Relationship Type="http://schemas.openxmlformats.org/officeDocument/2006/relationships/hyperlink" Target="https://www.tradingview.com/chart/Q1c5VWwD/?symbol=nasdaq%3Aarcc" TargetMode="External" Id="rId7"/><Relationship Type="http://schemas.openxmlformats.org/officeDocument/2006/relationships/hyperlink" Target="https://www.tradingview.com/chart/Q1c5VWwD/?symbol=nyse%3Avz" TargetMode="External" Id="rId8"/><Relationship Type="http://schemas.openxmlformats.org/officeDocument/2006/relationships/hyperlink" Target="https://www.tradingview.com/chart/Q1c5VWwD/?symbol=nyse%3Arrc" TargetMode="External" Id="rId9"/><Relationship Type="http://schemas.openxmlformats.org/officeDocument/2006/relationships/hyperlink" Target="https://www.tradingview.com/chart/Q1c5VWwD/?symbol=nasdaq%3Arcel" TargetMode="External" Id="rId10"/><Relationship Type="http://schemas.openxmlformats.org/officeDocument/2006/relationships/hyperlink" Target="https://www.tradingview.com/chart/Q1c5VWwD/?symbol=nyse%3Aogn" TargetMode="External" Id="rId11"/><Relationship Type="http://schemas.openxmlformats.org/officeDocument/2006/relationships/hyperlink" Target="https://www.tradingview.com/chart/Q1c5VWwD/?symbol=nasdaq%3Aforr" TargetMode="External" Id="rId12"/><Relationship Type="http://schemas.openxmlformats.org/officeDocument/2006/relationships/hyperlink" Target="https://www.tradingview.com/chart/Q1c5VWwD/?symbol=nyse%3Aavtr" TargetMode="External" Id="rId13"/><Relationship Type="http://schemas.openxmlformats.org/officeDocument/2006/relationships/hyperlink" Target="https://www.tradingview.com/chart/Q1c5VWwD/?symbol=nyse%3Aet" TargetMode="External" Id="rId14"/><Relationship Type="http://schemas.openxmlformats.org/officeDocument/2006/relationships/hyperlink" Target="https://www.tradingview.com/chart/Q1c5VWwD/?symbol=nasdaq%3Ahalo" TargetMode="External" Id="rId15"/><Relationship Type="http://schemas.openxmlformats.org/officeDocument/2006/relationships/hyperlink" Target="https://www.tradingview.com/chart/Q1c5VWwD/?symbol=nasdaq%3Assnc" TargetMode="External" Id="rId16"/><Relationship Type="http://schemas.openxmlformats.org/officeDocument/2006/relationships/hyperlink" Target="https://www.tradingview.com/chart/Q1c5VWwD/?symbol=nasdaq%3Aeols" TargetMode="External" Id="rId17"/><Relationship Type="http://schemas.openxmlformats.org/officeDocument/2006/relationships/hyperlink" Target="https://www.tradingview.com/chart/Q1c5VWwD/?symbol=nyse%3Apayc" TargetMode="External" Id="rId18"/><Relationship Type="http://schemas.openxmlformats.org/officeDocument/2006/relationships/hyperlink" Target="https://www.tradingview.com/chart/Q1c5VWwD/?symbol=nasdaq%3Aglibk" TargetMode="External" Id="rId19"/><Relationship Type="http://schemas.openxmlformats.org/officeDocument/2006/relationships/hyperlink" Target="https://www.tradingview.com/chart/Q1c5VWwD/?symbol=nasdaq%3Apnrg" TargetMode="External" Id="rId20"/><Relationship Type="http://schemas.openxmlformats.org/officeDocument/2006/relationships/hyperlink" Target="https://www.tradingview.com/chart/Q1c5VWwD/?symbol=nyse%3Amatx" TargetMode="External" Id="rId21"/><Relationship Type="http://schemas.openxmlformats.org/officeDocument/2006/relationships/hyperlink" Target="https://www.tradingview.com/chart/Q1c5VWwD/?symbol=nasdaq%3Actsh" TargetMode="External" Id="rId22"/><Relationship Type="http://schemas.openxmlformats.org/officeDocument/2006/relationships/hyperlink" Target="https://www.tradingview.com/chart/Q1c5VWwD/?symbol=nasdaq%3Aqmco" TargetMode="External" Id="rId23"/><Relationship Type="http://schemas.openxmlformats.org/officeDocument/2006/relationships/hyperlink" Target="https://www.tradingview.com/chart/Q1c5VWwD/?symbol=nyse%3Agic" TargetMode="External" Id="rId24"/><Relationship Type="http://schemas.openxmlformats.org/officeDocument/2006/relationships/hyperlink" Target="https://www.tradingview.com/chart/Q1c5VWwD/?symbol=nasdaq%3Albrx" TargetMode="External" Id="rId25"/><Relationship Type="http://schemas.openxmlformats.org/officeDocument/2006/relationships/hyperlink" Target="https://www.tradingview.com/chart/Q1c5VWwD/?symbol=nasdaq%3Aspsc" TargetMode="External" Id="rId26"/><Relationship Type="http://schemas.openxmlformats.org/officeDocument/2006/relationships/hyperlink" Target="https://www.tradingview.com/chart/Q1c5VWwD/?symbol=nasdaq%3Aarlp" TargetMode="External" Id="rId27"/><Relationship Type="http://schemas.openxmlformats.org/officeDocument/2006/relationships/hyperlink" Target="https://www.tradingview.com/chart/Q1c5VWwD/?symbol=nasdaq%3Aagen" TargetMode="External" Id="rId28"/><Relationship Type="http://schemas.openxmlformats.org/officeDocument/2006/relationships/hyperlink" Target="https://www.tradingview.com/chart/Q1c5VWwD/?symbol=nasdaq%3Anwsa" TargetMode="External" Id="rId29"/><Relationship Type="http://schemas.openxmlformats.org/officeDocument/2006/relationships/hyperlink" Target="https://www.tradingview.com/chart/Q1c5VWwD/?symbol=nasdaq%3Ahsic" TargetMode="External" Id="rId30"/><Relationship Type="http://schemas.openxmlformats.org/officeDocument/2006/relationships/hyperlink" Target="https://www.tradingview.com/chart/Q1c5VWwD/?symbol=nasdaq%3Acart" TargetMode="External" Id="rId31"/><Relationship Type="http://schemas.openxmlformats.org/officeDocument/2006/relationships/hyperlink" Target="https://www.tradingview.com/chart/Q1c5VWwD/?symbol=nasdaq%3Abiib" TargetMode="External" Id="rId32"/><Relationship Type="http://schemas.openxmlformats.org/officeDocument/2006/relationships/hyperlink" Target="https://www.tradingview.com/chart/Q1c5VWwD/?symbol=nyse%3Aepam" TargetMode="External" Id="rId33"/><Relationship Type="http://schemas.openxmlformats.org/officeDocument/2006/relationships/hyperlink" Target="https://www.tradingview.com/chart/Q1c5VWwD/?symbol=nyse%3Arga" TargetMode="External" Id="rId34"/><Relationship Type="http://schemas.openxmlformats.org/officeDocument/2006/relationships/hyperlink" Target="https://www.tradingview.com/chart/Q1c5VWwD/?symbol=nyse%3Apag" TargetMode="External" Id="rId35"/><Relationship Type="http://schemas.openxmlformats.org/officeDocument/2006/relationships/hyperlink" Target="https://www.tradingview.com/chart/Q1c5VWwD/?symbol=nyse%3Asxt" TargetMode="External" Id="rId36"/><Relationship Type="http://schemas.openxmlformats.org/officeDocument/2006/relationships/hyperlink" Target="https://www.tradingview.com/chart/Q1c5VWwD/?symbol=nyse%3Asbh" TargetMode="External" Id="rId37"/><Relationship Type="http://schemas.openxmlformats.org/officeDocument/2006/relationships/hyperlink" Target="https://www.tradingview.com/chart/Q1c5VWwD/?symbol=nasdaq%3Avstm" TargetMode="External" Id="rId38"/><Relationship Type="http://schemas.openxmlformats.org/officeDocument/2006/relationships/hyperlink" Target="https://www.tradingview.com/chart/Q1c5VWwD/?symbol=nasdaq%3Aseic" TargetMode="External" Id="rId39"/><Relationship Type="http://schemas.openxmlformats.org/officeDocument/2006/relationships/hyperlink" Target="https://www.tradingview.com/chart/Q1c5VWwD/?symbol=nasdaq%3Aovbc" TargetMode="External" Id="rId40"/><Relationship Type="http://schemas.openxmlformats.org/officeDocument/2006/relationships/hyperlink" Target="https://www.tradingview.com/chart/Q1c5VWwD/?symbol=nasdaq%3Anavi" TargetMode="External" Id="rId41"/><Relationship Type="http://schemas.openxmlformats.org/officeDocument/2006/relationships/hyperlink" Target="https://www.tradingview.com/chart/Q1c5VWwD/?symbol=nasdaq%3Anath" TargetMode="External" Id="rId42"/><Relationship Type="http://schemas.openxmlformats.org/officeDocument/2006/relationships/hyperlink" Target="https://www.tradingview.com/chart/Q1c5VWwD/?symbol=nasdaq%3Asght" TargetMode="External" Id="rId43"/><Relationship Type="http://schemas.openxmlformats.org/officeDocument/2006/relationships/hyperlink" Target="https://www.tradingview.com/chart/Q1c5VWwD/?symbol=nasdaq%3Anutx" TargetMode="External" Id="rId44"/><Relationship Type="http://schemas.openxmlformats.org/officeDocument/2006/relationships/hyperlink" Target="https://www.tradingview.com/chart/Q1c5VWwD/?symbol=nasdaq%3Afmao" TargetMode="External" Id="rId45"/><Relationship Type="http://schemas.openxmlformats.org/officeDocument/2006/relationships/hyperlink" Target="https://www.tradingview.com/chart/Q1c5VWwD/?symbol=nyse%3Acnx" TargetMode="External" Id="rId46"/><Relationship Type="http://schemas.openxmlformats.org/officeDocument/2006/relationships/hyperlink" Target="https://www.tradingview.com/chart/Q1c5VWwD/?symbol=nasdaq%3Amlab" TargetMode="External" Id="rId47"/><Relationship Type="http://schemas.openxmlformats.org/officeDocument/2006/relationships/hyperlink" Target="https://www.tradingview.com/chart/Q1c5VWwD/?symbol=nyse%3Ahubs" TargetMode="External" Id="rId48"/><Relationship Type="http://schemas.openxmlformats.org/officeDocument/2006/relationships/hyperlink" Target="https://www.tradingview.com/chart/Q1c5VWwD/?symbol=nasdaq%3Arigl" TargetMode="External" Id="rId49"/><Relationship Type="http://schemas.openxmlformats.org/officeDocument/2006/relationships/hyperlink" Target="https://www.tradingview.com/chart/Q1c5VWwD/?symbol=nasdaq%3Atech" TargetMode="External" Id="rId50"/><Relationship Type="http://schemas.openxmlformats.org/officeDocument/2006/relationships/hyperlink" Target="https://www.tradingview.com/chart/Q1c5VWwD/?symbol=nyse%3Aacn" TargetMode="External" Id="rId51"/><Relationship Type="http://schemas.openxmlformats.org/officeDocument/2006/relationships/hyperlink" Target="https://www.tradingview.com/chart/Q1c5VWwD/?symbol=nasdaq%3Aplse" TargetMode="External" Id="rId52"/><Relationship Type="http://schemas.openxmlformats.org/officeDocument/2006/relationships/hyperlink" Target="https://www.tradingview.com/chart/Q1c5VWwD/?symbol=nyse%3Aepd" TargetMode="External" Id="rId53"/><Relationship Type="http://schemas.openxmlformats.org/officeDocument/2006/relationships/hyperlink" Target="https://www.tradingview.com/chart/Q1c5VWwD/?symbol=nasdaq%3Amirm" TargetMode="External" Id="rId54"/><Relationship Type="http://schemas.openxmlformats.org/officeDocument/2006/relationships/hyperlink" Target="https://www.tradingview.com/chart/Q1c5VWwD/?symbol=nasdaq%3Arway" TargetMode="External" Id="rId55"/><Relationship Type="http://schemas.openxmlformats.org/officeDocument/2006/relationships/hyperlink" Target="https://www.tradingview.com/chart/Q1c5VWwD/?symbol=nyse%3Aquad" TargetMode="External" Id="rId56"/><Relationship Type="http://schemas.openxmlformats.org/officeDocument/2006/relationships/hyperlink" Target="https://www.tradingview.com/chart/Q1c5VWwD/?symbol=nasdaq%3Atri" TargetMode="External" Id="rId57"/><Relationship Type="http://schemas.openxmlformats.org/officeDocument/2006/relationships/hyperlink" Target="https://www.tradingview.com/chart/Q1c5VWwD/?symbol=nasdaq%3Asbac" TargetMode="External" Id="rId58"/><Relationship Type="http://schemas.openxmlformats.org/officeDocument/2006/relationships/hyperlink" Target="https://www.tradingview.com/chart/Q1c5VWwD/?symbol=nyse%3Awk" TargetMode="External" Id="rId59"/><Relationship Type="http://schemas.openxmlformats.org/officeDocument/2006/relationships/hyperlink" Target="https://www.tradingview.com/chart/Q1c5VWwD/?symbol=nyse%3Aice" TargetMode="External" Id="rId60"/><Relationship Type="http://schemas.openxmlformats.org/officeDocument/2006/relationships/hyperlink" Target="https://www.tradingview.com/chart/Q1c5VWwD/?symbol=nasdaq%3Ardvt" TargetMode="External" Id="rId61"/><Relationship Type="http://schemas.openxmlformats.org/officeDocument/2006/relationships/hyperlink" Target="https://www.tradingview.com/chart/Q1c5VWwD/?symbol=nasdaq%3Atpg" TargetMode="External" Id="rId62"/><Relationship Type="http://schemas.openxmlformats.org/officeDocument/2006/relationships/hyperlink" Target="https://www.tradingview.com/chart/Q1c5VWwD/?symbol=nyse%3Aanro" TargetMode="External" Id="rId63"/><Relationship Type="http://schemas.openxmlformats.org/officeDocument/2006/relationships/hyperlink" Target="https://www.tradingview.com/chart/Q1c5VWwD/?symbol=nyse%3Akfy" TargetMode="External" Id="rId64"/><Relationship Type="http://schemas.openxmlformats.org/officeDocument/2006/relationships/hyperlink" Target="https://www.tradingview.com/chart/Q1c5VWwD/?symbol=nyse%3Awt" TargetMode="External" Id="rId65"/><Relationship Type="http://schemas.openxmlformats.org/officeDocument/2006/relationships/hyperlink" Target="https://www.tradingview.com/chart/Q1c5VWwD/?symbol=nyse%3Apjt" TargetMode="External" Id="rId66"/><Relationship Type="http://schemas.openxmlformats.org/officeDocument/2006/relationships/hyperlink" Target="https://www.tradingview.com/chart/Q1c5VWwD/?symbol=nyse%3Ajnj" TargetMode="External" Id="rId67"/><Relationship Type="http://schemas.openxmlformats.org/officeDocument/2006/relationships/hyperlink" Target="https://www.tradingview.com/chart/Q1c5VWwD/?symbol=nyse%3Abio" TargetMode="External" Id="rId68"/><Relationship Type="http://schemas.openxmlformats.org/officeDocument/2006/relationships/hyperlink" Target="https://www.tradingview.com/chart/Q1c5VWwD/?symbol=nasdaq%3Acdzi" TargetMode="External" Id="rId69"/><Relationship Type="http://schemas.openxmlformats.org/officeDocument/2006/relationships/hyperlink" Target="https://www.tradingview.com/chart/Q1c5VWwD/?symbol=nasdaq%3Anktx" TargetMode="External" Id="rId70"/><Relationship Type="http://schemas.openxmlformats.org/officeDocument/2006/relationships/hyperlink" Target="https://www.tradingview.com/chart/Q1c5VWwD/?symbol=nyse%3Acor" TargetMode="External" Id="rId71"/><Relationship Type="http://schemas.openxmlformats.org/officeDocument/2006/relationships/hyperlink" Target="https://www.tradingview.com/chart/Q1c5VWwD/?symbol=nyse%3Akmx" TargetMode="External" Id="rId72"/><Relationship Type="http://schemas.openxmlformats.org/officeDocument/2006/relationships/hyperlink" Target="https://www.tradingview.com/chart/Q1c5VWwD/?symbol=nyse%3Alxu" TargetMode="External" Id="rId73"/><Relationship Type="http://schemas.openxmlformats.org/officeDocument/2006/relationships/hyperlink" Target="https://www.tradingview.com/chart/Q1c5VWwD/?symbol=nasdaq%3Astep" TargetMode="External" Id="rId74"/><Relationship Type="http://schemas.openxmlformats.org/officeDocument/2006/relationships/hyperlink" Target="https://www.tradingview.com/chart/Q1c5VWwD/?symbol=nasdaq%3Aalec" TargetMode="External" Id="rId75"/><Relationship Type="http://schemas.openxmlformats.org/officeDocument/2006/relationships/hyperlink" Target="https://www.tradingview.com/chart/Q1c5VWwD/?symbol=nyse%3Amntn" TargetMode="External" Id="rId76"/><Relationship Type="http://schemas.openxmlformats.org/officeDocument/2006/relationships/hyperlink" Target="https://www.tradingview.com/chart/Q1c5VWwD/?symbol=nasdaq%3Asldb" TargetMode="External" Id="rId77"/><Relationship Type="http://schemas.openxmlformats.org/officeDocument/2006/relationships/hyperlink" Target="https://www.tradingview.com/chart/Q1c5VWwD/?symbol=nasdaq%3Anext" TargetMode="External" Id="rId78"/><Relationship Type="http://schemas.openxmlformats.org/officeDocument/2006/relationships/hyperlink" Target="https://www.tradingview.com/chart/Q1c5VWwD/?symbol=nyse%3Agbtg" TargetMode="External" Id="rId79"/><Relationship Type="http://schemas.openxmlformats.org/officeDocument/2006/relationships/hyperlink" Target="https://www.tradingview.com/chart/Q1c5VWwD/?symbol=nyse%3Ajpm" TargetMode="External" Id="rId80"/><Relationship Type="http://schemas.openxmlformats.org/officeDocument/2006/relationships/hyperlink" Target="https://www.tradingview.com/chart/Q1c5VWwD/?symbol=nasdaq%3Adgica" TargetMode="External" Id="rId81"/><Relationship Type="http://schemas.openxmlformats.org/officeDocument/2006/relationships/hyperlink" Target="https://www.tradingview.com/chart/Q1c5VWwD/?symbol=nyse%3Apbf" TargetMode="External" Id="rId82"/><Relationship Type="http://schemas.openxmlformats.org/officeDocument/2006/relationships/hyperlink" Target="https://www.tradingview.com/chart/Q1c5VWwD/?symbol=nasdaq%3Ashen" TargetMode="External" Id="rId83"/><Relationship Type="http://schemas.openxmlformats.org/officeDocument/2006/relationships/hyperlink" Target="https://www.tradingview.com/chart/Q1c5VWwD/?symbol=nasdaq%3Aatrc" TargetMode="External" Id="rId84"/><Relationship Type="http://schemas.openxmlformats.org/officeDocument/2006/relationships/hyperlink" Target="https://www.tradingview.com/chart/Q1c5VWwD/?symbol=nyse%3Aslb" TargetMode="External" Id="rId85"/><Relationship Type="http://schemas.openxmlformats.org/officeDocument/2006/relationships/hyperlink" Target="https://www.tradingview.com/chart/Q1c5VWwD/?symbol=nasdaq%3Adocu" TargetMode="External" Id="rId86"/><Relationship Type="http://schemas.openxmlformats.org/officeDocument/2006/relationships/hyperlink" Target="https://www.tradingview.com/chart/Q1c5VWwD/?symbol=nasdaq%3Acdna" TargetMode="External" Id="rId87"/><Relationship Type="http://schemas.openxmlformats.org/officeDocument/2006/relationships/hyperlink" Target="https://www.tradingview.com/chart/Q1c5VWwD/?symbol=nasdaq%3Atars" TargetMode="External" Id="rId88"/><Relationship Type="http://schemas.openxmlformats.org/officeDocument/2006/relationships/hyperlink" Target="https://www.tradingview.com/chart/Q1c5VWwD/?symbol=nasdaq%3Ahto" TargetMode="External" Id="rId89"/><Relationship Type="http://schemas.openxmlformats.org/officeDocument/2006/relationships/hyperlink" Target="https://www.tradingview.com/chart/Q1c5VWwD/?symbol=nasdaq%3Acrsr" TargetMode="External" Id="rId90"/><Relationship Type="http://schemas.openxmlformats.org/officeDocument/2006/relationships/hyperlink" Target="https://www.tradingview.com/chart/Q1c5VWwD/?symbol=nasdaq%3Aceg" TargetMode="External" Id="rId91"/><Relationship Type="http://schemas.openxmlformats.org/officeDocument/2006/relationships/hyperlink" Target="https://www.tradingview.com/chart/Q1c5VWwD/?symbol=nasdaq%3Apsky" TargetMode="External" Id="rId92"/><Relationship Type="http://schemas.openxmlformats.org/officeDocument/2006/relationships/hyperlink" Target="https://www.tradingview.com/chart/Q1c5VWwD/?symbol=nyse%3Abg" TargetMode="External" Id="rId93"/><Relationship Type="http://schemas.openxmlformats.org/officeDocument/2006/relationships/hyperlink" Target="https://www.tradingview.com/chart/Q1c5VWwD/?symbol=nyse%3Acrgy" TargetMode="External" Id="rId94"/><Relationship Type="http://schemas.openxmlformats.org/officeDocument/2006/relationships/hyperlink" Target="https://www.tradingview.com/chart/Q1c5VWwD/?symbol=nasdaq%3Afbla" TargetMode="External" Id="rId95"/><Relationship Type="http://schemas.openxmlformats.org/officeDocument/2006/relationships/hyperlink" Target="https://www.tradingview.com/chart/Q1c5VWwD/?symbol=nasdaq%3Arbcaa" TargetMode="External" Id="rId96"/><Relationship Type="http://schemas.openxmlformats.org/officeDocument/2006/relationships/hyperlink" Target="https://www.tradingview.com/chart/Q1c5VWwD/?symbol=nyse%3Adfin" TargetMode="External" Id="rId97"/><Relationship Type="http://schemas.openxmlformats.org/officeDocument/2006/relationships/hyperlink" Target="https://www.tradingview.com/chart/Q1c5VWwD/?symbol=nyse%3Apd" TargetMode="External" Id="rId98"/><Relationship Type="http://schemas.openxmlformats.org/officeDocument/2006/relationships/hyperlink" Target="https://www.tradingview.com/chart/Q1c5VWwD/?symbol=nasdaq%3Apmts" TargetMode="External" Id="rId99"/><Relationship Type="http://schemas.openxmlformats.org/officeDocument/2006/relationships/hyperlink" Target="https://www.tradingview.com/chart/Q1c5VWwD/?symbol=nyse%3Anow" TargetMode="External" Id="rId100"/><Relationship Type="http://schemas.openxmlformats.org/officeDocument/2006/relationships/hyperlink" Target="https://www.tradingview.com/chart/Q1c5VWwD/?symbol=nasdaq%3Aidya" TargetMode="External" Id="rId101"/><Relationship Type="http://schemas.openxmlformats.org/officeDocument/2006/relationships/hyperlink" Target="https://www.tradingview.com/chart/Q1c5VWwD/?symbol=nasdaq%3Aiova" TargetMode="External" Id="rId102"/><Relationship Type="http://schemas.openxmlformats.org/officeDocument/2006/relationships/hyperlink" Target="https://www.tradingview.com/chart/Q1c5VWwD/?symbol=nasdaq%3Aasmb" TargetMode="External" Id="rId103"/><Relationship Type="http://schemas.openxmlformats.org/officeDocument/2006/relationships/hyperlink" Target="https://www.tradingview.com/chart/Q1c5VWwD/?symbol=nasdaq%3Achrd" TargetMode="External" Id="rId104"/><Relationship Type="http://schemas.openxmlformats.org/officeDocument/2006/relationships/hyperlink" Target="https://www.tradingview.com/chart/Q1c5VWwD/?symbol=nasdaq%3Ayorw" TargetMode="External" Id="rId105"/><Relationship Type="http://schemas.openxmlformats.org/officeDocument/2006/relationships/hyperlink" Target="https://www.tradingview.com/chart/Q1c5VWwD/?symbol=nasdaq%3Ansit" TargetMode="External" Id="rId106"/><Relationship Type="http://schemas.openxmlformats.org/officeDocument/2006/relationships/hyperlink" Target="https://www.tradingview.com/chart/Q1c5VWwD/?symbol=nasdaq%3Awfrd" TargetMode="External" Id="rId107"/><Relationship Type="http://schemas.openxmlformats.org/officeDocument/2006/relationships/hyperlink" Target="https://www.tradingview.com/chart/Q1c5VWwD/?symbol=nasdaq%3Arxrx" TargetMode="External" Id="rId108"/><Relationship Type="http://schemas.openxmlformats.org/officeDocument/2006/relationships/hyperlink" Target="https://www.tradingview.com/chart/Q1c5VWwD/?symbol=nasdaq%3Asbet" TargetMode="External" Id="rId109"/><Relationship Type="http://schemas.openxmlformats.org/officeDocument/2006/relationships/hyperlink" Target="https://www.tradingview.com/chart/Q1c5VWwD/?symbol=nasdaq%3Ago" TargetMode="External" Id="rId110"/><Relationship Type="http://schemas.openxmlformats.org/officeDocument/2006/relationships/hyperlink" Target="https://www.tradingview.com/chart/Q1c5VWwD/?symbol=nyse%3Ainsw" TargetMode="External" Id="rId111"/><Relationship Type="http://schemas.openxmlformats.org/officeDocument/2006/relationships/hyperlink" Target="https://www.tradingview.com/chart/Q1c5VWwD/?symbol=nyse%3Ahpq" TargetMode="External" Id="rId112"/><Relationship Type="http://schemas.openxmlformats.org/officeDocument/2006/relationships/hyperlink" Target="https://www.tradingview.com/chart/Q1c5VWwD/?symbol=nasdaq%3Afrd" TargetMode="External" Id="rId113"/><Relationship Type="http://schemas.openxmlformats.org/officeDocument/2006/relationships/hyperlink" Target="https://www.tradingview.com/chart/Q1c5VWwD/?symbol=nyse%3Afds" TargetMode="External" Id="rId114"/><Relationship Type="http://schemas.openxmlformats.org/officeDocument/2006/relationships/hyperlink" Target="https://www.tradingview.com/chart/Q1c5VWwD/?symbol=nyse%3Ahp" TargetMode="External" Id="rId115"/><Relationship Type="http://schemas.openxmlformats.org/officeDocument/2006/relationships/hyperlink" Target="https://www.tradingview.com/chart/Q1c5VWwD/?symbol=nyse%3Aadt" TargetMode="External" Id="rId116"/><Relationship Type="http://schemas.openxmlformats.org/officeDocument/2006/relationships/hyperlink" Target="https://www.tradingview.com/chart/Q1c5VWwD/?symbol=nasdaq%3Atmus" TargetMode="External" Id="rId117"/><Relationship Type="http://schemas.openxmlformats.org/officeDocument/2006/relationships/hyperlink" Target="https://www.tradingview.com/chart/Q1c5VWwD/?symbol=nyse%3Acop" TargetMode="External" Id="rId118"/><Relationship Type="http://schemas.openxmlformats.org/officeDocument/2006/relationships/hyperlink" Target="https://www.tradingview.com/chart/Q1c5VWwD/?symbol=nasdaq%3Aitic" TargetMode="External" Id="rId119"/><Relationship Type="http://schemas.openxmlformats.org/officeDocument/2006/relationships/hyperlink" Target="https://www.tradingview.com/chart/Q1c5VWwD/?symbol=nasdaq%3Ameta" TargetMode="External" Id="rId120"/><Relationship Type="http://schemas.openxmlformats.org/officeDocument/2006/relationships/hyperlink" Target="https://www.tradingview.com/chart/Q1c5VWwD/?symbol=nasdaq%3Alilak" TargetMode="External" Id="rId121"/><Relationship Type="http://schemas.openxmlformats.org/officeDocument/2006/relationships/hyperlink" Target="https://www.tradingview.com/chart/Q1c5VWwD/?symbol=nasdaq%3Asrpt" TargetMode="External" Id="rId122"/><Relationship Type="http://schemas.openxmlformats.org/officeDocument/2006/relationships/hyperlink" Target="https://www.tradingview.com/chart/Q1c5VWwD/?symbol=nasdaq%3Asenea" TargetMode="External" Id="rId123"/><Relationship Type="http://schemas.openxmlformats.org/officeDocument/2006/relationships/hyperlink" Target="https://www.tradingview.com/chart/Q1c5VWwD/?symbol=nyse%3Ahal" TargetMode="External" Id="rId124"/><Relationship Type="http://schemas.openxmlformats.org/officeDocument/2006/relationships/hyperlink" Target="https://www.tradingview.com/chart/Q1c5VWwD/?symbol=nasdaq%3Acoke" TargetMode="External" Id="rId125"/><Relationship Type="http://schemas.openxmlformats.org/officeDocument/2006/relationships/hyperlink" Target="https://www.tradingview.com/chart/Q1c5VWwD/?symbol=nyse%3Abmnr" TargetMode="External" Id="rId126"/><Relationship Type="http://schemas.openxmlformats.org/officeDocument/2006/relationships/hyperlink" Target="https://www.tradingview.com/chart/Q1c5VWwD/?symbol=nyse%3Adg" TargetMode="External" Id="rId127"/><Relationship Type="http://schemas.openxmlformats.org/officeDocument/2006/relationships/hyperlink" Target="https://www.tradingview.com/chart/Q1c5VWwD/?symbol=nasdaq%3Aabat" TargetMode="External" Id="rId128"/><Relationship Type="http://schemas.openxmlformats.org/officeDocument/2006/relationships/hyperlink" Target="https://www.tradingview.com/chart/Q1c5VWwD/?symbol=nasdaq%3Aimmx" TargetMode="External" Id="rId129"/><Relationship Type="http://schemas.openxmlformats.org/officeDocument/2006/relationships/hyperlink" Target="https://www.tradingview.com/chart/Q1c5VWwD/?symbol=nasdaq%3Apahc" TargetMode="External" Id="rId130"/><Relationship Type="http://schemas.openxmlformats.org/officeDocument/2006/relationships/hyperlink" Target="https://www.tradingview.com/chart/Q1c5VWwD/?symbol=nyse%3Aoii" TargetMode="External" Id="rId131"/><Relationship Type="http://schemas.openxmlformats.org/officeDocument/2006/relationships/hyperlink" Target="https://www.tradingview.com/chart/Q1c5VWwD/?symbol=nyse%3Anue" TargetMode="External" Id="rId132"/><Relationship Type="http://schemas.openxmlformats.org/officeDocument/2006/relationships/hyperlink" Target="https://www.tradingview.com/chart/Q1c5VWwD/?symbol=nyse%3Atalo" TargetMode="External" Id="rId133"/><Relationship Type="http://schemas.openxmlformats.org/officeDocument/2006/relationships/hyperlink" Target="https://www.tradingview.com/chart/Q1c5VWwD/?symbol=nasdaq%3Apesi" TargetMode="External" Id="rId134"/><Relationship Type="http://schemas.openxmlformats.org/officeDocument/2006/relationships/hyperlink" Target="https://www.tradingview.com/chart/Q1c5VWwD/?symbol=nasdaq%3Adbx" TargetMode="External" Id="rId135"/><Relationship Type="http://schemas.openxmlformats.org/officeDocument/2006/relationships/hyperlink" Target="https://www.tradingview.com/chart/Q1c5VWwD/?symbol=nyse%3Abill" TargetMode="External" Id="rId136"/><Relationship Type="http://schemas.openxmlformats.org/officeDocument/2006/relationships/hyperlink" Target="https://www.tradingview.com/chart/Q1c5VWwD/?symbol=nasdaq%3Aospn" TargetMode="External" Id="rId137"/><Relationship Type="http://schemas.openxmlformats.org/officeDocument/2006/relationships/hyperlink" Target="https://www.tradingview.com/chart/Q1c5VWwD/?symbol=nyse%3Aestc" TargetMode="External" Id="rId138"/><Relationship Type="http://schemas.openxmlformats.org/officeDocument/2006/relationships/hyperlink" Target="https://www.tradingview.com/chart/Q1c5VWwD/?symbol=nyse%3Aadm" TargetMode="External" Id="rId139"/><Relationship Type="http://schemas.openxmlformats.org/officeDocument/2006/relationships/hyperlink" Target="https://www.tradingview.com/chart/Q1c5VWwD/?symbol=nasdaq%3Aswks" TargetMode="External" Id="rId140"/><Relationship Type="http://schemas.openxmlformats.org/officeDocument/2006/relationships/hyperlink" Target="https://www.tradingview.com/chart/Q1c5VWwD/?symbol=nyse%3Apr" TargetMode="External" Id="rId141"/><Relationship Type="http://schemas.openxmlformats.org/officeDocument/2006/relationships/hyperlink" Target="https://www.tradingview.com/chart/Q1c5VWwD/?symbol=nasdaq%3Aulta" TargetMode="External" Id="rId142"/><Relationship Type="http://schemas.openxmlformats.org/officeDocument/2006/relationships/hyperlink" Target="https://www.tradingview.com/chart/Q1c5VWwD/?symbol=nyse%3Aapo" TargetMode="External" Id="rId143"/><Relationship Type="http://schemas.openxmlformats.org/officeDocument/2006/relationships/hyperlink" Target="https://www.tradingview.com/chart/Q1c5VWwD/?symbol=nasdaq%3Atsla" TargetMode="External" Id="rId144"/><Relationship Type="http://schemas.openxmlformats.org/officeDocument/2006/relationships/hyperlink" Target="https://www.tradingview.com/chart/Q1c5VWwD/?symbol=nyse%3Aooma" TargetMode="External" Id="rId145"/><Relationship Type="http://schemas.openxmlformats.org/officeDocument/2006/relationships/hyperlink" Target="https://www.tradingview.com/chart/Q1c5VWwD/?symbol=nyse%3Atdw" TargetMode="External" Id="rId146"/><Relationship Type="http://schemas.openxmlformats.org/officeDocument/2006/relationships/hyperlink" Target="https://www.tradingview.com/chart/Q1c5VWwD/?symbol=nasdaq%3Acenx" TargetMode="External" Id="rId147"/><Relationship Type="http://schemas.openxmlformats.org/officeDocument/2006/relationships/hyperlink" Target="https://www.tradingview.com/chart/Q1c5VWwD/?symbol=nyse%3Afet" TargetMode="External" Id="rId148"/><Relationship Type="http://schemas.openxmlformats.org/officeDocument/2006/relationships/hyperlink" Target="https://www.tradingview.com/chart/Q1c5VWwD/?symbol=nasdaq%3Asail" TargetMode="External" Id="rId149"/><Relationship Type="http://schemas.openxmlformats.org/officeDocument/2006/relationships/hyperlink" Target="https://www.tradingview.com/chart/Q1c5VWwD/?symbol=nyse%3Aanf" TargetMode="External" Id="rId150"/><Relationship Type="http://schemas.openxmlformats.org/officeDocument/2006/relationships/hyperlink" Target="https://www.tradingview.com/chart/Q1c5VWwD/?symbol=nyse%3Adan" TargetMode="External" Id="rId151"/><Relationship Type="http://schemas.openxmlformats.org/officeDocument/2006/relationships/hyperlink" Target="https://www.tradingview.com/chart/Q1c5VWwD/?symbol=nasdaq%3Akura" TargetMode="External" Id="rId152"/><Relationship Type="http://schemas.openxmlformats.org/officeDocument/2006/relationships/hyperlink" Target="https://www.tradingview.com/chart/Q1c5VWwD/?symbol=nasdaq%3Afive" TargetMode="External" Id="rId153"/><Relationship Type="http://schemas.openxmlformats.org/officeDocument/2006/relationships/hyperlink" Target="https://www.tradingview.com/chart/Q1c5VWwD/?symbol=nasdaq%3Arxst" TargetMode="External" Id="rId154"/><Relationship Type="http://schemas.openxmlformats.org/officeDocument/2006/relationships/hyperlink" Target="https://www.tradingview.com/chart/Q1c5VWwD/?symbol=nyse%3Aamt" TargetMode="External" Id="rId155"/><Relationship Type="http://schemas.openxmlformats.org/officeDocument/2006/relationships/hyperlink" Target="https://www.tradingview.com/chart/Q1c5VWwD/?symbol=nyse%3Asnow" TargetMode="External" Id="rId156"/><Relationship Type="http://schemas.openxmlformats.org/officeDocument/2006/relationships/hyperlink" Target="https://www.tradingview.com/chart/Q1c5VWwD/?symbol=nasdaq%3Acnxn" TargetMode="External" Id="rId157"/><Relationship Type="http://schemas.openxmlformats.org/officeDocument/2006/relationships/hyperlink" Target="https://www.tradingview.com/chart/Q1c5VWwD/?symbol=nyse%3Aowl" TargetMode="External" Id="rId15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nyse%3Aitgr" TargetMode="External" Id="rId1"/><Relationship Type="http://schemas.openxmlformats.org/officeDocument/2006/relationships/hyperlink" Target="https://www.tradingview.com/chart/Q1c5VWwD/?symbol=nasdaq%3Admlp" TargetMode="External" Id="rId2"/><Relationship Type="http://schemas.openxmlformats.org/officeDocument/2006/relationships/hyperlink" Target="https://www.tradingview.com/chart/Q1c5VWwD/?symbol=nyse%3Aman" TargetMode="External" Id="rId3"/><Relationship Type="http://schemas.openxmlformats.org/officeDocument/2006/relationships/hyperlink" Target="https://www.tradingview.com/chart/Q1c5VWwD/?symbol=nasdaq%3Asmti" TargetMode="External" Id="rId4"/><Relationship Type="http://schemas.openxmlformats.org/officeDocument/2006/relationships/hyperlink" Target="https://www.tradingview.com/chart/Q1c5VWwD/?symbol=nyse%3Ainsp" TargetMode="External" Id="rId5"/><Relationship Type="http://schemas.openxmlformats.org/officeDocument/2006/relationships/hyperlink" Target="https://www.tradingview.com/chart/Q1c5VWwD/?symbol=nyse%3Aexpd" TargetMode="External" Id="rId6"/><Relationship Type="http://schemas.openxmlformats.org/officeDocument/2006/relationships/hyperlink" Target="https://www.tradingview.com/chart/Q1c5VWwD/?symbol=nasdaq%3Aarcc" TargetMode="External" Id="rId7"/><Relationship Type="http://schemas.openxmlformats.org/officeDocument/2006/relationships/hyperlink" Target="https://www.tradingview.com/chart/Q1c5VWwD/?symbol=nyse%3Avz" TargetMode="External" Id="rId8"/><Relationship Type="http://schemas.openxmlformats.org/officeDocument/2006/relationships/hyperlink" Target="https://www.tradingview.com/chart/Q1c5VWwD/?symbol=nyse%3Arrc" TargetMode="External" Id="rId9"/><Relationship Type="http://schemas.openxmlformats.org/officeDocument/2006/relationships/hyperlink" Target="https://www.tradingview.com/chart/Q1c5VWwD/?symbol=nasdaq%3Arcel" TargetMode="External" Id="rId10"/><Relationship Type="http://schemas.openxmlformats.org/officeDocument/2006/relationships/hyperlink" Target="https://www.tradingview.com/chart/Q1c5VWwD/?symbol=nyse%3Aogn" TargetMode="External" Id="rId11"/><Relationship Type="http://schemas.openxmlformats.org/officeDocument/2006/relationships/hyperlink" Target="https://www.tradingview.com/chart/Q1c5VWwD/?symbol=nasdaq%3Aforr" TargetMode="External" Id="rId12"/><Relationship Type="http://schemas.openxmlformats.org/officeDocument/2006/relationships/hyperlink" Target="https://www.tradingview.com/chart/Q1c5VWwD/?symbol=nyse%3Aavtr" TargetMode="External" Id="rId13"/><Relationship Type="http://schemas.openxmlformats.org/officeDocument/2006/relationships/hyperlink" Target="https://www.tradingview.com/chart/Q1c5VWwD/?symbol=nyse%3Aet" TargetMode="External" Id="rId14"/><Relationship Type="http://schemas.openxmlformats.org/officeDocument/2006/relationships/hyperlink" Target="https://www.tradingview.com/chart/Q1c5VWwD/?symbol=nasdaq%3Ahalo" TargetMode="External" Id="rId15"/><Relationship Type="http://schemas.openxmlformats.org/officeDocument/2006/relationships/hyperlink" Target="https://www.tradingview.com/chart/Q1c5VWwD/?symbol=nasdaq%3Assnc" TargetMode="External" Id="rId16"/><Relationship Type="http://schemas.openxmlformats.org/officeDocument/2006/relationships/hyperlink" Target="https://www.tradingview.com/chart/Q1c5VWwD/?symbol=nasdaq%3Aeols" TargetMode="External" Id="rId17"/><Relationship Type="http://schemas.openxmlformats.org/officeDocument/2006/relationships/hyperlink" Target="https://www.tradingview.com/chart/Q1c5VWwD/?symbol=nyse%3Apayc" TargetMode="External" Id="rId18"/><Relationship Type="http://schemas.openxmlformats.org/officeDocument/2006/relationships/hyperlink" Target="https://www.tradingview.com/chart/Q1c5VWwD/?symbol=nasdaq%3Aglibk" TargetMode="External" Id="rId19"/><Relationship Type="http://schemas.openxmlformats.org/officeDocument/2006/relationships/hyperlink" Target="https://www.tradingview.com/chart/Q1c5VWwD/?symbol=nasdaq%3Apnrg" TargetMode="External" Id="rId20"/><Relationship Type="http://schemas.openxmlformats.org/officeDocument/2006/relationships/hyperlink" Target="https://www.tradingview.com/chart/Q1c5VWwD/?symbol=nyse%3Amatx" TargetMode="External" Id="rId21"/><Relationship Type="http://schemas.openxmlformats.org/officeDocument/2006/relationships/hyperlink" Target="https://www.tradingview.com/chart/Q1c5VWwD/?symbol=nasdaq%3Actsh" TargetMode="External" Id="rId22"/><Relationship Type="http://schemas.openxmlformats.org/officeDocument/2006/relationships/hyperlink" Target="https://www.tradingview.com/chart/Q1c5VWwD/?symbol=nasdaq%3Aqmco" TargetMode="External" Id="rId23"/><Relationship Type="http://schemas.openxmlformats.org/officeDocument/2006/relationships/hyperlink" Target="https://www.tradingview.com/chart/Q1c5VWwD/?symbol=nyse%3Agic" TargetMode="External" Id="rId24"/><Relationship Type="http://schemas.openxmlformats.org/officeDocument/2006/relationships/hyperlink" Target="https://www.tradingview.com/chart/Q1c5VWwD/?symbol=nasdaq%3Albrx" TargetMode="External" Id="rId25"/><Relationship Type="http://schemas.openxmlformats.org/officeDocument/2006/relationships/hyperlink" Target="https://www.tradingview.com/chart/Q1c5VWwD/?symbol=nasdaq%3Aspsc" TargetMode="External" Id="rId26"/><Relationship Type="http://schemas.openxmlformats.org/officeDocument/2006/relationships/hyperlink" Target="https://www.tradingview.com/chart/Q1c5VWwD/?symbol=nasdaq%3Aarlp" TargetMode="External" Id="rId27"/><Relationship Type="http://schemas.openxmlformats.org/officeDocument/2006/relationships/hyperlink" Target="https://www.tradingview.com/chart/Q1c5VWwD/?symbol=nasdaq%3Aagen" TargetMode="External" Id="rId28"/><Relationship Type="http://schemas.openxmlformats.org/officeDocument/2006/relationships/hyperlink" Target="https://www.tradingview.com/chart/Q1c5VWwD/?symbol=nasdaq%3Anwsa" TargetMode="External" Id="rId29"/><Relationship Type="http://schemas.openxmlformats.org/officeDocument/2006/relationships/hyperlink" Target="https://www.tradingview.com/chart/Q1c5VWwD/?symbol=nasdaq%3Ahsic" TargetMode="External" Id="rId30"/><Relationship Type="http://schemas.openxmlformats.org/officeDocument/2006/relationships/hyperlink" Target="https://www.tradingview.com/chart/Q1c5VWwD/?symbol=nasdaq%3Acart" TargetMode="External" Id="rId31"/><Relationship Type="http://schemas.openxmlformats.org/officeDocument/2006/relationships/hyperlink" Target="https://www.tradingview.com/chart/Q1c5VWwD/?symbol=nasdaq%3Abiib" TargetMode="External" Id="rId32"/><Relationship Type="http://schemas.openxmlformats.org/officeDocument/2006/relationships/hyperlink" Target="https://www.tradingview.com/chart/Q1c5VWwD/?symbol=nyse%3Aepam" TargetMode="External" Id="rId33"/><Relationship Type="http://schemas.openxmlformats.org/officeDocument/2006/relationships/hyperlink" Target="https://www.tradingview.com/chart/Q1c5VWwD/?symbol=nyse%3Arga" TargetMode="External" Id="rId34"/><Relationship Type="http://schemas.openxmlformats.org/officeDocument/2006/relationships/hyperlink" Target="https://www.tradingview.com/chart/Q1c5VWwD/?symbol=nyse%3Apag" TargetMode="External" Id="rId35"/><Relationship Type="http://schemas.openxmlformats.org/officeDocument/2006/relationships/hyperlink" Target="https://www.tradingview.com/chart/Q1c5VWwD/?symbol=nyse%3Asxt" TargetMode="External" Id="rId36"/><Relationship Type="http://schemas.openxmlformats.org/officeDocument/2006/relationships/hyperlink" Target="https://www.tradingview.com/chart/Q1c5VWwD/?symbol=nyse%3Asbh" TargetMode="External" Id="rId37"/><Relationship Type="http://schemas.openxmlformats.org/officeDocument/2006/relationships/hyperlink" Target="https://www.tradingview.com/chart/Q1c5VWwD/?symbol=nasdaq%3Avstm" TargetMode="External" Id="rId38"/><Relationship Type="http://schemas.openxmlformats.org/officeDocument/2006/relationships/hyperlink" Target="https://www.tradingview.com/chart/Q1c5VWwD/?symbol=nasdaq%3Aseic" TargetMode="External" Id="rId39"/><Relationship Type="http://schemas.openxmlformats.org/officeDocument/2006/relationships/hyperlink" Target="https://www.tradingview.com/chart/Q1c5VWwD/?symbol=nasdaq%3Aovbc" TargetMode="External" Id="rId40"/><Relationship Type="http://schemas.openxmlformats.org/officeDocument/2006/relationships/hyperlink" Target="https://www.tradingview.com/chart/Q1c5VWwD/?symbol=nasdaq%3Anavi" TargetMode="External" Id="rId41"/><Relationship Type="http://schemas.openxmlformats.org/officeDocument/2006/relationships/hyperlink" Target="https://www.tradingview.com/chart/Q1c5VWwD/?symbol=nasdaq%3Anath" TargetMode="External" Id="rId42"/><Relationship Type="http://schemas.openxmlformats.org/officeDocument/2006/relationships/hyperlink" Target="https://www.tradingview.com/chart/Q1c5VWwD/?symbol=nasdaq%3Asght" TargetMode="External" Id="rId43"/><Relationship Type="http://schemas.openxmlformats.org/officeDocument/2006/relationships/hyperlink" Target="https://www.tradingview.com/chart/Q1c5VWwD/?symbol=nasdaq%3Anutx" TargetMode="External" Id="rId44"/><Relationship Type="http://schemas.openxmlformats.org/officeDocument/2006/relationships/hyperlink" Target="https://www.tradingview.com/chart/Q1c5VWwD/?symbol=nasdaq%3Afmao" TargetMode="External" Id="rId45"/><Relationship Type="http://schemas.openxmlformats.org/officeDocument/2006/relationships/hyperlink" Target="https://www.tradingview.com/chart/Q1c5VWwD/?symbol=nyse%3Acnx" TargetMode="External" Id="rId46"/><Relationship Type="http://schemas.openxmlformats.org/officeDocument/2006/relationships/hyperlink" Target="https://www.tradingview.com/chart/Q1c5VWwD/?symbol=nasdaq%3Amlab" TargetMode="External" Id="rId47"/><Relationship Type="http://schemas.openxmlformats.org/officeDocument/2006/relationships/hyperlink" Target="https://www.tradingview.com/chart/Q1c5VWwD/?symbol=nyse%3Ahubs" TargetMode="External" Id="rId48"/><Relationship Type="http://schemas.openxmlformats.org/officeDocument/2006/relationships/hyperlink" Target="https://www.tradingview.com/chart/Q1c5VWwD/?symbol=nasdaq%3Arigl" TargetMode="External" Id="rId49"/><Relationship Type="http://schemas.openxmlformats.org/officeDocument/2006/relationships/hyperlink" Target="https://www.tradingview.com/chart/Q1c5VWwD/?symbol=nasdaq%3Atech" TargetMode="External" Id="rId50"/><Relationship Type="http://schemas.openxmlformats.org/officeDocument/2006/relationships/hyperlink" Target="https://www.tradingview.com/chart/Q1c5VWwD/?symbol=nyse%3Aacn" TargetMode="External" Id="rId51"/><Relationship Type="http://schemas.openxmlformats.org/officeDocument/2006/relationships/hyperlink" Target="https://www.tradingview.com/chart/Q1c5VWwD/?symbol=nasdaq%3Aplse" TargetMode="External" Id="rId52"/><Relationship Type="http://schemas.openxmlformats.org/officeDocument/2006/relationships/hyperlink" Target="https://www.tradingview.com/chart/Q1c5VWwD/?symbol=nyse%3Aepd" TargetMode="External" Id="rId53"/><Relationship Type="http://schemas.openxmlformats.org/officeDocument/2006/relationships/hyperlink" Target="https://www.tradingview.com/chart/Q1c5VWwD/?symbol=nasdaq%3Amirm" TargetMode="External" Id="rId54"/><Relationship Type="http://schemas.openxmlformats.org/officeDocument/2006/relationships/hyperlink" Target="https://www.tradingview.com/chart/Q1c5VWwD/?symbol=nasdaq%3Arway" TargetMode="External" Id="rId55"/><Relationship Type="http://schemas.openxmlformats.org/officeDocument/2006/relationships/hyperlink" Target="https://www.tradingview.com/chart/Q1c5VWwD/?symbol=nyse%3Aquad" TargetMode="External" Id="rId56"/><Relationship Type="http://schemas.openxmlformats.org/officeDocument/2006/relationships/hyperlink" Target="https://www.tradingview.com/chart/Q1c5VWwD/?symbol=nasdaq%3Atri" TargetMode="External" Id="rId57"/><Relationship Type="http://schemas.openxmlformats.org/officeDocument/2006/relationships/hyperlink" Target="https://www.tradingview.com/chart/Q1c5VWwD/?symbol=nasdaq%3Asbac" TargetMode="External" Id="rId58"/><Relationship Type="http://schemas.openxmlformats.org/officeDocument/2006/relationships/hyperlink" Target="https://www.tradingview.com/chart/Q1c5VWwD/?symbol=nyse%3Awk" TargetMode="External" Id="rId59"/><Relationship Type="http://schemas.openxmlformats.org/officeDocument/2006/relationships/hyperlink" Target="https://www.tradingview.com/chart/Q1c5VWwD/?symbol=nyse%3Aice" TargetMode="External" Id="rId60"/><Relationship Type="http://schemas.openxmlformats.org/officeDocument/2006/relationships/hyperlink" Target="https://www.tradingview.com/chart/Q1c5VWwD/?symbol=nasdaq%3Ardvt" TargetMode="External" Id="rId61"/><Relationship Type="http://schemas.openxmlformats.org/officeDocument/2006/relationships/hyperlink" Target="https://www.tradingview.com/chart/Q1c5VWwD/?symbol=nasdaq%3Atpg" TargetMode="External" Id="rId62"/><Relationship Type="http://schemas.openxmlformats.org/officeDocument/2006/relationships/hyperlink" Target="https://www.tradingview.com/chart/Q1c5VWwD/?symbol=nyse%3Aanro" TargetMode="External" Id="rId63"/><Relationship Type="http://schemas.openxmlformats.org/officeDocument/2006/relationships/hyperlink" Target="https://www.tradingview.com/chart/Q1c5VWwD/?symbol=nyse%3Akfy" TargetMode="External" Id="rId64"/><Relationship Type="http://schemas.openxmlformats.org/officeDocument/2006/relationships/hyperlink" Target="https://www.tradingview.com/chart/Q1c5VWwD/?symbol=nyse%3Awt" TargetMode="External" Id="rId65"/><Relationship Type="http://schemas.openxmlformats.org/officeDocument/2006/relationships/hyperlink" Target="https://www.tradingview.com/chart/Q1c5VWwD/?symbol=nyse%3Apjt" TargetMode="External" Id="rId66"/><Relationship Type="http://schemas.openxmlformats.org/officeDocument/2006/relationships/hyperlink" Target="https://www.tradingview.com/chart/Q1c5VWwD/?symbol=nyse%3Ajnj" TargetMode="External" Id="rId67"/><Relationship Type="http://schemas.openxmlformats.org/officeDocument/2006/relationships/hyperlink" Target="https://www.tradingview.com/chart/Q1c5VWwD/?symbol=nyse%3Abio" TargetMode="External" Id="rId68"/><Relationship Type="http://schemas.openxmlformats.org/officeDocument/2006/relationships/hyperlink" Target="https://www.tradingview.com/chart/Q1c5VWwD/?symbol=nasdaq%3Acdzi" TargetMode="External" Id="rId69"/><Relationship Type="http://schemas.openxmlformats.org/officeDocument/2006/relationships/hyperlink" Target="https://www.tradingview.com/chart/Q1c5VWwD/?symbol=nasdaq%3Anktx" TargetMode="External" Id="rId70"/><Relationship Type="http://schemas.openxmlformats.org/officeDocument/2006/relationships/hyperlink" Target="https://www.tradingview.com/chart/Q1c5VWwD/?symbol=nyse%3Acor" TargetMode="External" Id="rId71"/><Relationship Type="http://schemas.openxmlformats.org/officeDocument/2006/relationships/hyperlink" Target="https://www.tradingview.com/chart/Q1c5VWwD/?symbol=nyse%3Akmx" TargetMode="External" Id="rId72"/><Relationship Type="http://schemas.openxmlformats.org/officeDocument/2006/relationships/hyperlink" Target="https://www.tradingview.com/chart/Q1c5VWwD/?symbol=nyse%3Alxu" TargetMode="External" Id="rId73"/><Relationship Type="http://schemas.openxmlformats.org/officeDocument/2006/relationships/hyperlink" Target="https://www.tradingview.com/chart/Q1c5VWwD/?symbol=nasdaq%3Astep" TargetMode="External" Id="rId74"/><Relationship Type="http://schemas.openxmlformats.org/officeDocument/2006/relationships/hyperlink" Target="https://www.tradingview.com/chart/Q1c5VWwD/?symbol=nasdaq%3Aalec" TargetMode="External" Id="rId75"/><Relationship Type="http://schemas.openxmlformats.org/officeDocument/2006/relationships/hyperlink" Target="https://www.tradingview.com/chart/Q1c5VWwD/?symbol=nyse%3Amntn" TargetMode="External" Id="rId76"/><Relationship Type="http://schemas.openxmlformats.org/officeDocument/2006/relationships/hyperlink" Target="https://www.tradingview.com/chart/Q1c5VWwD/?symbol=nasdaq%3Asldb" TargetMode="External" Id="rId77"/><Relationship Type="http://schemas.openxmlformats.org/officeDocument/2006/relationships/hyperlink" Target="https://www.tradingview.com/chart/Q1c5VWwD/?symbol=nasdaq%3Anext" TargetMode="External" Id="rId78"/><Relationship Type="http://schemas.openxmlformats.org/officeDocument/2006/relationships/hyperlink" Target="https://www.tradingview.com/chart/Q1c5VWwD/?symbol=nyse%3Agbtg" TargetMode="External" Id="rId79"/><Relationship Type="http://schemas.openxmlformats.org/officeDocument/2006/relationships/hyperlink" Target="https://www.tradingview.com/chart/Q1c5VWwD/?symbol=nyse%3Ajpm" TargetMode="External" Id="rId80"/><Relationship Type="http://schemas.openxmlformats.org/officeDocument/2006/relationships/hyperlink" Target="https://www.tradingview.com/chart/Q1c5VWwD/?symbol=nasdaq%3Adgica" TargetMode="External" Id="rId81"/><Relationship Type="http://schemas.openxmlformats.org/officeDocument/2006/relationships/hyperlink" Target="https://www.tradingview.com/chart/Q1c5VWwD/?symbol=nyse%3Apbf" TargetMode="External" Id="rId82"/><Relationship Type="http://schemas.openxmlformats.org/officeDocument/2006/relationships/hyperlink" Target="https://www.tradingview.com/chart/Q1c5VWwD/?symbol=nasdaq%3Ashen" TargetMode="External" Id="rId83"/><Relationship Type="http://schemas.openxmlformats.org/officeDocument/2006/relationships/hyperlink" Target="https://www.tradingview.com/chart/Q1c5VWwD/?symbol=nasdaq%3Aatrc" TargetMode="External" Id="rId84"/><Relationship Type="http://schemas.openxmlformats.org/officeDocument/2006/relationships/hyperlink" Target="https://www.tradingview.com/chart/Q1c5VWwD/?symbol=nyse%3Aslb" TargetMode="External" Id="rId85"/><Relationship Type="http://schemas.openxmlformats.org/officeDocument/2006/relationships/hyperlink" Target="https://www.tradingview.com/chart/Q1c5VWwD/?symbol=nasdaq%3Adocu" TargetMode="External" Id="rId86"/><Relationship Type="http://schemas.openxmlformats.org/officeDocument/2006/relationships/hyperlink" Target="https://www.tradingview.com/chart/Q1c5VWwD/?symbol=nasdaq%3Acdna" TargetMode="External" Id="rId87"/><Relationship Type="http://schemas.openxmlformats.org/officeDocument/2006/relationships/hyperlink" Target="https://www.tradingview.com/chart/Q1c5VWwD/?symbol=nasdaq%3Atars" TargetMode="External" Id="rId88"/><Relationship Type="http://schemas.openxmlformats.org/officeDocument/2006/relationships/hyperlink" Target="https://www.tradingview.com/chart/Q1c5VWwD/?symbol=nasdaq%3Ahto" TargetMode="External" Id="rId89"/><Relationship Type="http://schemas.openxmlformats.org/officeDocument/2006/relationships/hyperlink" Target="https://www.tradingview.com/chart/Q1c5VWwD/?symbol=nasdaq%3Acrsr" TargetMode="External" Id="rId90"/><Relationship Type="http://schemas.openxmlformats.org/officeDocument/2006/relationships/hyperlink" Target="https://www.tradingview.com/chart/Q1c5VWwD/?symbol=nasdaq%3Aceg" TargetMode="External" Id="rId91"/><Relationship Type="http://schemas.openxmlformats.org/officeDocument/2006/relationships/hyperlink" Target="https://www.tradingview.com/chart/Q1c5VWwD/?symbol=nasdaq%3Apsky" TargetMode="External" Id="rId92"/><Relationship Type="http://schemas.openxmlformats.org/officeDocument/2006/relationships/hyperlink" Target="https://www.tradingview.com/chart/Q1c5VWwD/?symbol=nyse%3Abg" TargetMode="External" Id="rId93"/><Relationship Type="http://schemas.openxmlformats.org/officeDocument/2006/relationships/hyperlink" Target="https://www.tradingview.com/chart/Q1c5VWwD/?symbol=nyse%3Acrgy" TargetMode="External" Id="rId94"/><Relationship Type="http://schemas.openxmlformats.org/officeDocument/2006/relationships/hyperlink" Target="https://www.tradingview.com/chart/Q1c5VWwD/?symbol=nasdaq%3Afbla" TargetMode="External" Id="rId95"/><Relationship Type="http://schemas.openxmlformats.org/officeDocument/2006/relationships/hyperlink" Target="https://www.tradingview.com/chart/Q1c5VWwD/?symbol=nasdaq%3Arbcaa" TargetMode="External" Id="rId96"/><Relationship Type="http://schemas.openxmlformats.org/officeDocument/2006/relationships/hyperlink" Target="https://www.tradingview.com/chart/Q1c5VWwD/?symbol=nyse%3Adfin" TargetMode="External" Id="rId97"/><Relationship Type="http://schemas.openxmlformats.org/officeDocument/2006/relationships/hyperlink" Target="https://www.tradingview.com/chart/Q1c5VWwD/?symbol=nyse%3Apd" TargetMode="External" Id="rId98"/><Relationship Type="http://schemas.openxmlformats.org/officeDocument/2006/relationships/hyperlink" Target="https://www.tradingview.com/chart/Q1c5VWwD/?symbol=nasdaq%3Apmts" TargetMode="External" Id="rId99"/><Relationship Type="http://schemas.openxmlformats.org/officeDocument/2006/relationships/hyperlink" Target="https://www.tradingview.com/chart/Q1c5VWwD/?symbol=nyse%3Anow" TargetMode="External" Id="rId100"/><Relationship Type="http://schemas.openxmlformats.org/officeDocument/2006/relationships/hyperlink" Target="https://www.tradingview.com/chart/Q1c5VWwD/?symbol=nasdaq%3Aidya" TargetMode="External" Id="rId101"/><Relationship Type="http://schemas.openxmlformats.org/officeDocument/2006/relationships/hyperlink" Target="https://www.tradingview.com/chart/Q1c5VWwD/?symbol=nasdaq%3Aiova" TargetMode="External" Id="rId102"/><Relationship Type="http://schemas.openxmlformats.org/officeDocument/2006/relationships/hyperlink" Target="https://www.tradingview.com/chart/Q1c5VWwD/?symbol=nasdaq%3Aasmb" TargetMode="External" Id="rId103"/><Relationship Type="http://schemas.openxmlformats.org/officeDocument/2006/relationships/hyperlink" Target="https://www.tradingview.com/chart/Q1c5VWwD/?symbol=nasdaq%3Achrd" TargetMode="External" Id="rId104"/><Relationship Type="http://schemas.openxmlformats.org/officeDocument/2006/relationships/hyperlink" Target="https://www.tradingview.com/chart/Q1c5VWwD/?symbol=nasdaq%3Ayorw" TargetMode="External" Id="rId105"/><Relationship Type="http://schemas.openxmlformats.org/officeDocument/2006/relationships/hyperlink" Target="https://www.tradingview.com/chart/Q1c5VWwD/?symbol=nasdaq%3Ansit" TargetMode="External" Id="rId106"/><Relationship Type="http://schemas.openxmlformats.org/officeDocument/2006/relationships/hyperlink" Target="https://www.tradingview.com/chart/Q1c5VWwD/?symbol=nasdaq%3Awfrd" TargetMode="External" Id="rId107"/><Relationship Type="http://schemas.openxmlformats.org/officeDocument/2006/relationships/hyperlink" Target="https://www.tradingview.com/chart/Q1c5VWwD/?symbol=nasdaq%3Arxrx" TargetMode="External" Id="rId108"/><Relationship Type="http://schemas.openxmlformats.org/officeDocument/2006/relationships/hyperlink" Target="https://www.tradingview.com/chart/Q1c5VWwD/?symbol=nasdaq%3Asbet" TargetMode="External" Id="rId109"/><Relationship Type="http://schemas.openxmlformats.org/officeDocument/2006/relationships/hyperlink" Target="https://www.tradingview.com/chart/Q1c5VWwD/?symbol=nasdaq%3Ago" TargetMode="External" Id="rId110"/><Relationship Type="http://schemas.openxmlformats.org/officeDocument/2006/relationships/hyperlink" Target="https://www.tradingview.com/chart/Q1c5VWwD/?symbol=nyse%3Ainsw" TargetMode="External" Id="rId111"/><Relationship Type="http://schemas.openxmlformats.org/officeDocument/2006/relationships/hyperlink" Target="https://www.tradingview.com/chart/Q1c5VWwD/?symbol=nyse%3Ahpq" TargetMode="External" Id="rId112"/><Relationship Type="http://schemas.openxmlformats.org/officeDocument/2006/relationships/hyperlink" Target="https://www.tradingview.com/chart/Q1c5VWwD/?symbol=nasdaq%3Afrd" TargetMode="External" Id="rId113"/><Relationship Type="http://schemas.openxmlformats.org/officeDocument/2006/relationships/hyperlink" Target="https://www.tradingview.com/chart/Q1c5VWwD/?symbol=nyse%3Afds" TargetMode="External" Id="rId114"/><Relationship Type="http://schemas.openxmlformats.org/officeDocument/2006/relationships/hyperlink" Target="https://www.tradingview.com/chart/Q1c5VWwD/?symbol=nyse%3Ahp" TargetMode="External" Id="rId115"/><Relationship Type="http://schemas.openxmlformats.org/officeDocument/2006/relationships/hyperlink" Target="https://www.tradingview.com/chart/Q1c5VWwD/?symbol=nyse%3Aadt" TargetMode="External" Id="rId116"/><Relationship Type="http://schemas.openxmlformats.org/officeDocument/2006/relationships/hyperlink" Target="https://www.tradingview.com/chart/Q1c5VWwD/?symbol=nasdaq%3Atmus" TargetMode="External" Id="rId117"/><Relationship Type="http://schemas.openxmlformats.org/officeDocument/2006/relationships/hyperlink" Target="https://www.tradingview.com/chart/Q1c5VWwD/?symbol=nyse%3Acop" TargetMode="External" Id="rId118"/><Relationship Type="http://schemas.openxmlformats.org/officeDocument/2006/relationships/hyperlink" Target="https://www.tradingview.com/chart/Q1c5VWwD/?symbol=nasdaq%3Aitic" TargetMode="External" Id="rId119"/><Relationship Type="http://schemas.openxmlformats.org/officeDocument/2006/relationships/hyperlink" Target="https://www.tradingview.com/chart/Q1c5VWwD/?symbol=nasdaq%3Ameta" TargetMode="External" Id="rId120"/><Relationship Type="http://schemas.openxmlformats.org/officeDocument/2006/relationships/hyperlink" Target="https://www.tradingview.com/chart/Q1c5VWwD/?symbol=nasdaq%3Alilak" TargetMode="External" Id="rId121"/><Relationship Type="http://schemas.openxmlformats.org/officeDocument/2006/relationships/hyperlink" Target="https://www.tradingview.com/chart/Q1c5VWwD/?symbol=nasdaq%3Asrpt" TargetMode="External" Id="rId122"/><Relationship Type="http://schemas.openxmlformats.org/officeDocument/2006/relationships/hyperlink" Target="https://www.tradingview.com/chart/Q1c5VWwD/?symbol=nasdaq%3Asenea" TargetMode="External" Id="rId123"/><Relationship Type="http://schemas.openxmlformats.org/officeDocument/2006/relationships/hyperlink" Target="https://www.tradingview.com/chart/Q1c5VWwD/?symbol=nyse%3Ahal" TargetMode="External" Id="rId124"/><Relationship Type="http://schemas.openxmlformats.org/officeDocument/2006/relationships/hyperlink" Target="https://www.tradingview.com/chart/Q1c5VWwD/?symbol=nasdaq%3Acoke" TargetMode="External" Id="rId125"/><Relationship Type="http://schemas.openxmlformats.org/officeDocument/2006/relationships/hyperlink" Target="https://www.tradingview.com/chart/Q1c5VWwD/?symbol=nyse%3Abmnr" TargetMode="External" Id="rId126"/><Relationship Type="http://schemas.openxmlformats.org/officeDocument/2006/relationships/hyperlink" Target="https://www.tradingview.com/chart/Q1c5VWwD/?symbol=nyse%3Adg" TargetMode="External" Id="rId127"/><Relationship Type="http://schemas.openxmlformats.org/officeDocument/2006/relationships/hyperlink" Target="https://www.tradingview.com/chart/Q1c5VWwD/?symbol=nasdaq%3Aabat" TargetMode="External" Id="rId128"/><Relationship Type="http://schemas.openxmlformats.org/officeDocument/2006/relationships/hyperlink" Target="https://www.tradingview.com/chart/Q1c5VWwD/?symbol=nasdaq%3Aimmx" TargetMode="External" Id="rId129"/><Relationship Type="http://schemas.openxmlformats.org/officeDocument/2006/relationships/hyperlink" Target="https://www.tradingview.com/chart/Q1c5VWwD/?symbol=nasdaq%3Apahc" TargetMode="External" Id="rId130"/><Relationship Type="http://schemas.openxmlformats.org/officeDocument/2006/relationships/hyperlink" Target="https://www.tradingview.com/chart/Q1c5VWwD/?symbol=nyse%3Aoii" TargetMode="External" Id="rId131"/><Relationship Type="http://schemas.openxmlformats.org/officeDocument/2006/relationships/hyperlink" Target="https://www.tradingview.com/chart/Q1c5VWwD/?symbol=nyse%3Anue" TargetMode="External" Id="rId132"/><Relationship Type="http://schemas.openxmlformats.org/officeDocument/2006/relationships/hyperlink" Target="https://www.tradingview.com/chart/Q1c5VWwD/?symbol=nyse%3Atalo" TargetMode="External" Id="rId133"/><Relationship Type="http://schemas.openxmlformats.org/officeDocument/2006/relationships/hyperlink" Target="https://www.tradingview.com/chart/Q1c5VWwD/?symbol=nasdaq%3Apesi" TargetMode="External" Id="rId134"/><Relationship Type="http://schemas.openxmlformats.org/officeDocument/2006/relationships/hyperlink" Target="https://www.tradingview.com/chart/Q1c5VWwD/?symbol=nasdaq%3Adbx" TargetMode="External" Id="rId135"/><Relationship Type="http://schemas.openxmlformats.org/officeDocument/2006/relationships/hyperlink" Target="https://www.tradingview.com/chart/Q1c5VWwD/?symbol=nyse%3Abill" TargetMode="External" Id="rId136"/><Relationship Type="http://schemas.openxmlformats.org/officeDocument/2006/relationships/hyperlink" Target="https://www.tradingview.com/chart/Q1c5VWwD/?symbol=nasdaq%3Aospn" TargetMode="External" Id="rId137"/><Relationship Type="http://schemas.openxmlformats.org/officeDocument/2006/relationships/hyperlink" Target="https://www.tradingview.com/chart/Q1c5VWwD/?symbol=nyse%3Aestc" TargetMode="External" Id="rId138"/><Relationship Type="http://schemas.openxmlformats.org/officeDocument/2006/relationships/hyperlink" Target="https://www.tradingview.com/chart/Q1c5VWwD/?symbol=nyse%3Aadm" TargetMode="External" Id="rId139"/><Relationship Type="http://schemas.openxmlformats.org/officeDocument/2006/relationships/hyperlink" Target="https://www.tradingview.com/chart/Q1c5VWwD/?symbol=nasdaq%3Aswks" TargetMode="External" Id="rId140"/><Relationship Type="http://schemas.openxmlformats.org/officeDocument/2006/relationships/hyperlink" Target="https://www.tradingview.com/chart/Q1c5VWwD/?symbol=nyse%3Apr" TargetMode="External" Id="rId141"/><Relationship Type="http://schemas.openxmlformats.org/officeDocument/2006/relationships/hyperlink" Target="https://www.tradingview.com/chart/Q1c5VWwD/?symbol=nasdaq%3Aulta" TargetMode="External" Id="rId142"/><Relationship Type="http://schemas.openxmlformats.org/officeDocument/2006/relationships/hyperlink" Target="https://www.tradingview.com/chart/Q1c5VWwD/?symbol=nyse%3Aapo" TargetMode="External" Id="rId143"/><Relationship Type="http://schemas.openxmlformats.org/officeDocument/2006/relationships/hyperlink" Target="https://www.tradingview.com/chart/Q1c5VWwD/?symbol=nasdaq%3Atsla" TargetMode="External" Id="rId144"/><Relationship Type="http://schemas.openxmlformats.org/officeDocument/2006/relationships/hyperlink" Target="https://www.tradingview.com/chart/Q1c5VWwD/?symbol=nyse%3Aooma" TargetMode="External" Id="rId145"/><Relationship Type="http://schemas.openxmlformats.org/officeDocument/2006/relationships/hyperlink" Target="https://www.tradingview.com/chart/Q1c5VWwD/?symbol=nyse%3Atdw" TargetMode="External" Id="rId146"/><Relationship Type="http://schemas.openxmlformats.org/officeDocument/2006/relationships/hyperlink" Target="https://www.tradingview.com/chart/Q1c5VWwD/?symbol=nasdaq%3Acenx" TargetMode="External" Id="rId147"/><Relationship Type="http://schemas.openxmlformats.org/officeDocument/2006/relationships/hyperlink" Target="https://www.tradingview.com/chart/Q1c5VWwD/?symbol=nyse%3Afet" TargetMode="External" Id="rId148"/><Relationship Type="http://schemas.openxmlformats.org/officeDocument/2006/relationships/hyperlink" Target="https://www.tradingview.com/chart/Q1c5VWwD/?symbol=nasdaq%3Asail" TargetMode="External" Id="rId149"/><Relationship Type="http://schemas.openxmlformats.org/officeDocument/2006/relationships/hyperlink" Target="https://www.tradingview.com/chart/Q1c5VWwD/?symbol=nyse%3Aanf" TargetMode="External" Id="rId150"/><Relationship Type="http://schemas.openxmlformats.org/officeDocument/2006/relationships/hyperlink" Target="https://www.tradingview.com/chart/Q1c5VWwD/?symbol=nyse%3Adan" TargetMode="External" Id="rId151"/><Relationship Type="http://schemas.openxmlformats.org/officeDocument/2006/relationships/hyperlink" Target="https://www.tradingview.com/chart/Q1c5VWwD/?symbol=nasdaq%3Akura" TargetMode="External" Id="rId152"/><Relationship Type="http://schemas.openxmlformats.org/officeDocument/2006/relationships/hyperlink" Target="https://www.tradingview.com/chart/Q1c5VWwD/?symbol=nasdaq%3Afive" TargetMode="External" Id="rId153"/><Relationship Type="http://schemas.openxmlformats.org/officeDocument/2006/relationships/hyperlink" Target="https://www.tradingview.com/chart/Q1c5VWwD/?symbol=nasdaq%3Arxst" TargetMode="External" Id="rId154"/><Relationship Type="http://schemas.openxmlformats.org/officeDocument/2006/relationships/hyperlink" Target="https://www.tradingview.com/chart/Q1c5VWwD/?symbol=nyse%3Aamt" TargetMode="External" Id="rId155"/><Relationship Type="http://schemas.openxmlformats.org/officeDocument/2006/relationships/hyperlink" Target="https://www.tradingview.com/chart/Q1c5VWwD/?symbol=nyse%3Asnow" TargetMode="External" Id="rId156"/><Relationship Type="http://schemas.openxmlformats.org/officeDocument/2006/relationships/hyperlink" Target="https://www.tradingview.com/chart/Q1c5VWwD/?symbol=nasdaq%3Acnxn" TargetMode="External" Id="rId157"/><Relationship Type="http://schemas.openxmlformats.org/officeDocument/2006/relationships/hyperlink" Target="https://www.tradingview.com/chart/Q1c5VWwD/?symbol=nyse%3Aowl" TargetMode="External" Id="rId1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10MA Uptrend Watchlist — 全部 158 隻的營收及營利情況 R1.00</t>
        </is>
      </c>
    </row>
    <row r="2">
      <c r="A2" s="2" t="inlineStr">
        <is>
          <t>編製日期 2026-09-07 ｜ 名單來源: 10MA Uptrend Watchlist R12（2026-09-04 收盤，158 隻） ｜ 格式沿用 AI_Growth_Breakeven_Watchlist_R7</t>
        </is>
      </c>
    </row>
    <row r="3">
      <c r="A3" s="2" t="inlineStr"/>
    </row>
    <row r="4">
      <c r="A4" s="3" t="inlineStr">
        <is>
          <t>【本表與 R7 的關係】</t>
        </is>
      </c>
    </row>
    <row r="5">
      <c r="A5" s="2" t="inlineStr">
        <is>
          <t>• 欄位、配色、營利三行拆解（淨利｜經常｜一次）、分級與五個分頁全部沿用 R7；只係換咗名單同數據來源。</t>
        </is>
      </c>
    </row>
    <row r="6">
      <c r="A6" s="2" t="inlineStr">
        <is>
          <t>• R7 嘅名單係「AI／高增長、虧損收窄接近轉正」42 隻；本表係 10MA 上升趨勢篩選出嚟嘅 158 隻，多數本身已經盈利，所以分級定義由「距離轉正幾遠」改為「盈利質素」（見下）。</t>
        </is>
      </c>
    </row>
    <row r="7">
      <c r="A7" s="2" t="inlineStr"/>
    </row>
    <row r="8">
      <c r="A8" s="3" t="inlineStr">
        <is>
          <t>【數據來源同口徑】</t>
        </is>
      </c>
    </row>
    <row r="9">
      <c r="A9" s="2" t="inlineStr">
        <is>
          <t>• 全部數字嚟自 Yahoo Finance 季度損益表（由 GitHub Actions runner 抓取；容器本身封鎖 Yahoo）。158/158 隻有完整季度損益表。</t>
        </is>
      </c>
    </row>
    <row r="10">
      <c r="A10" s="2" t="inlineStr">
        <is>
          <t>• 營收四欄 = 最近四個已公布財季（Q-3 → Q0），純數字、單位百萬，幣別見 F 欄，季度對照見 G 欄（逐隻列明係邊四個期間）。</t>
        </is>
      </c>
    </row>
    <row r="11">
      <c r="A11" s="2" t="inlineStr">
        <is>
          <t>• 營利三行： 淨利 = GAAP 歸屬普通股東淨利 ｜ 經常 = Yahoo「Normalized Income」（剔除一次性項目及其稅影響後的淨利），後面附埋當季營運利潤 ｜ 一次 = Yahoo「Total Unusual Items」。</t>
        </is>
      </c>
    </row>
    <row r="12">
      <c r="A12" s="2" t="inlineStr">
        <is>
          <t>• 「一次」欄有三種寫法：實數（該季確有一次性項目）、「無重大」（Yahoo 報零或金額細過淨利 2%）、「待核實」（Yahoo 根本冇呢一行，唔可以當作乾淨）。本表 102/158 隻有一次性項目數據、158/158 隻有經常性淨利。</t>
        </is>
      </c>
    </row>
    <row r="13">
      <c r="A13" s="2" t="inlineStr">
        <is>
          <t>• 下季營收／營利預測 = Yahoo 分析員一致預期（+1Q），附分析員人數；冇覆蓋嘅寫「—」。</t>
        </is>
      </c>
    </row>
    <row r="14">
      <c r="A14" s="2" t="inlineStr">
        <is>
          <t>• 金融股（銀行／保險／BDC／資產管理，本表 12 隻）Yahoo 根本冇公布「營運利潤」呢一行，所以佢哋嘅經常性基準改用「稅前利潤」，格內同軌跡欄都寫明「稅前」，唔會同其他股嘅營運利潤率混淆。</t>
        </is>
      </c>
    </row>
    <row r="15">
      <c r="A15" s="2" t="inlineStr">
        <is>
          <t>• Yahoo 有時會為啱啱公布業績嘅公司開咗一欄但未填數（營收／營運／稅前／淨利全部零或空）。呢類空欄已剔除（116 隻遇到），所以 Q0 一定係最新一個真正有數字嘅財季。至於臨床階段生物科技股嗰啲真係零收入、有虧損嘅季度，係真實數字，會照樣顯示 0.0。</t>
        </is>
      </c>
    </row>
    <row r="16">
      <c r="A16" s="2" t="inlineStr">
        <is>
          <t>• 兩個「口徑警告」直接寫喺格入面：L 欄「⚠口徑與財報不同」（15 隻）= 分析員收入預期同 Yahoo 財報收入行差過 40%，多數係 BDC／保險（Yahoo 嘅收入行淨咗投資損益）或者剛完成收購；Q 欄「⚠non-GAAP（帳面仍虧損）」（17 隻）= 分析員報 non-GAAP EPS 為正，但 M–P 欄嘅 GAAP 淨利仍然係負 —— 兩個數字唔同口徑，唔可以直接對比。</t>
        </is>
      </c>
    </row>
    <row r="17">
      <c r="A17" s="2" t="inlineStr"/>
    </row>
    <row r="18">
      <c r="A18" s="3" t="inlineStr">
        <is>
          <t>【同 R7 嘅一個重要分別 — 一次性項目冇逐項讀財報】</t>
        </is>
      </c>
    </row>
    <row r="19">
      <c r="A19" s="2" t="inlineStr">
        <is>
          <t>R7 嘅 R 欄係人手讀每間公司財報後寫出嚟（資產出售 / 減值 / 仲裁 / 稅務評估，同埋「會否重複」嘅判斷）。本表第一版只取得金額，未逐項讀原文，所以：金額係實數，但「性質」同「會否重複」一律列「待核實」。</t>
        </is>
      </c>
    </row>
    <row r="20">
      <c r="A20" s="2" t="inlineStr">
        <is>
          <t>要做到 R7 嗰種逐項拆解，需要逐隻公司讀季報原文 —— 158 隻嘅工作量，可以分批做，講一聲就開始。</t>
        </is>
      </c>
    </row>
    <row r="21">
      <c r="A21" s="2" t="inlineStr"/>
    </row>
    <row r="22">
      <c r="A22" s="3" t="inlineStr">
        <is>
          <t>【分級定義（本表版本，經常性口徑）】</t>
        </is>
      </c>
    </row>
    <row r="23">
      <c r="A23" s="2" t="inlineStr">
        <is>
          <t>A（61 隻）營運利潤為正、帳面≈經常（一次性佔淨利 &lt;10%）、按年未倒退 —— 盈利乾淨。</t>
        </is>
      </c>
    </row>
    <row r="24">
      <c r="A24" s="2" t="inlineStr">
        <is>
          <t>B（65 隻）營運利潤為正，但帳面含重大一次性項目（≥10%），或營運利潤按年倒退 —— 盈利成立但有雜質／動能轉弱。</t>
        </is>
      </c>
    </row>
    <row r="25">
      <c r="A25" s="2" t="inlineStr">
        <is>
          <t>C（15 隻）營運仍然虧損，但四季軌跡收窄中。</t>
        </is>
      </c>
    </row>
    <row r="26">
      <c r="A26" s="2" t="inlineStr">
        <is>
          <t>D（17 隻）營運虧損而且未見收窄。</t>
        </is>
      </c>
    </row>
    <row r="27">
      <c r="A27" s="2" t="inlineStr">
        <is>
          <t>A/B 之間嘅界線同 R7 一樣，係睇「帳面 = 經常」與否，而唔係睇賺幾多。</t>
        </is>
      </c>
    </row>
    <row r="28">
      <c r="A28" s="2" t="inlineStr"/>
    </row>
    <row r="29">
      <c r="A29" s="3" t="inlineStr">
        <is>
          <t>【會計年度提示】</t>
        </is>
      </c>
    </row>
    <row r="30">
      <c r="A30" s="2" t="inlineStr">
        <is>
          <t>各公司財政年度唔同（例如 EXPD、PAYX 等），所以 G 欄逐隻列明四個期間嘅實際月份；跨公司比較前請先睇 G 欄。</t>
        </is>
      </c>
    </row>
    <row r="31">
      <c r="A31" s="2" t="inlineStr">
        <is>
          <t>按年（YoY）一律同「上年同一個財季」比較（即 Q0 vs Q-4），唔係同上一季比。</t>
        </is>
      </c>
    </row>
    <row r="32">
      <c r="A32" s="2" t="inlineStr"/>
    </row>
    <row r="33">
      <c r="A33" s="3" t="inlineStr">
        <is>
          <t>【圖例】</t>
        </is>
      </c>
    </row>
    <row r="34">
      <c r="A34" s="2" t="inlineStr">
        <is>
          <t>營收欄：正體黑字 = 財報公布數字（本表全部為公布數字，冇推算）。</t>
        </is>
      </c>
    </row>
    <row r="35">
      <c r="A35" s="2" t="inlineStr">
        <is>
          <t>級欄底色：綠 = A ｜ 藍 = B ｜ 黃 = C ｜ 橙 = D。</t>
        </is>
      </c>
    </row>
    <row r="36">
      <c r="A36" s="2" t="inlineStr"/>
    </row>
    <row r="37">
      <c r="A37" s="2" t="inlineStr">
        <is>
          <t>【免責】本表為公開資料整理與研究參考，非投資建議。財務數據以各公司正式公告為準；Yahoo 嘅口徑（尤其 Normalized Income 同 Unusual Items）同公司自己嘅 non-GAAP 口徑可能有出入。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5" customWidth="1" min="4" max="4"/>
    <col width="14" customWidth="1" min="5" max="5"/>
    <col width="9" customWidth="1" min="6" max="6"/>
    <col width="26" customWidth="1" min="7" max="7"/>
    <col width="11" customWidth="1" min="8" max="8"/>
    <col width="11" customWidth="1" min="9" max="9"/>
    <col width="11" customWidth="1" min="10" max="10"/>
    <col width="12" customWidth="1" min="11" max="11"/>
    <col width="15" customWidth="1" min="12" max="12"/>
    <col width="16" customWidth="1" min="13" max="13"/>
    <col width="16" customWidth="1" min="14" max="14"/>
    <col width="16" customWidth="1" min="15" max="15"/>
    <col width="17" customWidth="1" min="16" max="16"/>
    <col width="15" customWidth="1" min="17" max="17"/>
    <col width="34" customWidth="1" min="18" max="18"/>
    <col width="30" customWidth="1" min="19" max="19"/>
    <col width="32" customWidth="1" min="20" max="20"/>
    <col width="5" customWidth="1" min="21" max="21"/>
    <col width="12" customWidth="1" min="22" max="22"/>
  </cols>
  <sheetData>
    <row r="1" ht="51.75" customHeight="1">
      <c r="A1" s="4" t="inlineStr">
        <is>
          <t>#</t>
        </is>
      </c>
      <c r="B1" s="5" t="inlineStr">
        <is>
          <t>美股 Ticker
(按=開圖)</t>
        </is>
      </c>
      <c r="C1" s="5" t="inlineStr">
        <is>
          <t>港股代號
(按=開圖)</t>
        </is>
      </c>
      <c r="D1" s="4" t="inlineStr">
        <is>
          <t>公司</t>
        </is>
      </c>
      <c r="E1" s="4" t="inlineStr">
        <is>
          <t>主題 / 行業</t>
        </is>
      </c>
      <c r="F1" s="6" t="inlineStr">
        <is>
          <t>幣別</t>
        </is>
      </c>
      <c r="G1" s="6" t="inlineStr">
        <is>
          <t>季度對照 (Q-3 → Q0)</t>
        </is>
      </c>
      <c r="H1" s="6" t="inlineStr">
        <is>
          <t>營收 Q-3
(百萬)</t>
        </is>
      </c>
      <c r="I1" s="6" t="inlineStr">
        <is>
          <t>營收 Q-2
(百萬)</t>
        </is>
      </c>
      <c r="J1" s="6" t="inlineStr">
        <is>
          <t>營收 Q-1
(百萬)</t>
        </is>
      </c>
      <c r="K1" s="6" t="inlineStr">
        <is>
          <t>營收 Q0 最新
(百萬)</t>
        </is>
      </c>
      <c r="L1" s="6" t="inlineStr">
        <is>
          <t>下季營收預測</t>
        </is>
      </c>
      <c r="M1" s="7" t="inlineStr">
        <is>
          <t>營利 Q-3
淨利｜經常｜一次</t>
        </is>
      </c>
      <c r="N1" s="7" t="inlineStr">
        <is>
          <t>營利 Q-2
淨利｜經常｜一次</t>
        </is>
      </c>
      <c r="O1" s="7" t="inlineStr">
        <is>
          <t>營利 Q-1
淨利｜經常｜一次</t>
        </is>
      </c>
      <c r="P1" s="7" t="inlineStr">
        <is>
          <t>營利 Q0 (最新)
淨利｜經常｜一次</t>
        </is>
      </c>
      <c r="Q1" s="7" t="inlineStr">
        <is>
          <t>下季營利預測</t>
        </is>
      </c>
      <c r="R1" s="8" t="inlineStr">
        <is>
          <t>【一次性項目清單】性質・會否重複</t>
        </is>
      </c>
      <c r="S1" s="8" t="inlineStr">
        <is>
          <t>【經常性軌跡】剔除一次性後的真實方向</t>
        </is>
      </c>
      <c r="T1" s="9" t="inlineStr">
        <is>
          <t>判斷結論 (盈利質素 / 轉正距離)</t>
        </is>
      </c>
      <c r="U1" s="4" t="inlineStr">
        <is>
          <t>級</t>
        </is>
      </c>
      <c r="V1" s="4" t="inlineStr">
        <is>
          <t>資料截至</t>
        </is>
      </c>
    </row>
    <row r="2" ht="62" customHeight="1">
      <c r="A2" s="10" t="n">
        <v>1</v>
      </c>
      <c r="B2" s="11" t="inlineStr">
        <is>
          <t>ITGR</t>
        </is>
      </c>
      <c r="C2" s="10" t="inlineStr">
        <is>
          <t>—</t>
        </is>
      </c>
      <c r="D2" s="12" t="inlineStr">
        <is>
          <t>Integer Holdings Corporation</t>
        </is>
      </c>
      <c r="E2" s="12" t="inlineStr">
        <is>
          <t>醫療保健／Medical Devices</t>
        </is>
      </c>
      <c r="F2" s="13" t="inlineStr">
        <is>
          <t>USD</t>
        </is>
      </c>
      <c r="G2" s="14" t="inlineStr">
        <is>
          <t>Q3-25(25年9月) / Q4-25(25年12月) / Q1-26(26年3月) / Q2-26(26年6月)</t>
        </is>
      </c>
      <c r="H2" s="15" t="n">
        <v>467.7</v>
      </c>
      <c r="I2" s="15" t="n">
        <v>472.1</v>
      </c>
      <c r="J2" s="15" t="n">
        <v>439.6</v>
      </c>
      <c r="K2" s="15" t="n">
        <v>464.1</v>
      </c>
      <c r="L2" s="16" t="inlineStr">
        <is>
          <t>465M
按年 -1%
(10 位分析師)</t>
        </is>
      </c>
      <c r="M2" s="17" t="inlineStr">
        <is>
          <t>淨利 +39.7
經常 +46.9｜營運 +65.9
一次: -8.3 (稅影響 -1.1)</t>
        </is>
      </c>
      <c r="N2" s="17" t="inlineStr">
        <is>
          <t>淨利 +48.6
經常 +50.5｜營運 +54.5
一次: -2.4 (稅影響 -0.5)</t>
        </is>
      </c>
      <c r="O2" s="17" t="inlineStr">
        <is>
          <t>淨利 +16.5
經常 +20.2｜營運 +35.5
一次: -4.6 (稅影響 -0.9)</t>
        </is>
      </c>
      <c r="P2" s="18" t="inlineStr">
        <is>
          <t>淨利 +23.6
經常 +29.9｜營運 +44.6
一次: -10.4 (稅影響 -4.2)</t>
        </is>
      </c>
      <c r="Q2" s="16" t="inlineStr">
        <is>
          <t>EPS +1.79
按年 +2%
(9 位分析師)</t>
        </is>
      </c>
      <c r="R2" s="16" t="inlineStr">
        <is>
          <t>最新季一次性項目 -10.4（支出／減值，令帳面難看），佔帳面淨利 44%。明細性質（資產出售／減值／訴訟／稅務）需查財報原文，本表只取金額，會否重複列「待核實」。</t>
        </is>
      </c>
      <c r="S2" s="16" t="inlineStr">
        <is>
          <t>營運利潤四季：+65.9 → +54.5 → +35.5 → +44.6；按年 -29%；剔除一次性後淨利 +29.9（帳面 +23.6，差 +6.3）；營運利潤率 9.6%。</t>
        </is>
      </c>
      <c r="T2" s="16" t="inlineStr">
        <is>
          <t>營運層面盈利，但帳面淨利含重大一次性項目，經常性口徑要另計。　收入按年 -2.6%　淨利率 5.1%　淨利按年 -36%。</t>
        </is>
      </c>
      <c r="U2" s="19" t="inlineStr">
        <is>
          <t>B</t>
        </is>
      </c>
      <c r="V2" s="10" t="inlineStr">
        <is>
          <t>Q2-26</t>
        </is>
      </c>
    </row>
    <row r="3" ht="62" customHeight="1">
      <c r="A3" s="10" t="n">
        <v>2</v>
      </c>
      <c r="B3" s="11" t="inlineStr">
        <is>
          <t>DMLP</t>
        </is>
      </c>
      <c r="C3" s="10" t="inlineStr">
        <is>
          <t>—</t>
        </is>
      </c>
      <c r="D3" s="12" t="inlineStr">
        <is>
          <t>Dorchester Minerals, L.P.</t>
        </is>
      </c>
      <c r="E3" s="12" t="inlineStr">
        <is>
          <t>能源／Oil &amp; Gas E&amp;P</t>
        </is>
      </c>
      <c r="F3" s="13" t="inlineStr">
        <is>
          <t>USD</t>
        </is>
      </c>
      <c r="G3" s="14" t="inlineStr">
        <is>
          <t>Q3-25(25年9月) / Q4-25(25年12月) / Q1-26(26年3月) / Q2-26(26年6月)</t>
        </is>
      </c>
      <c r="H3" s="15" t="n">
        <v>35.4</v>
      </c>
      <c r="I3" s="15" t="n">
        <v>41.9</v>
      </c>
      <c r="J3" s="15" t="n">
        <v>58.9</v>
      </c>
      <c r="K3" s="15" t="n">
        <v>56.1</v>
      </c>
      <c r="L3" s="16" t="inlineStr">
        <is>
          <t>無收入</t>
        </is>
      </c>
      <c r="M3" s="17" t="inlineStr">
        <is>
          <t>淨利 +10.8
經常 +11.2｜營運 +11.2
一次: 待核實</t>
        </is>
      </c>
      <c r="N3" s="17" t="inlineStr">
        <is>
          <t>淨利 +15.6
經常 +16.2｜營運 +16.2
一次: 待核實</t>
        </is>
      </c>
      <c r="O3" s="17" t="inlineStr">
        <is>
          <t>淨利 +28.3
經常 +29.1｜營運 +29.1
一次: 待核實</t>
        </is>
      </c>
      <c r="P3" s="18" t="inlineStr">
        <is>
          <t>淨利 +29.8
經常 +30.9｜營運 +30.9
一次: 待核實</t>
        </is>
      </c>
      <c r="Q3" s="16" t="inlineStr">
        <is>
          <t>—</t>
        </is>
      </c>
      <c r="R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3" s="16" t="inlineStr">
        <is>
          <t>營運利潤四季：+11.2 → +16.2 → +29.1 → +30.9；按年 +150%；剔除一次性後淨利 +30.9（帳面 +29.8，差 +1.0）；營運利潤率 55.1%。</t>
        </is>
      </c>
      <c r="T3" s="16" t="inlineStr">
        <is>
          <t>營運利潤為正、帳面≈經常、按年未倒退 —— 盈利乾淨。　收入按年 +73.1%　淨利率 53.2%　淨利按年 +151%。</t>
        </is>
      </c>
      <c r="U3" s="20" t="inlineStr">
        <is>
          <t>A</t>
        </is>
      </c>
      <c r="V3" s="10" t="inlineStr">
        <is>
          <t>Q2-26</t>
        </is>
      </c>
    </row>
    <row r="4" ht="62" customHeight="1">
      <c r="A4" s="10" t="n">
        <v>3</v>
      </c>
      <c r="B4" s="11" t="inlineStr">
        <is>
          <t>MAN</t>
        </is>
      </c>
      <c r="C4" s="10" t="inlineStr">
        <is>
          <t>—</t>
        </is>
      </c>
      <c r="D4" s="12" t="inlineStr">
        <is>
          <t>ManpowerGroup Inc.</t>
        </is>
      </c>
      <c r="E4" s="12" t="inlineStr">
        <is>
          <t>非必需消費／Staffing &amp; Employment Services</t>
        </is>
      </c>
      <c r="F4" s="13" t="inlineStr">
        <is>
          <t>USD</t>
        </is>
      </c>
      <c r="G4" s="14" t="inlineStr">
        <is>
          <t>Q3-25(25年9月) / Q4-25(25年12月) / Q1-26(26年3月) / Q2-26(26年6月)</t>
        </is>
      </c>
      <c r="H4" s="15" t="n">
        <v>4634.4</v>
      </c>
      <c r="I4" s="15" t="n">
        <v>4713.1</v>
      </c>
      <c r="J4" s="15" t="n">
        <v>4510.4</v>
      </c>
      <c r="K4" s="15" t="n">
        <v>4860.2</v>
      </c>
      <c r="L4" s="16" t="inlineStr">
        <is>
          <t>4,915M
按年 +4%
(7 位分析師)</t>
        </is>
      </c>
      <c r="M4" s="17" t="inlineStr">
        <is>
          <t>淨利 +18.0
經常 +19.9｜營運 +66.6
一次: -2.4 (稅影響 -0.5)</t>
        </is>
      </c>
      <c r="N4" s="17" t="inlineStr">
        <is>
          <t>淨利 +30.2
經常 +31.7｜營運 +80.6
一次: -1.9 (稅影響 -0.4)</t>
        </is>
      </c>
      <c r="O4" s="17" t="inlineStr">
        <is>
          <t>淨利 +2.5
經常 +2.9｜營運 +28.3
一次: 無重大</t>
        </is>
      </c>
      <c r="P4" s="18" t="inlineStr">
        <is>
          <t>淨利 +53.5
經常 +54.5｜營運 +112.0
一次: -1.7 (稅影響 -0.7)</t>
        </is>
      </c>
      <c r="Q4" s="16" t="inlineStr">
        <is>
          <t>EPS +1.11
按年 +20%
(10 位分析師)</t>
        </is>
      </c>
      <c r="R4" s="16" t="inlineStr">
        <is>
          <t>最新季一次性項目 -1.7（支出／減值，令帳面難看），佔帳面淨利 3%。明細性質（資產出售／減值／訴訟／稅務）需查財報原文，本表只取金額，會否重複列「待核實」。</t>
        </is>
      </c>
      <c r="S4" s="16" t="inlineStr">
        <is>
          <t>營運利潤四季：+66.6 → +80.6 → +28.3 → +112.0；按年 +77%；剔除一次性後淨利 +54.5（帳面 +53.5，差 +1.0）；營運利潤率 2.3%。</t>
        </is>
      </c>
      <c r="T4" s="16" t="inlineStr">
        <is>
          <t>營運利潤為正、帳面≈經常、按年未倒退 —— 盈利乾淨。　收入按年 +7.5%　淨利率 1.1%　淨利按年 +180%。</t>
        </is>
      </c>
      <c r="U4" s="20" t="inlineStr">
        <is>
          <t>A</t>
        </is>
      </c>
      <c r="V4" s="10" t="inlineStr">
        <is>
          <t>Q2-26</t>
        </is>
      </c>
    </row>
    <row r="5" ht="62" customHeight="1">
      <c r="A5" s="10" t="n">
        <v>4</v>
      </c>
      <c r="B5" s="11" t="inlineStr">
        <is>
          <t>SMTI</t>
        </is>
      </c>
      <c r="C5" s="10" t="inlineStr">
        <is>
          <t>—</t>
        </is>
      </c>
      <c r="D5" s="12" t="inlineStr">
        <is>
          <t>Sanara MedTech Inc.</t>
        </is>
      </c>
      <c r="E5" s="12" t="inlineStr">
        <is>
          <t>醫療保健／Medical Instruments &amp; Supplies</t>
        </is>
      </c>
      <c r="F5" s="13" t="inlineStr">
        <is>
          <t>USD</t>
        </is>
      </c>
      <c r="G5" s="14" t="inlineStr">
        <is>
          <t>Q3-25(25年9月) / Q4-25(25年12月) / Q1-26(26年3月) / Q2-26(26年6月)</t>
        </is>
      </c>
      <c r="H5" s="15" t="n">
        <v>26.3</v>
      </c>
      <c r="I5" s="15" t="n">
        <v>27.5</v>
      </c>
      <c r="J5" s="15" t="n">
        <v>27.8</v>
      </c>
      <c r="K5" s="15" t="n">
        <v>28.1</v>
      </c>
      <c r="L5" s="16" t="inlineStr">
        <is>
          <t>31M
按年 +13%
(1 位分析師)</t>
        </is>
      </c>
      <c r="M5" s="17" t="inlineStr">
        <is>
          <t>淨利 -30.4
經常 +0.8｜營運 +2.9
一次: 無重大</t>
        </is>
      </c>
      <c r="N5" s="17" t="inlineStr">
        <is>
          <t>淨利 -1.6
經常 +0.7｜營運 +2.9
一次: -1.8</t>
        </is>
      </c>
      <c r="O5" s="17" t="inlineStr">
        <is>
          <t>淨利 +0.5
經常 ≈帳面｜營運 +2.6
一次: 無重大</t>
        </is>
      </c>
      <c r="P5" s="18" t="inlineStr">
        <is>
          <t>淨利 -0.5
經常 ≈帳面｜營運 +1.8
一次: 無重大</t>
        </is>
      </c>
      <c r="Q5" s="16" t="inlineStr">
        <is>
          <t>EPS +0.18
(1 位分析師)
⚠non-GAAP
(帳面仍虧損)</t>
        </is>
      </c>
      <c r="R5" s="16" t="inlineStr">
        <is>
          <t>無重大一次性項目（Yahoo「Total Unusual Items」為零或極小）；帳面淨利≈經常性淨利。</t>
        </is>
      </c>
      <c r="S5" s="16" t="inlineStr">
        <is>
          <t>營運利潤四季：+2.9 → +2.9 → +2.6 → +1.8；按年 -28%；剔除一次性後與帳面一致；營運利潤率 6.3%。</t>
        </is>
      </c>
      <c r="T5" s="16" t="inlineStr">
        <is>
          <t>營運利潤為正但按年倒退，盈利仍在但動能轉弱。　收入按年 +9.0%　淨利率 -1.6%　淨利按年 +78%。</t>
        </is>
      </c>
      <c r="U5" s="19" t="inlineStr">
        <is>
          <t>B</t>
        </is>
      </c>
      <c r="V5" s="10" t="inlineStr">
        <is>
          <t>Q2-26</t>
        </is>
      </c>
    </row>
    <row r="6" ht="62" customHeight="1">
      <c r="A6" s="10" t="n">
        <v>5</v>
      </c>
      <c r="B6" s="11" t="inlineStr">
        <is>
          <t>INSP</t>
        </is>
      </c>
      <c r="C6" s="10" t="inlineStr">
        <is>
          <t>—</t>
        </is>
      </c>
      <c r="D6" s="12" t="inlineStr">
        <is>
          <t>Inspire Medical Systems, Inc.</t>
        </is>
      </c>
      <c r="E6" s="12" t="inlineStr">
        <is>
          <t>醫療保健／Medical Devices</t>
        </is>
      </c>
      <c r="F6" s="13" t="inlineStr">
        <is>
          <t>USD</t>
        </is>
      </c>
      <c r="G6" s="14" t="inlineStr">
        <is>
          <t>Q3-25(25年9月) / Q4-25(25年12月) / Q1-26(26年3月) / Q2-26(26年6月)</t>
        </is>
      </c>
      <c r="H6" s="15" t="n">
        <v>224.5</v>
      </c>
      <c r="I6" s="15" t="n">
        <v>269.1</v>
      </c>
      <c r="J6" s="15" t="n">
        <v>204.6</v>
      </c>
      <c r="K6" s="15" t="n">
        <v>200.6</v>
      </c>
      <c r="L6" s="16" t="inlineStr">
        <is>
          <t>244M
按年 -9%
(16 位分析師)</t>
        </is>
      </c>
      <c r="M6" s="17" t="inlineStr">
        <is>
          <t>淨利 +9.9
經常 ≈帳面｜營運 +9.6
一次: 待核實</t>
        </is>
      </c>
      <c r="N6" s="17" t="inlineStr">
        <is>
          <t>淨利 +136.1
經常 ≈帳面｜營運 +46.1
一次: 待核實</t>
        </is>
      </c>
      <c r="O6" s="17" t="inlineStr">
        <is>
          <t>淨利 -11.3
經常 ≈帳面｜營運 -1.1
一次: 待核實</t>
        </is>
      </c>
      <c r="P6" s="18" t="inlineStr">
        <is>
          <t>淨利 +0.3
經常 ≈帳面｜營運 -0.5
一次: 待核實</t>
        </is>
      </c>
      <c r="Q6" s="16" t="inlineStr">
        <is>
          <t>EPS +0.91
按年 -45%
(13 位分析師)</t>
        </is>
      </c>
      <c r="R6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6" s="16" t="inlineStr">
        <is>
          <t>營運利潤四季：+9.6 → +46.1 → -1.1 → -0.5；按年 +84%；剔除一次性後與帳面一致；營運利潤率 -0.3%。</t>
        </is>
      </c>
      <c r="T6" s="16" t="inlineStr">
        <is>
          <t>營運虧損且未見收窄。　收入按年 -7.6%　淨利率 0.2%　淨利按年 +109%。</t>
        </is>
      </c>
      <c r="U6" s="21" t="inlineStr">
        <is>
          <t>D</t>
        </is>
      </c>
      <c r="V6" s="10" t="inlineStr">
        <is>
          <t>Q2-26</t>
        </is>
      </c>
    </row>
    <row r="7" ht="62" customHeight="1">
      <c r="A7" s="10" t="n">
        <v>6</v>
      </c>
      <c r="B7" s="11" t="inlineStr">
        <is>
          <t>EXPD</t>
        </is>
      </c>
      <c r="C7" s="10" t="inlineStr">
        <is>
          <t>—</t>
        </is>
      </c>
      <c r="D7" s="12" t="inlineStr">
        <is>
          <t>Expeditors International of Washington, Inc.</t>
        </is>
      </c>
      <c r="E7" s="12" t="inlineStr">
        <is>
          <t>工業／Integrated Freight &amp; Logistics</t>
        </is>
      </c>
      <c r="F7" s="13" t="inlineStr">
        <is>
          <t>USD</t>
        </is>
      </c>
      <c r="G7" s="14" t="inlineStr">
        <is>
          <t>Q3-25(25年9月) / Q4-25(25年12月) / Q1-26(26年3月) / Q2-26(26年6月)</t>
        </is>
      </c>
      <c r="H7" s="15" t="n">
        <v>2894.8</v>
      </c>
      <c r="I7" s="15" t="n">
        <v>2856</v>
      </c>
      <c r="J7" s="15" t="n">
        <v>2783</v>
      </c>
      <c r="K7" s="15" t="n">
        <v>3502.3</v>
      </c>
      <c r="L7" s="16" t="inlineStr">
        <is>
          <t>3,275M
按年 +15%
(11 位分析師)</t>
        </is>
      </c>
      <c r="M7" s="17" t="inlineStr">
        <is>
          <t>淨利 +222.3
經常 ≈帳面｜營運 +288.0
一次: 待核實</t>
        </is>
      </c>
      <c r="N7" s="17" t="inlineStr">
        <is>
          <t>淨利 +200.7
經常 ≈帳面｜營運 +250.9
一次: 待核實</t>
        </is>
      </c>
      <c r="O7" s="17" t="inlineStr">
        <is>
          <t>淨利 +229.6
經常 ≈帳面｜營運 +294.8
一次: 待核實</t>
        </is>
      </c>
      <c r="P7" s="18" t="inlineStr">
        <is>
          <t>淨利 +266.2
經常 ≈帳面｜營運 +349.6
一次: 待核實</t>
        </is>
      </c>
      <c r="Q7" s="16" t="inlineStr">
        <is>
          <t>EPS +1.86
按年 +25%
(13 位分析師)</t>
        </is>
      </c>
      <c r="R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7" s="16" t="inlineStr">
        <is>
          <t>營運利潤四季：+288.0 → +250.9 → +294.8 → +349.6；按年 +41%；剔除一次性後與帳面一致；營運利潤率 10.0%。</t>
        </is>
      </c>
      <c r="T7" s="16" t="inlineStr">
        <is>
          <t>營運利潤為正、帳面≈經常、按年未倒退 —— 盈利乾淨。　收入按年 +32.1%　淨利率 7.6%　淨利按年 +45%。</t>
        </is>
      </c>
      <c r="U7" s="20" t="inlineStr">
        <is>
          <t>A</t>
        </is>
      </c>
      <c r="V7" s="10" t="inlineStr">
        <is>
          <t>Q2-26</t>
        </is>
      </c>
    </row>
    <row r="8" ht="62" customHeight="1">
      <c r="A8" s="10" t="n">
        <v>7</v>
      </c>
      <c r="B8" s="11" t="inlineStr">
        <is>
          <t>ARCC</t>
        </is>
      </c>
      <c r="C8" s="10" t="inlineStr">
        <is>
          <t>—</t>
        </is>
      </c>
      <c r="D8" s="12" t="inlineStr">
        <is>
          <t>Ares Capital Corporation</t>
        </is>
      </c>
      <c r="E8" s="12" t="inlineStr">
        <is>
          <t>金融／Asset Management</t>
        </is>
      </c>
      <c r="F8" s="13" t="inlineStr">
        <is>
          <t>USD</t>
        </is>
      </c>
      <c r="G8" s="14" t="inlineStr">
        <is>
          <t>Q3-25(25年9月) / Q4-25(25年12月) / Q1-26(26年3月) / Q2-26(26年6月)</t>
        </is>
      </c>
      <c r="H8" s="15" t="n">
        <v>460</v>
      </c>
      <c r="I8" s="15" t="n">
        <v>344</v>
      </c>
      <c r="J8" s="15" t="n">
        <v>151</v>
      </c>
      <c r="K8" s="15" t="n">
        <v>219</v>
      </c>
      <c r="L8" s="16" t="inlineStr">
        <is>
          <t>789M
按年 -1%
(11 位分析師)
⚠口徑與財報不同</t>
        </is>
      </c>
      <c r="M8" s="17" t="inlineStr">
        <is>
          <t>淨利 +404.0
經常 ≈帳面｜稅前 +431.0
一次: 待核實</t>
        </is>
      </c>
      <c r="N8" s="17" t="inlineStr">
        <is>
          <t>淨利 +293.0
經常 ≈帳面｜稅前 +319.0
一次: 待核實</t>
        </is>
      </c>
      <c r="O8" s="17" t="inlineStr">
        <is>
          <t>淨利 +92.0
經常 ≈帳面｜稅前 +124.0
一次: 待核實</t>
        </is>
      </c>
      <c r="P8" s="18" t="inlineStr">
        <is>
          <t>淨利 +171.0
經常 ≈帳面｜稅前 +190.0
一次: 待核實</t>
        </is>
      </c>
      <c r="Q8" s="16" t="inlineStr">
        <is>
          <t>EPS +0.48
按年 -3%
(14 位分析師)</t>
        </is>
      </c>
      <c r="R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8" s="16" t="inlineStr">
        <is>
          <t>稅前利潤四季：+431.0 → +319.0 → +124.0 → +190.0；按年 -50%；剔除一次性後與帳面一致；稅前利潤率 86.8%；（Yahoo 冇為呢類金融股公布營運利潤，改用稅前利潤做經常性基準）。</t>
        </is>
      </c>
      <c r="T8" s="16" t="inlineStr">
        <is>
          <t>稅前利潤為正但按年倒退，盈利仍在但動能轉弱。　收入按年 -46.2%　淨利率 78.1%　淨利按年 -53%。</t>
        </is>
      </c>
      <c r="U8" s="19" t="inlineStr">
        <is>
          <t>B</t>
        </is>
      </c>
      <c r="V8" s="10" t="inlineStr">
        <is>
          <t>Q2-26</t>
        </is>
      </c>
    </row>
    <row r="9" ht="62" customHeight="1">
      <c r="A9" s="10" t="n">
        <v>8</v>
      </c>
      <c r="B9" s="11" t="inlineStr">
        <is>
          <t>VZ</t>
        </is>
      </c>
      <c r="C9" s="10" t="inlineStr">
        <is>
          <t>—</t>
        </is>
      </c>
      <c r="D9" s="12" t="inlineStr">
        <is>
          <t>Verizon Communications Inc.</t>
        </is>
      </c>
      <c r="E9" s="12" t="inlineStr">
        <is>
          <t>通訊服務／Telecom Services</t>
        </is>
      </c>
      <c r="F9" s="13" t="inlineStr">
        <is>
          <t>USD</t>
        </is>
      </c>
      <c r="G9" s="14" t="inlineStr">
        <is>
          <t>Q3-25(25年9月) / Q4-25(25年12月) / Q1-26(26年3月) / Q2-26(26年6月)</t>
        </is>
      </c>
      <c r="H9" s="15" t="n">
        <v>33821</v>
      </c>
      <c r="I9" s="15" t="n">
        <v>36381</v>
      </c>
      <c r="J9" s="15" t="n">
        <v>34440</v>
      </c>
      <c r="K9" s="15" t="n">
        <v>34253</v>
      </c>
      <c r="L9" s="16" t="inlineStr">
        <is>
          <t>37,360M
按年 +3%
(14 位分析師)</t>
        </is>
      </c>
      <c r="M9" s="17" t="inlineStr">
        <is>
          <t>淨利 +4,950.0
經常 +4,877.1｜營運 +8,105.0
一次: 無重大</t>
        </is>
      </c>
      <c r="N9" s="17" t="inlineStr">
        <is>
          <t>淨利 +2,342.0
經常 +2,265.3｜營運 +5,004.0
一次: +96.0 (稅影響 +19.3)</t>
        </is>
      </c>
      <c r="O9" s="17" t="inlineStr">
        <is>
          <t>淨利 +5,045.0
經常 +4,972.9｜營運 +8,242.0
一次: 無重大</t>
        </is>
      </c>
      <c r="P9" s="18" t="inlineStr">
        <is>
          <t>淨利 +3,835.0
經常 +3,721.2｜營運 +7,179.0
一次: +152.0 (稅影響 +38.2)</t>
        </is>
      </c>
      <c r="Q9" s="16" t="inlineStr">
        <is>
          <t>EPS +1.15
按年 +5%
(15 位分析師)</t>
        </is>
      </c>
      <c r="R9" s="16" t="inlineStr">
        <is>
          <t>最新季一次性項目 +152.0（收益，令帳面好看），佔帳面淨利 4%。明細性質（資產出售／減值／訴訟／稅務）需查財報原文，本表只取金額，會否重複列「待核實」。</t>
        </is>
      </c>
      <c r="S9" s="16" t="inlineStr">
        <is>
          <t>營運利潤四季：+8,105.0 → +5,004.0 → +8,242.0 → +7,179.0；按年 -12%；剔除一次性後淨利 +3,721.2（帳面 +3,835.0，差 -113.8）；營運利潤率 21.0%。</t>
        </is>
      </c>
      <c r="T9" s="16" t="inlineStr">
        <is>
          <t>營運利潤為正但按年倒退，盈利仍在但動能轉弱。　收入按年 -0.7%　淨利率 11.2%　淨利按年 -23%。</t>
        </is>
      </c>
      <c r="U9" s="19" t="inlineStr">
        <is>
          <t>B</t>
        </is>
      </c>
      <c r="V9" s="10" t="inlineStr">
        <is>
          <t>Q2-26</t>
        </is>
      </c>
    </row>
    <row r="10" ht="62" customHeight="1">
      <c r="A10" s="10" t="n">
        <v>9</v>
      </c>
      <c r="B10" s="11" t="inlineStr">
        <is>
          <t>RRC</t>
        </is>
      </c>
      <c r="C10" s="10" t="inlineStr">
        <is>
          <t>—</t>
        </is>
      </c>
      <c r="D10" s="12" t="inlineStr">
        <is>
          <t>Range Resources Corporation</t>
        </is>
      </c>
      <c r="E10" s="12" t="inlineStr">
        <is>
          <t>能源／Oil &amp; Gas E&amp;P</t>
        </is>
      </c>
      <c r="F10" s="13" t="inlineStr">
        <is>
          <t>USD</t>
        </is>
      </c>
      <c r="G10" s="14" t="inlineStr">
        <is>
          <t>Q3-25(25年9月) / Q4-25(25年12月) / Q1-26(26年3月) / Q2-26(26年6月)</t>
        </is>
      </c>
      <c r="H10" s="15" t="n">
        <v>655.3</v>
      </c>
      <c r="I10" s="15" t="n">
        <v>786.9</v>
      </c>
      <c r="J10" s="15" t="n">
        <v>1067.5</v>
      </c>
      <c r="K10" s="15" t="n">
        <v>759.6</v>
      </c>
      <c r="L10" s="16" t="inlineStr">
        <is>
          <t>948M
按年 +16%
(7 位分析師)</t>
        </is>
      </c>
      <c r="M10" s="17" t="inlineStr">
        <is>
          <t>淨利 +144.1
經常 +81.4｜營運 +126.6
一次: +80.0 (稅影響 +17.0)</t>
        </is>
      </c>
      <c r="N10" s="17" t="inlineStr">
        <is>
          <t>淨利 +178.9
經常 +164.0｜營運 +240.3
一次: +20.0 (稅影響 +4.8)</t>
        </is>
      </c>
      <c r="O10" s="17" t="inlineStr">
        <is>
          <t>淨利 +341.2
經常 +386.3｜營運 +511.6
一次: -56.6 (稅影響 -12.0)</t>
        </is>
      </c>
      <c r="P10" s="18" t="inlineStr">
        <is>
          <t>淨利 +195.1
經常 +148.6｜營運 +201.4
一次: +59.4 (稅影響 +12.7)</t>
        </is>
      </c>
      <c r="Q10" s="16" t="inlineStr">
        <is>
          <t>EPS +1.03
按年 +25%
(19 位分析師)</t>
        </is>
      </c>
      <c r="R10" s="16" t="inlineStr">
        <is>
          <t>最新季一次性項目 +59.4（收益，令帳面好看），佔帳面淨利 30%。明細性質（資產出售／減值／訴訟／稅務）需查財報原文，本表只取金額，會否重複列「待核實」。</t>
        </is>
      </c>
      <c r="S10" s="16" t="inlineStr">
        <is>
          <t>營運利潤四季：+126.6 → +240.3 → +511.6 → +201.4；按年 +7%；剔除一次性後淨利 +148.6（帳面 +195.1，差 -46.5）；營運利潤率 26.5%。</t>
        </is>
      </c>
      <c r="T10" s="16" t="inlineStr">
        <is>
          <t>營運層面盈利，但帳面淨利含重大一次性項目，經常性口徑要另計。　收入按年 +8.6%　淨利率 25.7%　淨利按年 -18%。</t>
        </is>
      </c>
      <c r="U10" s="19" t="inlineStr">
        <is>
          <t>B</t>
        </is>
      </c>
      <c r="V10" s="10" t="inlineStr">
        <is>
          <t>Q2-26</t>
        </is>
      </c>
    </row>
    <row r="11" ht="62" customHeight="1">
      <c r="A11" s="10" t="n">
        <v>10</v>
      </c>
      <c r="B11" s="11" t="inlineStr">
        <is>
          <t>RCEL</t>
        </is>
      </c>
      <c r="C11" s="10" t="inlineStr">
        <is>
          <t>—</t>
        </is>
      </c>
      <c r="D11" s="12" t="inlineStr">
        <is>
          <t>AVITA Medical, Inc.</t>
        </is>
      </c>
      <c r="E11" s="12" t="inlineStr">
        <is>
          <t>醫療保健／Medical Devices</t>
        </is>
      </c>
      <c r="F11" s="13" t="inlineStr">
        <is>
          <t>USD</t>
        </is>
      </c>
      <c r="G11" s="14" t="inlineStr">
        <is>
          <t>Q3-25(25年9月) / Q4-25(25年12月) / Q1-26(26年3月) / Q2-26(26年6月)</t>
        </is>
      </c>
      <c r="H11" s="15" t="n">
        <v>17.1</v>
      </c>
      <c r="I11" s="15" t="n">
        <v>17.6</v>
      </c>
      <c r="J11" s="15" t="n">
        <v>19.3</v>
      </c>
      <c r="K11" s="15" t="n">
        <v>21.7</v>
      </c>
      <c r="L11" s="16" t="inlineStr">
        <is>
          <t>34M
按年 +36%
(5 位分析師)
⚠口徑與財報不同</t>
        </is>
      </c>
      <c r="M11" s="17" t="inlineStr">
        <is>
          <t>淨利 -13.2
經常 ≈帳面｜營運 -9.2
一次: 待核實</t>
        </is>
      </c>
      <c r="N11" s="17" t="inlineStr">
        <is>
          <t>淨利 -11.6
經常 ≈帳面｜營運 -10.4
一次: 待核實</t>
        </is>
      </c>
      <c r="O11" s="17" t="inlineStr">
        <is>
          <t>淨利 -10.6
經常 ≈帳面｜營運 -8.8
一次: 待核實</t>
        </is>
      </c>
      <c r="P11" s="18" t="inlineStr">
        <is>
          <t>淨利 -7.7
經常 ≈帳面｜營運 -6.9
一次: 待核實</t>
        </is>
      </c>
      <c r="Q11" s="16" t="inlineStr">
        <is>
          <t>EPS -0.24
按年 +55%
(4 位分析師)</t>
        </is>
      </c>
      <c r="R1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1" s="16" t="inlineStr">
        <is>
          <t>營運利潤四季：-9.2 → -10.4 → -8.8 → -6.9；按年 +39%；剔除一次性後與帳面一致；營運利潤率 -31.6%。</t>
        </is>
      </c>
      <c r="T11" s="16" t="inlineStr">
        <is>
          <t>營運仍虧損，但四季軌跡收窄中。　收入按年 +17.8%　淨利率 -35.3%　淨利按年 +23%。</t>
        </is>
      </c>
      <c r="U11" s="22" t="inlineStr">
        <is>
          <t>C</t>
        </is>
      </c>
      <c r="V11" s="10" t="inlineStr">
        <is>
          <t>Q2-26</t>
        </is>
      </c>
    </row>
    <row r="12" ht="62" customHeight="1">
      <c r="A12" s="10" t="n">
        <v>11</v>
      </c>
      <c r="B12" s="11" t="inlineStr">
        <is>
          <t>OGN</t>
        </is>
      </c>
      <c r="C12" s="10" t="inlineStr">
        <is>
          <t>—</t>
        </is>
      </c>
      <c r="D12" s="12" t="inlineStr">
        <is>
          <t>Organon &amp; Co.</t>
        </is>
      </c>
      <c r="E12" s="12" t="inlineStr">
        <is>
          <t>醫療保健／Drug Manufacturers - General</t>
        </is>
      </c>
      <c r="F12" s="13" t="inlineStr">
        <is>
          <t>USD</t>
        </is>
      </c>
      <c r="G12" s="14" t="inlineStr">
        <is>
          <t>Q3-25(25年9月) / Q4-25(25年12月) / Q1-26(26年3月) / Q2-26(26年6月)</t>
        </is>
      </c>
      <c r="H12" s="15" t="n">
        <v>1602</v>
      </c>
      <c r="I12" s="15" t="n">
        <v>1507</v>
      </c>
      <c r="J12" s="15" t="n">
        <v>1460</v>
      </c>
      <c r="K12" s="15" t="n">
        <v>1558</v>
      </c>
      <c r="L12" s="16" t="inlineStr">
        <is>
          <t>1,551M
按年 +3%
(2 位分析師)</t>
        </is>
      </c>
      <c r="M12" s="17" t="inlineStr">
        <is>
          <t>淨利 +160.0
經常 +171.2｜營運 +358.0
一次: -17.0 (稅影響 -5.8)</t>
        </is>
      </c>
      <c r="N12" s="17" t="inlineStr">
        <is>
          <t>淨利 -205.0
經常 +39.9｜營運 +217.0
一次: -310.0 (稅影響 -65.1)</t>
        </is>
      </c>
      <c r="O12" s="17" t="inlineStr">
        <is>
          <t>淨利 +146.0
經常 +172.0｜營運 +266.0
一次: -38.0 (稅影響 -12.0)</t>
        </is>
      </c>
      <c r="P12" s="18" t="inlineStr">
        <is>
          <t>淨利 +108.0
經常 +109.8｜營運 +323.0
一次: -3.0 (稅影響 -1.2)</t>
        </is>
      </c>
      <c r="Q12" s="16" t="inlineStr">
        <is>
          <t>EPS +0.70
按年 +12%
(5 位分析師)</t>
        </is>
      </c>
      <c r="R12" s="16" t="inlineStr">
        <is>
          <t>最新季一次性項目 -3.0（支出／減值，令帳面難看），佔帳面淨利 3%。明細性質（資產出售／減值／訴訟／稅務）需查財報原文，本表只取金額，會否重複列「待核實」。</t>
        </is>
      </c>
      <c r="S12" s="16" t="inlineStr">
        <is>
          <t>營運利潤四季：+358.0 → +217.0 → +266.0 → +323.0；按年 -1%；剔除一次性後淨利 +109.8（帳面 +108.0，差 +1.8）；營運利潤率 20.7%。</t>
        </is>
      </c>
      <c r="T12" s="16" t="inlineStr">
        <is>
          <t>營運利潤為正但按年倒退，盈利仍在但動能轉弱。　收入按年 -2.3%　淨利率 6.9%　淨利按年 -26%。</t>
        </is>
      </c>
      <c r="U12" s="19" t="inlineStr">
        <is>
          <t>B</t>
        </is>
      </c>
      <c r="V12" s="10" t="inlineStr">
        <is>
          <t>Q2-26</t>
        </is>
      </c>
    </row>
    <row r="13" ht="62" customHeight="1">
      <c r="A13" s="10" t="n">
        <v>12</v>
      </c>
      <c r="B13" s="11" t="inlineStr">
        <is>
          <t>FORR</t>
        </is>
      </c>
      <c r="C13" s="10" t="inlineStr">
        <is>
          <t>—</t>
        </is>
      </c>
      <c r="D13" s="12" t="inlineStr">
        <is>
          <t>Forrester Research, Inc.</t>
        </is>
      </c>
      <c r="E13" s="12" t="inlineStr">
        <is>
          <t>工業／Consulting Services</t>
        </is>
      </c>
      <c r="F13" s="13" t="inlineStr">
        <is>
          <t>USD</t>
        </is>
      </c>
      <c r="G13" s="14" t="inlineStr">
        <is>
          <t>Q3-25(25年9月) / Q4-25(25年12月) / Q1-26(26年3月) / Q2-26(26年6月)</t>
        </is>
      </c>
      <c r="H13" s="15" t="n">
        <v>94.3</v>
      </c>
      <c r="I13" s="15" t="n">
        <v>101.1</v>
      </c>
      <c r="J13" s="15" t="n">
        <v>85.5</v>
      </c>
      <c r="K13" s="15" t="n">
        <v>100.2</v>
      </c>
      <c r="L13" s="16" t="inlineStr">
        <is>
          <t>88M
按年 -13%
(2 位分析師)</t>
        </is>
      </c>
      <c r="M13" s="17" t="inlineStr">
        <is>
          <t>淨利 -2.1
經常 ≈帳面｜營運 -2.1
一次: 無重大</t>
        </is>
      </c>
      <c r="N13" s="17" t="inlineStr">
        <is>
          <t>淨利 -33.9
經常 -0.0｜營運 -0.3
一次: -36.5 (稅影響 -2.7)</t>
        </is>
      </c>
      <c r="O13" s="17" t="inlineStr">
        <is>
          <t>淨利 -21.8
經常 -14.1｜營運 -5.7
一次: -12.9 (稅影響 -5.2)</t>
        </is>
      </c>
      <c r="P13" s="18" t="inlineStr">
        <is>
          <t>淨利 +15.3
經常 +16.5｜營運 +4.6
一次: -2.1 (稅影響 -0.8)</t>
        </is>
      </c>
      <c r="Q13" s="16" t="inlineStr">
        <is>
          <t>EPS +0.20
按年 +21%
(2 位分析師)</t>
        </is>
      </c>
      <c r="R13" s="16" t="inlineStr">
        <is>
          <t>最新季一次性項目 -2.1（支出／減值，令帳面難看），佔帳面淨利 14%。明細性質（資產出售／減值／訴訟／稅務）需查財報原文，本表只取金額，會否重複列「待核實」。</t>
        </is>
      </c>
      <c r="S13" s="16" t="inlineStr">
        <is>
          <t>營運利潤四季：-2.1 → -0.3 → -5.7 → +4.6；按年 -39%；剔除一次性後淨利 +16.5（帳面 +15.3，差 +1.2）；營運利潤率 4.6%。</t>
        </is>
      </c>
      <c r="T13" s="16" t="inlineStr">
        <is>
          <t>營運層面盈利，但帳面淨利含重大一次性項目，經常性口徑要另計。　收入按年 -10.2%　淨利率 15.2%　淨利按年 +290%。</t>
        </is>
      </c>
      <c r="U13" s="19" t="inlineStr">
        <is>
          <t>B</t>
        </is>
      </c>
      <c r="V13" s="10" t="inlineStr">
        <is>
          <t>Q2-26</t>
        </is>
      </c>
    </row>
    <row r="14" ht="62" customHeight="1">
      <c r="A14" s="10" t="n">
        <v>13</v>
      </c>
      <c r="B14" s="11" t="inlineStr">
        <is>
          <t>AVTR</t>
        </is>
      </c>
      <c r="C14" s="10" t="inlineStr">
        <is>
          <t>—</t>
        </is>
      </c>
      <c r="D14" s="12" t="inlineStr">
        <is>
          <t>Avantor, Inc.</t>
        </is>
      </c>
      <c r="E14" s="12" t="inlineStr">
        <is>
          <t>工業／Medical Instruments &amp; Supplies</t>
        </is>
      </c>
      <c r="F14" s="13" t="inlineStr">
        <is>
          <t>USD</t>
        </is>
      </c>
      <c r="G14" s="14" t="inlineStr">
        <is>
          <t>Q3-25(25年9月) / Q4-25(25年12月) / Q1-26(26年3月) / Q2-26(26年6月)</t>
        </is>
      </c>
      <c r="H14" s="15" t="n">
        <v>1623.8</v>
      </c>
      <c r="I14" s="15" t="n">
        <v>1663.6</v>
      </c>
      <c r="J14" s="15" t="n">
        <v>1581.4</v>
      </c>
      <c r="K14" s="15" t="n">
        <v>1692.3</v>
      </c>
      <c r="L14" s="16" t="inlineStr">
        <is>
          <t>1,679M
按年 +1%
(13 位分析師)</t>
        </is>
      </c>
      <c r="M14" s="17" t="inlineStr">
        <is>
          <t>淨利 -711.8
經常 -92.7｜營運 +136.2
一次: -783.7 (稅影響 -164.6)</t>
        </is>
      </c>
      <c r="N14" s="17" t="inlineStr">
        <is>
          <t>淨利 +52.4
經常 +59.9｜營運 +131.5
一次: -11.6 (稅影響 -4.1)</t>
        </is>
      </c>
      <c r="O14" s="17" t="inlineStr">
        <is>
          <t>淨利 +43.3
經常 +43.8｜營運 +99.5
一次: 無重大</t>
        </is>
      </c>
      <c r="P14" s="18" t="inlineStr">
        <is>
          <t>淨利 +38.1
經常 +38.5｜營運 +121.8
一次: 無重大</t>
        </is>
      </c>
      <c r="Q14" s="16" t="inlineStr">
        <is>
          <t>EPS +0.22
按年 +2%
(15 位分析師)</t>
        </is>
      </c>
      <c r="R14" s="16" t="inlineStr">
        <is>
          <t>無重大一次性項目（Yahoo「Total Unusual Items」為零或極小）；帳面淨利≈經常性淨利。</t>
        </is>
      </c>
      <c r="S14" s="16" t="inlineStr">
        <is>
          <t>營運利潤四季：+136.2 → +131.5 → +99.5 → +121.8；按年 -5%；剔除一次性後與帳面一致；營運利潤率 7.2%。</t>
        </is>
      </c>
      <c r="T14" s="16" t="inlineStr">
        <is>
          <t>營運利潤為正但按年倒退，盈利仍在但動能轉弱。　收入按年 +0.5%　淨利率 2.3%　淨利按年 -41%。</t>
        </is>
      </c>
      <c r="U14" s="19" t="inlineStr">
        <is>
          <t>B</t>
        </is>
      </c>
      <c r="V14" s="10" t="inlineStr">
        <is>
          <t>Q2-26</t>
        </is>
      </c>
    </row>
    <row r="15" ht="62" customHeight="1">
      <c r="A15" s="10" t="n">
        <v>14</v>
      </c>
      <c r="B15" s="11" t="inlineStr">
        <is>
          <t>ET</t>
        </is>
      </c>
      <c r="C15" s="10" t="inlineStr">
        <is>
          <t>—</t>
        </is>
      </c>
      <c r="D15" s="12" t="inlineStr">
        <is>
          <t>Energy Transfer LP</t>
        </is>
      </c>
      <c r="E15" s="12" t="inlineStr">
        <is>
          <t>公用事業／Oil &amp; Gas Midstream</t>
        </is>
      </c>
      <c r="F15" s="13" t="inlineStr">
        <is>
          <t>USD</t>
        </is>
      </c>
      <c r="G15" s="14" t="inlineStr">
        <is>
          <t>Q3-25(25年9月) / Q4-25(25年12月) / Q1-26(26年3月) / Q2-26(26年6月)</t>
        </is>
      </c>
      <c r="H15" s="15" t="n">
        <v>19954</v>
      </c>
      <c r="I15" s="15" t="n">
        <v>25320</v>
      </c>
      <c r="J15" s="15" t="n">
        <v>27771</v>
      </c>
      <c r="K15" s="15" t="n">
        <v>34334</v>
      </c>
      <c r="L15" s="16" t="inlineStr">
        <is>
          <t>32,124M
按年 +27%
(7 位分析師)</t>
        </is>
      </c>
      <c r="M15" s="17" t="inlineStr">
        <is>
          <t>淨利 +959.0
經常 +1,031.2｜營運 +2,152.0
一次: 無重大</t>
        </is>
      </c>
      <c r="N15" s="17" t="inlineStr">
        <is>
          <t>淨利 +868.0
經常 +1,179.0｜營運 +2,353.0
一次: -280.0 (稅影響 -29.0)</t>
        </is>
      </c>
      <c r="O15" s="17" t="inlineStr">
        <is>
          <t>淨利 +1,194.0
經常 +1,260.6｜營運 +2,983.0
一次: 無重大</t>
        </is>
      </c>
      <c r="P15" s="18" t="inlineStr">
        <is>
          <t>淨利 +2,027.0
經常 +2,088.0｜營運 +3,574.0
一次: 無重大</t>
        </is>
      </c>
      <c r="Q15" s="16" t="inlineStr">
        <is>
          <t>EPS +0.41
按年 +66%
(8 位分析師)</t>
        </is>
      </c>
      <c r="R15" s="16" t="inlineStr">
        <is>
          <t>無重大一次性項目（Yahoo「Total Unusual Items」為零或極小）；帳面淨利≈經常性淨利。</t>
        </is>
      </c>
      <c r="S15" s="16" t="inlineStr">
        <is>
          <t>營運利潤四季：+2,152.0 → +2,353.0 → +2,983.0 → +3,574.0；按年 +55%；剔除一次性後淨利 +2,088.0（帳面 +2,027.0，差 +61.0）；營運利潤率 10.4%。</t>
        </is>
      </c>
      <c r="T15" s="16" t="inlineStr">
        <is>
          <t>營運利潤為正、帳面≈經常、按年未倒退 —— 盈利乾淨。　收入按年 +78.4%　淨利率 5.9%　淨利按年 +86%。</t>
        </is>
      </c>
      <c r="U15" s="20" t="inlineStr">
        <is>
          <t>A</t>
        </is>
      </c>
      <c r="V15" s="10" t="inlineStr">
        <is>
          <t>Q2-26</t>
        </is>
      </c>
    </row>
    <row r="16" ht="62" customHeight="1">
      <c r="A16" s="10" t="n">
        <v>15</v>
      </c>
      <c r="B16" s="11" t="inlineStr">
        <is>
          <t>HALO</t>
        </is>
      </c>
      <c r="C16" s="10" t="inlineStr">
        <is>
          <t>—</t>
        </is>
      </c>
      <c r="D16" s="12" t="inlineStr">
        <is>
          <t>Halozyme Therapeutics, Inc.</t>
        </is>
      </c>
      <c r="E16" s="12" t="inlineStr">
        <is>
          <t>醫療保健／Biotechnology</t>
        </is>
      </c>
      <c r="F16" s="13" t="inlineStr">
        <is>
          <t>USD</t>
        </is>
      </c>
      <c r="G16" s="14" t="inlineStr">
        <is>
          <t>Q3-25(25年9月) / Q4-25(25年12月) / Q1-26(26年3月) / Q2-26(26年6月)</t>
        </is>
      </c>
      <c r="H16" s="15" t="n">
        <v>354.3</v>
      </c>
      <c r="I16" s="15" t="n">
        <v>451.8</v>
      </c>
      <c r="J16" s="15" t="n">
        <v>376.7</v>
      </c>
      <c r="K16" s="15" t="n">
        <v>481</v>
      </c>
      <c r="L16" s="16" t="inlineStr">
        <is>
          <t>538M
按年 +19%
(6 位分析師)</t>
        </is>
      </c>
      <c r="M16" s="17" t="inlineStr">
        <is>
          <t>淨利 +175.2
經常 +171.0｜營運 +217.9
一次: +5.3 (稅影響 +1.1)</t>
        </is>
      </c>
      <c r="N16" s="17" t="inlineStr">
        <is>
          <t>淨利 -141.6
經常 +124.3｜營運 +240.7
一次: -336.6 (稅影響 -70.7)</t>
        </is>
      </c>
      <c r="O16" s="17" t="inlineStr">
        <is>
          <t>淨利 +150.0
經常 +149.0｜營運 +184.5
一次: 無重大</t>
        </is>
      </c>
      <c r="P16" s="18" t="inlineStr">
        <is>
          <t>淨利 +229.9
經常 +227.6｜營運 +287.7
一次: 無重大</t>
        </is>
      </c>
      <c r="Q16" s="16" t="inlineStr">
        <is>
          <t>EPS +2.59
按年 +1180%
(6 位分析師)</t>
        </is>
      </c>
      <c r="R16" s="16" t="inlineStr">
        <is>
          <t>無重大一次性項目（Yahoo「Total Unusual Items」為零或極小）；帳面淨利≈經常性淨利。</t>
        </is>
      </c>
      <c r="S16" s="16" t="inlineStr">
        <is>
          <t>營運利潤四季：+217.9 → +240.7 → +184.5 → +287.7；按年 +42%；剔除一次性後淨利 +227.6（帳面 +229.9，差 -2.3）；營運利潤率 59.8%。</t>
        </is>
      </c>
      <c r="T16" s="16" t="inlineStr">
        <is>
          <t>營運利潤為正、帳面≈經常、按年未倒退 —— 盈利乾淨。　收入按年 +47.7%　淨利率 47.8%　淨利按年 +39%。</t>
        </is>
      </c>
      <c r="U16" s="20" t="inlineStr">
        <is>
          <t>A</t>
        </is>
      </c>
      <c r="V16" s="10" t="inlineStr">
        <is>
          <t>Q2-26</t>
        </is>
      </c>
    </row>
    <row r="17" ht="62" customHeight="1">
      <c r="A17" s="10" t="n">
        <v>16</v>
      </c>
      <c r="B17" s="11" t="inlineStr">
        <is>
          <t>SSNC</t>
        </is>
      </c>
      <c r="C17" s="10" t="inlineStr">
        <is>
          <t>—</t>
        </is>
      </c>
      <c r="D17" s="12" t="inlineStr">
        <is>
          <t>SS&amp;C Technologies Holdings, Inc.</t>
        </is>
      </c>
      <c r="E17" s="12" t="inlineStr">
        <is>
          <t>科技／Software - Application</t>
        </is>
      </c>
      <c r="F17" s="13" t="inlineStr">
        <is>
          <t>USD</t>
        </is>
      </c>
      <c r="G17" s="14" t="inlineStr">
        <is>
          <t>Q3-25(25年9月) / Q4-25(25年12月) / Q1-26(26年3月) / Q2-26(26年6月)</t>
        </is>
      </c>
      <c r="H17" s="15" t="n">
        <v>1568</v>
      </c>
      <c r="I17" s="15" t="n">
        <v>1653.5</v>
      </c>
      <c r="J17" s="15" t="n">
        <v>1647.1</v>
      </c>
      <c r="K17" s="15" t="n">
        <v>1695.7</v>
      </c>
      <c r="L17" s="16" t="inlineStr">
        <is>
          <t>1,748M
按年 +6%
(8 位分析師)</t>
        </is>
      </c>
      <c r="M17" s="17" t="inlineStr">
        <is>
          <t>淨利 +210.0
經常 +206.6｜營運 +365.7
一次: 無重大</t>
        </is>
      </c>
      <c r="N17" s="17" t="inlineStr">
        <is>
          <t>淨利 +193.1
經常 +206.0｜營運 +368.6
一次: -14.6 (稅影響 -1.7)</t>
        </is>
      </c>
      <c r="O17" s="17" t="inlineStr">
        <is>
          <t>淨利 +226.1
經常 +220.4｜營運 +398.2
一次: +7.6 (稅影響 +1.9)</t>
        </is>
      </c>
      <c r="P17" s="18" t="inlineStr">
        <is>
          <t>淨利 +234.8
經常 ≈帳面｜營運 +417.1
一次: 無重大</t>
        </is>
      </c>
      <c r="Q17" s="16" t="inlineStr">
        <is>
          <t>EPS +1.90
按年 +12%
(9 位分析師)</t>
        </is>
      </c>
      <c r="R17" s="16" t="inlineStr">
        <is>
          <t>無重大一次性項目（Yahoo「Total Unusual Items」為零或極小）；帳面淨利≈經常性淨利。</t>
        </is>
      </c>
      <c r="S17" s="16" t="inlineStr">
        <is>
          <t>營運利潤四季：+365.7 → +368.6 → +398.2 → +417.1；按年 +21%；剔除一次性後與帳面一致；營運利潤率 24.6%。</t>
        </is>
      </c>
      <c r="T17" s="16" t="inlineStr">
        <is>
          <t>營運利潤為正、帳面≈經常、按年未倒退 —— 盈利乾淨。　收入按年 +10.3%　淨利率 13.8%　淨利按年 +30%。</t>
        </is>
      </c>
      <c r="U17" s="20" t="inlineStr">
        <is>
          <t>A</t>
        </is>
      </c>
      <c r="V17" s="10" t="inlineStr">
        <is>
          <t>Q2-26</t>
        </is>
      </c>
    </row>
    <row r="18" ht="62" customHeight="1">
      <c r="A18" s="10" t="n">
        <v>17</v>
      </c>
      <c r="B18" s="11" t="inlineStr">
        <is>
          <t>EOLS</t>
        </is>
      </c>
      <c r="C18" s="10" t="inlineStr">
        <is>
          <t>—</t>
        </is>
      </c>
      <c r="D18" s="12" t="inlineStr">
        <is>
          <t>Evolus, Inc.</t>
        </is>
      </c>
      <c r="E18" s="12" t="inlineStr">
        <is>
          <t xml:space="preserve">醫療保健／Drug Manufacturers - Specialty &amp; </t>
        </is>
      </c>
      <c r="F18" s="13" t="inlineStr">
        <is>
          <t>USD</t>
        </is>
      </c>
      <c r="G18" s="14" t="inlineStr">
        <is>
          <t>Q3-25(25年9月) / Q4-25(25年12月) / Q1-26(26年3月) / Q2-26(26年6月)</t>
        </is>
      </c>
      <c r="H18" s="15" t="n">
        <v>69</v>
      </c>
      <c r="I18" s="15" t="n">
        <v>90.3</v>
      </c>
      <c r="J18" s="15" t="n">
        <v>73.09999999999999</v>
      </c>
      <c r="K18" s="15" t="n">
        <v>84.09999999999999</v>
      </c>
      <c r="L18" s="16" t="inlineStr">
        <is>
          <t>99M
按年 +10%
(6 位分析師)</t>
        </is>
      </c>
      <c r="M18" s="17" t="inlineStr">
        <is>
          <t>淨利 -15.7
經常 -14.6｜營運 -10.2
一次: -1.4 (稅影響 -0.3)</t>
        </is>
      </c>
      <c r="N18" s="17" t="inlineStr">
        <is>
          <t>淨利 +0.1
經常 ≈帳面｜營運 -0.3
一次: 無重大</t>
        </is>
      </c>
      <c r="O18" s="17" t="inlineStr">
        <is>
          <t>淨利 -10.7
經常 ≈帳面｜營運 -6.9
一次: 待核實</t>
        </is>
      </c>
      <c r="P18" s="18" t="inlineStr">
        <is>
          <t>淨利 -8.1
經常 ≈帳面｜營運 -3.3
一次: 待核實</t>
        </is>
      </c>
      <c r="Q18" s="16" t="inlineStr">
        <is>
          <t>EPS +0.04
按年 +228%
(3 位分析師)
⚠non-GAAP
(帳面仍虧損)</t>
        </is>
      </c>
      <c r="R1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8" s="16" t="inlineStr">
        <is>
          <t>營運利潤四季：-10.2 → -0.3 → -6.9 → -3.3；按年 +77%；剔除一次性後與帳面一致；營運利潤率 -3.9%。</t>
        </is>
      </c>
      <c r="T18" s="16" t="inlineStr">
        <is>
          <t>營運仍虧損，但四季軌跡收窄中。　收入按年 +21.2%　淨利率 -9.6%　淨利按年 +53%。</t>
        </is>
      </c>
      <c r="U18" s="22" t="inlineStr">
        <is>
          <t>C</t>
        </is>
      </c>
      <c r="V18" s="10" t="inlineStr">
        <is>
          <t>Q2-26</t>
        </is>
      </c>
    </row>
    <row r="19" ht="62" customHeight="1">
      <c r="A19" s="10" t="n">
        <v>18</v>
      </c>
      <c r="B19" s="11" t="inlineStr">
        <is>
          <t>PAYC</t>
        </is>
      </c>
      <c r="C19" s="10" t="inlineStr">
        <is>
          <t>—</t>
        </is>
      </c>
      <c r="D19" s="12" t="inlineStr">
        <is>
          <t>Paycom Software, Inc.</t>
        </is>
      </c>
      <c r="E19" s="12" t="inlineStr">
        <is>
          <t>科技／Software - Application</t>
        </is>
      </c>
      <c r="F19" s="13" t="inlineStr">
        <is>
          <t>USD</t>
        </is>
      </c>
      <c r="G19" s="14" t="inlineStr">
        <is>
          <t>Q3-25(25年9月) / Q4-25(25年12月) / Q1-26(26年3月) / Q2-26(26年6月)</t>
        </is>
      </c>
      <c r="H19" s="15" t="n">
        <v>493.3</v>
      </c>
      <c r="I19" s="15" t="n">
        <v>544.3</v>
      </c>
      <c r="J19" s="15" t="n">
        <v>571.8</v>
      </c>
      <c r="K19" s="15" t="n">
        <v>531.2</v>
      </c>
      <c r="L19" s="16" t="inlineStr">
        <is>
          <t>570M
按年 +5%
(19 位分析師)</t>
        </is>
      </c>
      <c r="M19" s="17" t="inlineStr">
        <is>
          <t>淨利 +110.7
經常 ≈帳面｜營運 +112.6
一次: 待核實</t>
        </is>
      </c>
      <c r="N19" s="17" t="inlineStr">
        <is>
          <t>淨利 +113.8
經常 ≈帳面｜營運 +157.1
一次: 待核實</t>
        </is>
      </c>
      <c r="O19" s="17" t="inlineStr">
        <is>
          <t>淨利 +155.7
經常 ≈帳面｜營運 +210.1
一次: 待核實</t>
        </is>
      </c>
      <c r="P19" s="18" t="inlineStr">
        <is>
          <t>淨利 +107.4
經常 ≈帳面｜營運 +168.5
一次: 待核實</t>
        </is>
      </c>
      <c r="Q19" s="16" t="inlineStr">
        <is>
          <t>EPS +3.32
按年 +36%
(19 位分析師)</t>
        </is>
      </c>
      <c r="R19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9" s="16" t="inlineStr">
        <is>
          <t>營運利潤四季：+112.6 → +157.1 → +210.1 → +168.5；按年 +50%；剔除一次性後與帳面一致；營運利潤率 31.7%。</t>
        </is>
      </c>
      <c r="T19" s="16" t="inlineStr">
        <is>
          <t>營運利潤為正、帳面≈經常、按年未倒退 —— 盈利乾淨。　收入按年 +9.8%　淨利率 20.2%　淨利按年 +20%。</t>
        </is>
      </c>
      <c r="U19" s="20" t="inlineStr">
        <is>
          <t>A</t>
        </is>
      </c>
      <c r="V19" s="10" t="inlineStr">
        <is>
          <t>Q2-26</t>
        </is>
      </c>
    </row>
    <row r="20" ht="62" customHeight="1">
      <c r="A20" s="10" t="n">
        <v>19</v>
      </c>
      <c r="B20" s="11" t="inlineStr">
        <is>
          <t>GLIBK</t>
        </is>
      </c>
      <c r="C20" s="10" t="inlineStr">
        <is>
          <t>—</t>
        </is>
      </c>
      <c r="D20" s="12" t="inlineStr">
        <is>
          <t>Liberty Capital Corporation</t>
        </is>
      </c>
      <c r="E20" s="12" t="inlineStr">
        <is>
          <t>電訊／Telecom Services</t>
        </is>
      </c>
      <c r="F20" s="13" t="inlineStr">
        <is>
          <t>USD</t>
        </is>
      </c>
      <c r="G20" s="14" t="inlineStr">
        <is>
          <t>Q2-25(25年6月) / Q4-25(25年12月) / Q1-26(26年3月) / Q2-26(26年6月)</t>
        </is>
      </c>
      <c r="H20" s="15" t="n">
        <v>238</v>
      </c>
      <c r="I20" s="15" t="n">
        <v>239</v>
      </c>
      <c r="J20" s="15" t="n">
        <v>232</v>
      </c>
      <c r="K20" s="15" t="n">
        <v>238</v>
      </c>
      <c r="L20" s="16" t="inlineStr">
        <is>
          <t>271M
按年 +3%
(1 位分析師)</t>
        </is>
      </c>
      <c r="M20" s="17" t="inlineStr">
        <is>
          <t>淨利 +27.0
經常 ≈帳面｜營運 +51.0
一次: 無重大</t>
        </is>
      </c>
      <c r="N20" s="17" t="inlineStr">
        <is>
          <t>淨利 +16.0
經常 ≈帳面｜營運 +32.0
一次: 無重大</t>
        </is>
      </c>
      <c r="O20" s="17" t="inlineStr">
        <is>
          <t>淨利 +18.0
經常 ≈帳面｜營運 +33.0
一次: 待核實</t>
        </is>
      </c>
      <c r="P20" s="18" t="inlineStr">
        <is>
          <t>淨利 +16.0
經常 +18.8｜營運 +33.0
一次: -4.0 (稅影響 -1.2)</t>
        </is>
      </c>
      <c r="Q20" s="16" t="inlineStr">
        <is>
          <t>—</t>
        </is>
      </c>
      <c r="R20" s="16" t="inlineStr">
        <is>
          <t>最新季一次性項目 -4.0（支出／減值，令帳面難看），佔帳面淨利 25%。明細性質（資產出售／減值／訴訟／稅務）需查財報原文，本表只取金額，會否重複列「待核實」。</t>
        </is>
      </c>
      <c r="S20" s="16" t="inlineStr">
        <is>
          <t>營運利潤四季：+51.0 → +32.0 → +33.0 → +33.0；按年 -43%；剔除一次性後淨利 +18.8（帳面 +16.0，差 +2.8）；營運利潤率 13.9%。</t>
        </is>
      </c>
      <c r="T20" s="16" t="inlineStr">
        <is>
          <t>營運層面盈利，但帳面淨利含重大一次性項目，經常性口徑要另計。　收入按年 -1.7%　淨利率 6.7%　淨利按年 -54%。</t>
        </is>
      </c>
      <c r="U20" s="19" t="inlineStr">
        <is>
          <t>B</t>
        </is>
      </c>
      <c r="V20" s="10" t="inlineStr">
        <is>
          <t>Q2-26</t>
        </is>
      </c>
    </row>
    <row r="21" ht="62" customHeight="1">
      <c r="A21" s="10" t="n">
        <v>20</v>
      </c>
      <c r="B21" s="11" t="inlineStr">
        <is>
          <t>PNRG</t>
        </is>
      </c>
      <c r="C21" s="10" t="inlineStr">
        <is>
          <t>—</t>
        </is>
      </c>
      <c r="D21" s="12" t="inlineStr">
        <is>
          <t>PrimeEnergy Resources Corporation</t>
        </is>
      </c>
      <c r="E21" s="12" t="inlineStr">
        <is>
          <t>能源／Oil &amp; Gas E&amp;P</t>
        </is>
      </c>
      <c r="F21" s="13" t="inlineStr">
        <is>
          <t>USD</t>
        </is>
      </c>
      <c r="G21" s="14" t="inlineStr">
        <is>
          <t>Q3-25(25年9月) / Q4-25(25年12月) / Q1-26(26年3月) / Q2-26(26年6月)</t>
        </is>
      </c>
      <c r="H21" s="15" t="n">
        <v>44.7</v>
      </c>
      <c r="I21" s="15" t="n">
        <v>50.1</v>
      </c>
      <c r="J21" s="15" t="n">
        <v>41.3</v>
      </c>
      <c r="K21" s="15" t="n">
        <v>40.2</v>
      </c>
      <c r="L21" s="16" t="inlineStr">
        <is>
          <t>51M
(1 位分析師)</t>
        </is>
      </c>
      <c r="M21" s="17" t="inlineStr">
        <is>
          <t>淨利 +10.6
經常 ≈帳面｜營運 +12.5
一次: 無重大</t>
        </is>
      </c>
      <c r="N21" s="17" t="inlineStr">
        <is>
          <t>淨利 +3.4
經常 +2.6｜營運 +1.1
一次: 無重大</t>
        </is>
      </c>
      <c r="O21" s="17" t="inlineStr">
        <is>
          <t>淨利 +4.3
經常 +5.9｜營運 +7.4
一次: -1.9 (稅影響 -0.3)</t>
        </is>
      </c>
      <c r="P21" s="18" t="inlineStr">
        <is>
          <t>淨利 +6.5
經常 +4.8｜營運 +6.1
一次: +2.1 (稅影響 +0.4)</t>
        </is>
      </c>
      <c r="Q21" s="16" t="inlineStr">
        <is>
          <t>EPS +3.50
(1 位分析師)</t>
        </is>
      </c>
      <c r="R21" s="16" t="inlineStr">
        <is>
          <t>最新季一次性項目 +2.1（收益，令帳面好看），佔帳面淨利 32%。明細性質（資產出售／減值／訴訟／稅務）需查財報原文，本表只取金額，會否重複列「待核實」。</t>
        </is>
      </c>
      <c r="S21" s="16" t="inlineStr">
        <is>
          <t>營運利潤四季：+12.5 → +1.1 → +7.4 → +6.1；按年 +28%；剔除一次性後淨利 +4.8（帳面 +6.5，差 -1.7）；營運利潤率 15.1%。</t>
        </is>
      </c>
      <c r="T21" s="16" t="inlineStr">
        <is>
          <t>營運層面盈利，但帳面淨利含重大一次性項目，經常性口徑要另計。　收入按年 -3.7%　淨利率 16.2%　淨利按年 +102%。</t>
        </is>
      </c>
      <c r="U21" s="19" t="inlineStr">
        <is>
          <t>B</t>
        </is>
      </c>
      <c r="V21" s="10" t="inlineStr">
        <is>
          <t>Q2-26</t>
        </is>
      </c>
    </row>
    <row r="22" ht="62" customHeight="1">
      <c r="A22" s="10" t="n">
        <v>21</v>
      </c>
      <c r="B22" s="11" t="inlineStr">
        <is>
          <t>MATX</t>
        </is>
      </c>
      <c r="C22" s="10" t="inlineStr">
        <is>
          <t>—</t>
        </is>
      </c>
      <c r="D22" s="12" t="inlineStr">
        <is>
          <t>Matson, Inc.</t>
        </is>
      </c>
      <c r="E22" s="12" t="inlineStr">
        <is>
          <t>非必需消費／Marine Shipping</t>
        </is>
      </c>
      <c r="F22" s="13" t="inlineStr">
        <is>
          <t>USD</t>
        </is>
      </c>
      <c r="G22" s="14" t="inlineStr">
        <is>
          <t>Q2-25(25年6月) / Q3-25(25年9月) / Q4-25(25年12月) / Q1-26(26年3月)</t>
        </is>
      </c>
      <c r="H22" s="15" t="n">
        <v>830.5</v>
      </c>
      <c r="I22" s="15" t="n">
        <v>880.1</v>
      </c>
      <c r="J22" s="15" t="n">
        <v>851.9</v>
      </c>
      <c r="K22" s="15" t="n">
        <v>757.8</v>
      </c>
      <c r="L22" s="16" t="inlineStr">
        <is>
          <t>868M
按年 +2%
(2 位分析師)</t>
        </is>
      </c>
      <c r="M22" s="17" t="inlineStr">
        <is>
          <t>淨利 +94.7
經常 ≈帳面｜營運 +105.7
一次: 待核實</t>
        </is>
      </c>
      <c r="N22" s="17" t="inlineStr">
        <is>
          <t>淨利 +134.7
經常 ≈帳面｜營運 +151.7
一次: 待核實</t>
        </is>
      </c>
      <c r="O22" s="17" t="inlineStr">
        <is>
          <t>淨利 +143.1
經常 ≈帳面｜營運 +134.4
一次: 待核實</t>
        </is>
      </c>
      <c r="P22" s="18" t="inlineStr">
        <is>
          <t>淨利 +56.6
經常 ≈帳面｜營運 +56.4
一次: 待核實</t>
        </is>
      </c>
      <c r="Q22" s="16" t="inlineStr">
        <is>
          <t>EPS +3.84
按年 -16%
(3 位分析師)</t>
        </is>
      </c>
      <c r="R2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22" s="16" t="inlineStr">
        <is>
          <t>營運利潤四季：+105.7 → +151.7 → +134.4 → +56.4；按年 -25%；剔除一次性後與帳面一致；營運利潤率 7.4%。</t>
        </is>
      </c>
      <c r="T22" s="16" t="inlineStr">
        <is>
          <t>營運利潤為正但按年倒退，盈利仍在但動能轉弱。　收入按年 -3.1%　淨利率 7.5%　淨利按年 -22%。</t>
        </is>
      </c>
      <c r="U22" s="19" t="inlineStr">
        <is>
          <t>B</t>
        </is>
      </c>
      <c r="V22" s="10" t="inlineStr">
        <is>
          <t>Q1-26</t>
        </is>
      </c>
    </row>
    <row r="23" ht="62" customHeight="1">
      <c r="A23" s="10" t="n">
        <v>22</v>
      </c>
      <c r="B23" s="11" t="inlineStr">
        <is>
          <t>CTSH</t>
        </is>
      </c>
      <c r="C23" s="10" t="inlineStr">
        <is>
          <t>—</t>
        </is>
      </c>
      <c r="D23" s="12" t="inlineStr">
        <is>
          <t>Cognizant Technology Solutions Corporation</t>
        </is>
      </c>
      <c r="E23" s="12" t="inlineStr">
        <is>
          <t>科技／Information Technology Services</t>
        </is>
      </c>
      <c r="F23" s="13" t="inlineStr">
        <is>
          <t>USD</t>
        </is>
      </c>
      <c r="G23" s="14" t="inlineStr">
        <is>
          <t>Q3-25(25年9月) / Q4-25(25年12月) / Q1-26(26年3月) / Q2-26(26年6月)</t>
        </is>
      </c>
      <c r="H23" s="15" t="n">
        <v>5415</v>
      </c>
      <c r="I23" s="15" t="n">
        <v>5333</v>
      </c>
      <c r="J23" s="15" t="n">
        <v>5413</v>
      </c>
      <c r="K23" s="15" t="n">
        <v>5481</v>
      </c>
      <c r="L23" s="16" t="inlineStr">
        <is>
          <t>5,649M
按年 +6%
(19 位分析師)</t>
        </is>
      </c>
      <c r="M23" s="17" t="inlineStr">
        <is>
          <t>淨利 +274.0
經常 +270.8｜營運 +866.0
一次: 無重大</t>
        </is>
      </c>
      <c r="N23" s="17" t="inlineStr">
        <is>
          <t>淨利 +648.0
經常 +644.3｜營運 +853.0
一次: 無重大</t>
        </is>
      </c>
      <c r="O23" s="17" t="inlineStr">
        <is>
          <t>淨利 +662.0
經常 +648.3｜營運 +843.0
一次: +18.0 (稅影響 +4.3)</t>
        </is>
      </c>
      <c r="P23" s="18" t="inlineStr">
        <is>
          <t>淨利 +636.0
經常 +692.7｜營運 +958.0
一次: -77.0 (稅影響 -20.3)</t>
        </is>
      </c>
      <c r="Q23" s="16" t="inlineStr">
        <is>
          <t>EPS +1.52
按年 +12%
(22 位分析師)</t>
        </is>
      </c>
      <c r="R23" s="16" t="inlineStr">
        <is>
          <t>最新季一次性項目 -77.0（支出／減值，令帳面難看），佔帳面淨利 12%。明細性質（資產出售／減值／訴訟／稅務）需查財報原文，本表只取金額，會否重複列「待核實」。</t>
        </is>
      </c>
      <c r="S23" s="16" t="inlineStr">
        <is>
          <t>營運利潤四季：+866.0 → +853.0 → +843.0 → +958.0；按年 +17%；剔除一次性後淨利 +692.7（帳面 +636.0，差 +56.7）；營運利潤率 17.5%。</t>
        </is>
      </c>
      <c r="T23" s="16" t="inlineStr">
        <is>
          <t>營運層面盈利，但帳面淨利含重大一次性項目，經常性口徑要另計。　收入按年 +4.5%　淨利率 11.6%　淨利按年 -1%。</t>
        </is>
      </c>
      <c r="U23" s="19" t="inlineStr">
        <is>
          <t>B</t>
        </is>
      </c>
      <c r="V23" s="10" t="inlineStr">
        <is>
          <t>Q2-26</t>
        </is>
      </c>
    </row>
    <row r="24" ht="62" customHeight="1">
      <c r="A24" s="10" t="n">
        <v>23</v>
      </c>
      <c r="B24" s="11" t="inlineStr">
        <is>
          <t>QMCO</t>
        </is>
      </c>
      <c r="C24" s="10" t="inlineStr">
        <is>
          <t>—</t>
        </is>
      </c>
      <c r="D24" s="12" t="inlineStr">
        <is>
          <t>Quantum Corporation</t>
        </is>
      </c>
      <c r="E24" s="12" t="inlineStr">
        <is>
          <t>科技／Computer Hardware</t>
        </is>
      </c>
      <c r="F24" s="13" t="inlineStr">
        <is>
          <t>USD</t>
        </is>
      </c>
      <c r="G24" s="14" t="inlineStr">
        <is>
          <t>Q3-25(25年9月) / Q4-25(25年12月) / Q1-26(26年3月) / Q2-26(26年6月)</t>
        </is>
      </c>
      <c r="H24" s="15" t="n">
        <v>62.7</v>
      </c>
      <c r="I24" s="15" t="n">
        <v>74.59999999999999</v>
      </c>
      <c r="J24" s="15" t="n">
        <v>78</v>
      </c>
      <c r="K24" s="15" t="n">
        <v>80.8</v>
      </c>
      <c r="L24" s="16" t="inlineStr">
        <is>
          <t>85M
按年 +14%
(2 位分析師)</t>
        </is>
      </c>
      <c r="M24" s="17" t="inlineStr">
        <is>
          <t>淨利 -46.5
經常 -18.9｜營運 -5.0
一次: -34.9 (稅影響 -7.3)</t>
        </is>
      </c>
      <c r="N24" s="17" t="inlineStr">
        <is>
          <t>淨利 -27.8
經常 -9.7｜營運 +0.3
一次: -22.9 (稅影響 -4.8)</t>
        </is>
      </c>
      <c r="O24" s="17" t="inlineStr">
        <is>
          <t>淨利 -9.5
經常 -10.3｜營運 -1.6
一次: +1.3 (稅影響 +0.5)</t>
        </is>
      </c>
      <c r="P24" s="18" t="inlineStr">
        <is>
          <t>淨利 -155.3
經常 -138.5｜營運 +5.1
一次: -28.0 (稅影響 -11.2)</t>
        </is>
      </c>
      <c r="Q24" s="16" t="inlineStr">
        <is>
          <t>EPS +0.12
按年 +133%
(2 位分析師)
⚠non-GAAP
(帳面仍虧損)</t>
        </is>
      </c>
      <c r="R24" s="16" t="inlineStr">
        <is>
          <t>最新季一次性項目 -28.0（支出／減值，令帳面難看），佔帳面淨利 18%。明細性質（資產出售／減值／訴訟／稅務）需查財報原文，本表只取金額，會否重複列「待核實」。</t>
        </is>
      </c>
      <c r="S24" s="16" t="inlineStr">
        <is>
          <t>營運利潤四季：-5.0 → +0.3 → -1.6 → +5.1；按年 +150%；剔除一次性後淨利 -138.5（帳面 -155.3，差 +16.8）；營運利潤率 6.3%。</t>
        </is>
      </c>
      <c r="T24" s="16" t="inlineStr">
        <is>
          <t>營運層面盈利，但帳面淨利含重大一次性項目，經常性口徑要另計。　收入按年 +25.7%　淨利率 -192.2%　淨利按年 -803%。</t>
        </is>
      </c>
      <c r="U24" s="19" t="inlineStr">
        <is>
          <t>B</t>
        </is>
      </c>
      <c r="V24" s="10" t="inlineStr">
        <is>
          <t>Q2-26</t>
        </is>
      </c>
    </row>
    <row r="25" ht="62" customHeight="1">
      <c r="A25" s="10" t="n">
        <v>24</v>
      </c>
      <c r="B25" s="11" t="inlineStr">
        <is>
          <t>GIC</t>
        </is>
      </c>
      <c r="C25" s="10" t="inlineStr">
        <is>
          <t>—</t>
        </is>
      </c>
      <c r="D25" s="12" t="inlineStr">
        <is>
          <t>Global Industrial Company</t>
        </is>
      </c>
      <c r="E25" s="12" t="inlineStr">
        <is>
          <t>工業／Industrial Distribution</t>
        </is>
      </c>
      <c r="F25" s="13" t="inlineStr">
        <is>
          <t>USD</t>
        </is>
      </c>
      <c r="G25" s="14" t="inlineStr">
        <is>
          <t>Q3-25(25年9月) / Q4-25(25年12月) / Q1-26(26年3月) / Q2-26(26年6月)</t>
        </is>
      </c>
      <c r="H25" s="15" t="n">
        <v>353.6</v>
      </c>
      <c r="I25" s="15" t="n">
        <v>345.6</v>
      </c>
      <c r="J25" s="15" t="n">
        <v>350.4</v>
      </c>
      <c r="K25" s="15" t="n">
        <v>386.6</v>
      </c>
      <c r="L25" s="16" t="inlineStr">
        <is>
          <t>352M
按年 +2%
(2 位分析師)</t>
        </is>
      </c>
      <c r="M25" s="17" t="inlineStr">
        <is>
          <t>淨利 +18.8
經常 ≈帳面｜營運 +26.3
一次: 待核實</t>
        </is>
      </c>
      <c r="N25" s="17" t="inlineStr">
        <is>
          <t>淨利 +13.7
經常 +14.6｜營運 +19.6
一次: 待核實</t>
        </is>
      </c>
      <c r="O25" s="17" t="inlineStr">
        <is>
          <t>淨利 +16.6
經常 +15.3｜營運 +20.6
一次: 待核實</t>
        </is>
      </c>
      <c r="P25" s="18" t="inlineStr">
        <is>
          <t>淨利 +36.6
經常 +37.1｜營運 +49.3
一次: 待核實</t>
        </is>
      </c>
      <c r="Q25" s="16" t="inlineStr">
        <is>
          <t>EPS +0.40
按年 +4%
(2 位分析師)</t>
        </is>
      </c>
      <c r="R2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25" s="16" t="inlineStr">
        <is>
          <t>營運利潤四季：+26.3 → +19.6 → +20.6 → +49.3；按年 +47%；剔除一次性後與帳面一致；營運利潤率 12.8%。</t>
        </is>
      </c>
      <c r="T25" s="16" t="inlineStr">
        <is>
          <t>營運利潤為正、帳面≈經常、按年未倒退 —— 盈利乾淨。　收入按年 +7.7%　淨利率 9.5%　淨利按年 +48%。</t>
        </is>
      </c>
      <c r="U25" s="20" t="inlineStr">
        <is>
          <t>A</t>
        </is>
      </c>
      <c r="V25" s="10" t="inlineStr">
        <is>
          <t>Q2-26</t>
        </is>
      </c>
    </row>
    <row r="26" ht="62" customHeight="1">
      <c r="A26" s="10" t="n">
        <v>25</v>
      </c>
      <c r="B26" s="11" t="inlineStr">
        <is>
          <t>LBRX</t>
        </is>
      </c>
      <c r="C26" s="10" t="inlineStr">
        <is>
          <t>—</t>
        </is>
      </c>
      <c r="D26" s="12" t="inlineStr">
        <is>
          <t>LB Pharmaceuticals Inc</t>
        </is>
      </c>
      <c r="E26" s="12" t="inlineStr">
        <is>
          <t>醫療保健／Biotechnology</t>
        </is>
      </c>
      <c r="F26" s="13" t="inlineStr">
        <is>
          <t>USD</t>
        </is>
      </c>
      <c r="G26" s="14" t="inlineStr">
        <is>
          <t>Q3-25(25年9月) / Q4-25(25年12月) / Q1-26(26年3月) / Q2-26(26年6月)</t>
        </is>
      </c>
      <c r="H26" s="15" t="n">
        <v>0</v>
      </c>
      <c r="I26" s="15" t="n">
        <v>0</v>
      </c>
      <c r="J26" s="15" t="n">
        <v>0</v>
      </c>
      <c r="K26" s="15" t="n">
        <v>0</v>
      </c>
      <c r="L26" s="16" t="inlineStr">
        <is>
          <t>無收入
(6 位分析師)</t>
        </is>
      </c>
      <c r="M26" s="17" t="inlineStr">
        <is>
          <t>淨利 -3.6
經常 -4.5｜營運 -5.2
一次: 無重大</t>
        </is>
      </c>
      <c r="N26" s="17" t="inlineStr">
        <is>
          <t>淨利 -11.5
經常 -11.2｜營運 -13.9
一次: 無重大</t>
        </is>
      </c>
      <c r="O26" s="17" t="inlineStr">
        <is>
          <t>淨利 -19.1
經常 -19.3｜營運 -22.1
一次: 無重大</t>
        </is>
      </c>
      <c r="P26" s="18" t="inlineStr">
        <is>
          <t>淨利 -51.6
經常 -50.9｜營運 -53.9
一次: 無重大</t>
        </is>
      </c>
      <c r="Q26" s="16" t="inlineStr">
        <is>
          <t>EPS -1.54
按年 -241%
(5 位分析師)</t>
        </is>
      </c>
      <c r="R26" s="16" t="inlineStr">
        <is>
          <t>無重大一次性項目（Yahoo「Total Unusual Items」為零或極小）；帳面淨利≈經常性淨利。</t>
        </is>
      </c>
      <c r="S26" s="16" t="inlineStr">
        <is>
          <t>營運利潤四季：-5.2 → -13.9 → -22.1 → -53.9；按年 -1010%；剔除一次性後與帳面一致。</t>
        </is>
      </c>
      <c r="T26" s="16" t="inlineStr">
        <is>
          <t>營運虧損且未見收窄。　淨利按年 -959%。</t>
        </is>
      </c>
      <c r="U26" s="21" t="inlineStr">
        <is>
          <t>D</t>
        </is>
      </c>
      <c r="V26" s="10" t="inlineStr">
        <is>
          <t>Q2-26</t>
        </is>
      </c>
    </row>
    <row r="27" ht="62" customHeight="1">
      <c r="A27" s="10" t="n">
        <v>26</v>
      </c>
      <c r="B27" s="11" t="inlineStr">
        <is>
          <t>SPSC</t>
        </is>
      </c>
      <c r="C27" s="10" t="inlineStr">
        <is>
          <t>—</t>
        </is>
      </c>
      <c r="D27" s="12" t="inlineStr">
        <is>
          <t>SPS Commerce, Inc.</t>
        </is>
      </c>
      <c r="E27" s="12" t="inlineStr">
        <is>
          <t>科技／Software - Application</t>
        </is>
      </c>
      <c r="F27" s="13" t="inlineStr">
        <is>
          <t>USD</t>
        </is>
      </c>
      <c r="G27" s="14" t="inlineStr">
        <is>
          <t>Q3-25(25年9月) / Q4-25(25年12月) / Q1-26(26年3月) / Q2-26(26年6月)</t>
        </is>
      </c>
      <c r="H27" s="15" t="n">
        <v>189.9</v>
      </c>
      <c r="I27" s="15" t="n">
        <v>192.7</v>
      </c>
      <c r="J27" s="15" t="n">
        <v>192.1</v>
      </c>
      <c r="K27" s="15" t="n">
        <v>197.8</v>
      </c>
      <c r="L27" s="16" t="inlineStr">
        <is>
          <t>203M
按年 +6%
(10 位分析師)</t>
        </is>
      </c>
      <c r="M27" s="17" t="inlineStr">
        <is>
          <t>淨利 +25.6
經常 +24.6｜營運 +31.2
一次: +1.3 (稅影響 +0.3)</t>
        </is>
      </c>
      <c r="N27" s="17" t="inlineStr">
        <is>
          <t>淨利 +25.8
經常 +25.3｜營運 +34.7
一次: 無重大</t>
        </is>
      </c>
      <c r="O27" s="17" t="inlineStr">
        <is>
          <t>淨利 +19.7
經常 +18.8｜營運 +24.6
一次: +1.3 (稅影響 +0.3)</t>
        </is>
      </c>
      <c r="P27" s="18" t="inlineStr">
        <is>
          <t>淨利 +6.9
經常 +21.3｜營運 +31.9
一次: -21.8 (稅影響 -7.4)</t>
        </is>
      </c>
      <c r="Q27" s="16" t="inlineStr">
        <is>
          <t>EPS +1.31
按年 +15%
(11 位分析師)</t>
        </is>
      </c>
      <c r="R27" s="16" t="inlineStr">
        <is>
          <t>最新季一次性項目 -21.8（支出／減值，令帳面難看），佔帳面淨利 318%。明細性質（資產出售／減值／訴訟／稅務）需查財報原文，本表只取金額，會否重複列「待核實」。</t>
        </is>
      </c>
      <c r="S27" s="16" t="inlineStr">
        <is>
          <t>營運利潤四季：+31.2 → +34.7 → +24.6 → +31.9；按年 +20%；剔除一次性後淨利 +21.3（帳面 +6.9，差 +14.4）；營運利潤率 16.1%。</t>
        </is>
      </c>
      <c r="T27" s="16" t="inlineStr">
        <is>
          <t>營運層面盈利，但帳面淨利含重大一次性項目，經常性口徑要另計。　收入按年 +5.6%　淨利率 3.5%　淨利按年 -65%。</t>
        </is>
      </c>
      <c r="U27" s="19" t="inlineStr">
        <is>
          <t>B</t>
        </is>
      </c>
      <c r="V27" s="10" t="inlineStr">
        <is>
          <t>Q2-26</t>
        </is>
      </c>
    </row>
    <row r="28" ht="62" customHeight="1">
      <c r="A28" s="10" t="n">
        <v>27</v>
      </c>
      <c r="B28" s="11" t="inlineStr">
        <is>
          <t>ARLP</t>
        </is>
      </c>
      <c r="C28" s="10" t="inlineStr">
        <is>
          <t>—</t>
        </is>
      </c>
      <c r="D28" s="12" t="inlineStr">
        <is>
          <t>Alliance Resource Partners, L.P.</t>
        </is>
      </c>
      <c r="E28" s="12" t="inlineStr">
        <is>
          <t>能源／Thermal Coal</t>
        </is>
      </c>
      <c r="F28" s="13" t="inlineStr">
        <is>
          <t>USD</t>
        </is>
      </c>
      <c r="G28" s="14" t="inlineStr">
        <is>
          <t>Q3-25(25年9月) / Q4-25(25年12月) / Q1-26(26年3月) / Q2-26(26年6月)</t>
        </is>
      </c>
      <c r="H28" s="15" t="n">
        <v>571.4</v>
      </c>
      <c r="I28" s="15" t="n">
        <v>535.5</v>
      </c>
      <c r="J28" s="15" t="n">
        <v>516</v>
      </c>
      <c r="K28" s="15" t="n">
        <v>551.6</v>
      </c>
      <c r="L28" s="16" t="inlineStr">
        <is>
          <t>578M
按年 +8%
(3 位分析師)</t>
        </is>
      </c>
      <c r="M28" s="17" t="inlineStr">
        <is>
          <t>淨利 +94.2
經常 +91.6｜營運 +105.0
一次: +3.7 (稅影響 +0.2)</t>
        </is>
      </c>
      <c r="N28" s="17" t="inlineStr">
        <is>
          <t>淨利 +84.9
經常 +100.4｜營運 +97.3
一次: -18.4 (稅影響 -0.7)</t>
        </is>
      </c>
      <c r="O28" s="17" t="inlineStr">
        <is>
          <t>淨利 +9.1
經常 +48.7｜營運 +59.7
一次: -49.4 (稅影響 -9.9)</t>
        </is>
      </c>
      <c r="P28" s="18" t="inlineStr">
        <is>
          <t>淨利 +78.9
經常 +85.5｜營運 +95.6
一次: -6.3 (稅影響 -0.5)</t>
        </is>
      </c>
      <c r="Q28" s="16" t="inlineStr">
        <is>
          <t>EPS +0.80
按年 +2%
(3 位分析師)</t>
        </is>
      </c>
      <c r="R28" s="16" t="inlineStr">
        <is>
          <t>最新季一次性項目 -6.3（支出／減值，令帳面難看），佔帳面淨利 8%。明細性質（資產出售／減值／訴訟／稅務）需查財報原文，本表只取金額，會否重複列「待核實」。</t>
        </is>
      </c>
      <c r="S28" s="16" t="inlineStr">
        <is>
          <t>營運利潤四季：+105.0 → +97.3 → +59.7 → +95.6；按年 +8%；剔除一次性後淨利 +85.5（帳面 +78.9，差 +6.6）；營運利潤率 17.3%。</t>
        </is>
      </c>
      <c r="T28" s="16" t="inlineStr">
        <is>
          <t>營運利潤為正、帳面≈經常、按年未倒退 —— 盈利乾淨。　收入按年 +0.7%　淨利率 14.3%　淨利按年 +34%。</t>
        </is>
      </c>
      <c r="U28" s="20" t="inlineStr">
        <is>
          <t>A</t>
        </is>
      </c>
      <c r="V28" s="10" t="inlineStr">
        <is>
          <t>Q2-26</t>
        </is>
      </c>
    </row>
    <row r="29" ht="62" customHeight="1">
      <c r="A29" s="10" t="n">
        <v>28</v>
      </c>
      <c r="B29" s="11" t="inlineStr">
        <is>
          <t>AGEN</t>
        </is>
      </c>
      <c r="C29" s="10" t="inlineStr">
        <is>
          <t>—</t>
        </is>
      </c>
      <c r="D29" s="12" t="inlineStr">
        <is>
          <t>Agenus Inc.</t>
        </is>
      </c>
      <c r="E29" s="12" t="inlineStr">
        <is>
          <t>醫療保健／Biotechnology</t>
        </is>
      </c>
      <c r="F29" s="13" t="inlineStr">
        <is>
          <t>USD</t>
        </is>
      </c>
      <c r="G29" s="14" t="inlineStr">
        <is>
          <t>Q3-25(25年9月) / Q4-25(25年12月) / Q1-26(26年3月) / Q2-26(26年6月)</t>
        </is>
      </c>
      <c r="H29" s="15" t="n">
        <v>30.2</v>
      </c>
      <c r="I29" s="15" t="n">
        <v>34.2</v>
      </c>
      <c r="J29" s="15" t="n">
        <v>33.7</v>
      </c>
      <c r="K29" s="15" t="n">
        <v>34.5</v>
      </c>
      <c r="L29" s="16" t="inlineStr">
        <is>
          <t>37M
按年 +7%
(1 位分析師)</t>
        </is>
      </c>
      <c r="M29" s="17" t="inlineStr">
        <is>
          <t>淨利 +63.9
經常 -16.1｜營運 -4.9
一次: +101.2 (稅影響 +21.3)</t>
        </is>
      </c>
      <c r="N29" s="17" t="inlineStr">
        <is>
          <t>淨利 -10.6
經常 ≈帳面｜營運 +14.4
一次: 無重大</t>
        </is>
      </c>
      <c r="O29" s="17" t="inlineStr">
        <is>
          <t>淨利 +39.2
經常 +15.0｜營運 +15.1
一次: +40.4 (稅影響 +16.2)</t>
        </is>
      </c>
      <c r="P29" s="18" t="inlineStr">
        <is>
          <t>淨利 -0.6
經常 ≈帳面｜營運 +11.3
一次: 無重大</t>
        </is>
      </c>
      <c r="Q29" s="16" t="inlineStr">
        <is>
          <t>EPS +0.04
按年 -94%
(1 位分析師)
⚠non-GAAP
(帳面仍虧損)</t>
        </is>
      </c>
      <c r="R29" s="16" t="inlineStr">
        <is>
          <t>無重大一次性項目（Yahoo「Total Unusual Items」為零或極小）；帳面淨利≈經常性淨利。</t>
        </is>
      </c>
      <c r="S29" s="16" t="inlineStr">
        <is>
          <t>營運利潤四季：-4.9 → +14.4 → +15.1 → +11.3；按年 +167%；剔除一次性後與帳面一致；營運利潤率 32.7%。</t>
        </is>
      </c>
      <c r="T29" s="16" t="inlineStr">
        <is>
          <t>營運利潤為正、帳面≈經常、按年未倒退 —— 盈利乾淨。　收入按年 +34.4%　淨利率 -1.7%　淨利按年 +98%。</t>
        </is>
      </c>
      <c r="U29" s="20" t="inlineStr">
        <is>
          <t>A</t>
        </is>
      </c>
      <c r="V29" s="10" t="inlineStr">
        <is>
          <t>Q2-26</t>
        </is>
      </c>
    </row>
    <row r="30" ht="62" customHeight="1">
      <c r="A30" s="10" t="n">
        <v>29</v>
      </c>
      <c r="B30" s="11" t="inlineStr">
        <is>
          <t>NWSA</t>
        </is>
      </c>
      <c r="C30" s="10" t="inlineStr">
        <is>
          <t>—</t>
        </is>
      </c>
      <c r="D30" s="12" t="inlineStr">
        <is>
          <t>News Corporation</t>
        </is>
      </c>
      <c r="E30" s="12" t="inlineStr">
        <is>
          <t>通訊服務／Entertainment</t>
        </is>
      </c>
      <c r="F30" s="13" t="inlineStr">
        <is>
          <t>USD</t>
        </is>
      </c>
      <c r="G30" s="14" t="inlineStr">
        <is>
          <t>Q3-25(25年9月) / Q4-25(25年12月) / Q1-26(26年3月) / Q2-26(26年6月)</t>
        </is>
      </c>
      <c r="H30" s="15" t="n">
        <v>2144</v>
      </c>
      <c r="I30" s="15" t="n">
        <v>2362</v>
      </c>
      <c r="J30" s="15" t="n">
        <v>2185</v>
      </c>
      <c r="K30" s="15" t="n">
        <v>2337</v>
      </c>
      <c r="L30" s="16" t="inlineStr">
        <is>
          <t>2,471M
按年 +5%
(7 位分析師)</t>
        </is>
      </c>
      <c r="M30" s="17" t="inlineStr">
        <is>
          <t>淨利 +112.0
經常 +126.2｜營運 +223.0
一次: -20.0 (稅影響 -5.8)</t>
        </is>
      </c>
      <c r="N30" s="17" t="inlineStr">
        <is>
          <t>淨利 +193.0
經常 +220.7｜營運 +403.0
一次: -42.0 (稅影響 -14.3)</t>
        </is>
      </c>
      <c r="O30" s="17" t="inlineStr">
        <is>
          <t>淨利 +89.0
經常 +114.0｜營運 +221.0
一次: -39.0 (稅影響 -14.0)</t>
        </is>
      </c>
      <c r="P30" s="18" t="inlineStr">
        <is>
          <t>淨利 +179.0
經常 +205.5｜營運 +295.0
一次: -32.0 (稅影響 -5.5)</t>
        </is>
      </c>
      <c r="Q30" s="16" t="inlineStr">
        <is>
          <t>EPS +0.47
按年 +18%
(4 位分析師)</t>
        </is>
      </c>
      <c r="R30" s="16" t="inlineStr">
        <is>
          <t>最新季一次性項目 -32.0（支出／減值，令帳面難看），佔帳面淨利 18%。明細性質（資產出售／減值／訴訟／稅務）需查財報原文，本表只取金額，會否重複列「待核實」。</t>
        </is>
      </c>
      <c r="S30" s="16" t="inlineStr">
        <is>
          <t>營運利潤四季：+223.0 → +403.0 → +221.0 → +295.0；按年 +46%；剔除一次性後淨利 +205.5（帳面 +179.0，差 +26.5）；營運利潤率 12.6%。</t>
        </is>
      </c>
      <c r="T30" s="16" t="inlineStr">
        <is>
          <t>營運層面盈利，但帳面淨利含重大一次性項目，經常性口徑要另計。　收入按年 +10.8%　淨利率 7.7%　淨利按年 -76%。</t>
        </is>
      </c>
      <c r="U30" s="19" t="inlineStr">
        <is>
          <t>B</t>
        </is>
      </c>
      <c r="V30" s="10" t="inlineStr">
        <is>
          <t>Q2-26</t>
        </is>
      </c>
    </row>
    <row r="31" ht="62" customHeight="1">
      <c r="A31" s="10" t="n">
        <v>30</v>
      </c>
      <c r="B31" s="11" t="inlineStr">
        <is>
          <t>HSIC</t>
        </is>
      </c>
      <c r="C31" s="10" t="inlineStr">
        <is>
          <t>—</t>
        </is>
      </c>
      <c r="D31" s="12" t="inlineStr">
        <is>
          <t>Henry Schein, Inc.</t>
        </is>
      </c>
      <c r="E31" s="12" t="inlineStr">
        <is>
          <t>醫療保健／Medical Distribution</t>
        </is>
      </c>
      <c r="F31" s="13" t="inlineStr">
        <is>
          <t>USD</t>
        </is>
      </c>
      <c r="G31" s="14" t="inlineStr">
        <is>
          <t>Q3-25(25年9月) / Q4-25(25年12月) / Q1-26(26年3月) / Q2-26(26年6月)</t>
        </is>
      </c>
      <c r="H31" s="15" t="n">
        <v>3339</v>
      </c>
      <c r="I31" s="15" t="n">
        <v>3437</v>
      </c>
      <c r="J31" s="15" t="n">
        <v>3368</v>
      </c>
      <c r="K31" s="15" t="n">
        <v>3458</v>
      </c>
      <c r="L31" s="16" t="inlineStr">
        <is>
          <t>3,567M
按年 +4%
(14 位分析師)</t>
        </is>
      </c>
      <c r="M31" s="17" t="inlineStr">
        <is>
          <t>淨利 +101.0
經常 +127.8｜營運 +198.0
一次: -34.0 (稅影響 -7.2)</t>
        </is>
      </c>
      <c r="N31" s="17" t="inlineStr">
        <is>
          <t>淨利 +101.0
經常 +118.5｜營運 +186.0
一次: -23.0 (稅影響 -5.5)</t>
        </is>
      </c>
      <c r="O31" s="17" t="inlineStr">
        <is>
          <t>淨利 +107.0
經常 +115.9｜營運 +194.0
一次: -12.0 (稅影響 -3.1)</t>
        </is>
      </c>
      <c r="P31" s="18" t="inlineStr">
        <is>
          <t>淨利 +94.0
經常 +115.8｜營運 +200.0
一次: -29.0 (稅影響 -7.2)</t>
        </is>
      </c>
      <c r="Q31" s="16" t="inlineStr">
        <is>
          <t>EPS +1.44
按年 +7%
(16 位分析師)</t>
        </is>
      </c>
      <c r="R31" s="16" t="inlineStr">
        <is>
          <t>最新季一次性項目 -29.0（支出／減值，令帳面難看），佔帳面淨利 31%。明細性質（資產出售／減值／訴訟／稅務）需查財報原文，本表只取金額，會否重複列「待核實」。</t>
        </is>
      </c>
      <c r="S31" s="16" t="inlineStr">
        <is>
          <t>營運利潤四季：+198.0 → +186.0 → +194.0 → +200.0；按年 +15%；剔除一次性後淨利 +115.8（帳面 +94.0，差 +21.8）；營運利潤率 5.8%。</t>
        </is>
      </c>
      <c r="T31" s="16" t="inlineStr">
        <is>
          <t>營運層面盈利，但帳面淨利含重大一次性項目，經常性口徑要另計。　收入按年 +6.7%　淨利率 2.7%　淨利按年 +9%。</t>
        </is>
      </c>
      <c r="U31" s="19" t="inlineStr">
        <is>
          <t>B</t>
        </is>
      </c>
      <c r="V31" s="10" t="inlineStr">
        <is>
          <t>Q2-26</t>
        </is>
      </c>
    </row>
    <row r="32" ht="62" customHeight="1">
      <c r="A32" s="10" t="n">
        <v>31</v>
      </c>
      <c r="B32" s="11" t="inlineStr">
        <is>
          <t>CART</t>
        </is>
      </c>
      <c r="C32" s="10" t="inlineStr">
        <is>
          <t>—</t>
        </is>
      </c>
      <c r="D32" s="12" t="inlineStr">
        <is>
          <t>Maplebear Inc.</t>
        </is>
      </c>
      <c r="E32" s="12" t="inlineStr">
        <is>
          <t>非必需消費／Internet Retail</t>
        </is>
      </c>
      <c r="F32" s="13" t="inlineStr">
        <is>
          <t>USD</t>
        </is>
      </c>
      <c r="G32" s="14" t="inlineStr">
        <is>
          <t>Q3-25(25年9月) / Q4-25(25年12月) / Q1-26(26年3月) / Q2-26(26年6月)</t>
        </is>
      </c>
      <c r="H32" s="15" t="n">
        <v>939</v>
      </c>
      <c r="I32" s="15" t="n">
        <v>992</v>
      </c>
      <c r="J32" s="15" t="n">
        <v>1019</v>
      </c>
      <c r="K32" s="15" t="n">
        <v>1043</v>
      </c>
      <c r="L32" s="16" t="inlineStr">
        <is>
          <t>1,122M
按年 +13%
(25 位分析師)</t>
        </is>
      </c>
      <c r="M32" s="17" t="inlineStr">
        <is>
          <t>淨利 +142.0
經常 +144.0｜營運 +168.0
一次: 待核實</t>
        </is>
      </c>
      <c r="N32" s="17" t="inlineStr">
        <is>
          <t>淨利 +79.0
經常 +81.0｜營運 +98.0
一次: 待核實</t>
        </is>
      </c>
      <c r="O32" s="17" t="inlineStr">
        <is>
          <t>淨利 +142.0
經常 +144.0｜營運 +182.0
一次: 待核實</t>
        </is>
      </c>
      <c r="P32" s="18" t="inlineStr">
        <is>
          <t>淨利 +109.0
經常 +111.0｜營運 +144.0
一次: 待核實</t>
        </is>
      </c>
      <c r="Q32" s="16" t="inlineStr">
        <is>
          <t>EPS +0.68
按年 +127%
(26 位分析師)</t>
        </is>
      </c>
      <c r="R3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32" s="16" t="inlineStr">
        <is>
          <t>營運利潤四季：+168.0 → +98.0 → +182.0 → +144.0；按年 +17%；剔除一次性後淨利 +111.0（帳面 +109.0，差 +2.0）；營運利潤率 13.8%。</t>
        </is>
      </c>
      <c r="T32" s="16" t="inlineStr">
        <is>
          <t>營運利潤為正、帳面≈經常、按年未倒退 —— 盈利乾淨。　收入按年 +14.1%　淨利率 10.5%　淨利按年 -4%。</t>
        </is>
      </c>
      <c r="U32" s="20" t="inlineStr">
        <is>
          <t>A</t>
        </is>
      </c>
      <c r="V32" s="10" t="inlineStr">
        <is>
          <t>Q2-26</t>
        </is>
      </c>
    </row>
    <row r="33" ht="62" customHeight="1">
      <c r="A33" s="10" t="n">
        <v>32</v>
      </c>
      <c r="B33" s="11" t="inlineStr">
        <is>
          <t>BIIB</t>
        </is>
      </c>
      <c r="C33" s="10" t="inlineStr">
        <is>
          <t>—</t>
        </is>
      </c>
      <c r="D33" s="12" t="inlineStr">
        <is>
          <t>Biogen Inc.</t>
        </is>
      </c>
      <c r="E33" s="12" t="inlineStr">
        <is>
          <t>醫療保健／Drug Manufacturers - General</t>
        </is>
      </c>
      <c r="F33" s="13" t="inlineStr">
        <is>
          <t>USD</t>
        </is>
      </c>
      <c r="G33" s="14" t="inlineStr">
        <is>
          <t>Q3-25(25年9月) / Q4-25(25年12月) / Q1-26(26年3月) / Q2-26(26年6月)</t>
        </is>
      </c>
      <c r="H33" s="15" t="n">
        <v>2534.7</v>
      </c>
      <c r="I33" s="15" t="n">
        <v>2279.4</v>
      </c>
      <c r="J33" s="15" t="n">
        <v>2477.8</v>
      </c>
      <c r="K33" s="15" t="n">
        <v>2736</v>
      </c>
      <c r="L33" s="16" t="inlineStr">
        <is>
          <t>2,597M
按年 +14%
(25 位分析師)</t>
        </is>
      </c>
      <c r="M33" s="17" t="inlineStr">
        <is>
          <t>淨利 +466.5
經常 +490.9｜營運 +606.5
一次: -29.2 (稅影響 -4.8)</t>
        </is>
      </c>
      <c r="N33" s="17" t="inlineStr">
        <is>
          <t>淨利 -48.9
經常 +321.3｜營運 +385.5
一次: -423.9 (稅影響 -53.7)</t>
        </is>
      </c>
      <c r="O33" s="17" t="inlineStr">
        <is>
          <t>淨利 +319.5
經常 +362.9｜營運 +459.8
一次: -51.3 (稅影響 -7.9)</t>
        </is>
      </c>
      <c r="P33" s="18" t="inlineStr">
        <is>
          <t>淨利 +97.5
經常 +315.8｜營運 +482.8
一次: -296.4 (稅影響 -78.1)</t>
        </is>
      </c>
      <c r="Q33" s="16" t="inlineStr">
        <is>
          <t>EPS +3.27
按年 +64%
(26 位分析師)</t>
        </is>
      </c>
      <c r="R33" s="16" t="inlineStr">
        <is>
          <t>最新季一次性項目 -296.4（支出／減值，令帳面難看），佔帳面淨利 304%。明細性質（資產出售／減值／訴訟／稅務）需查財報原文，本表只取金額，會否重複列「待核實」。</t>
        </is>
      </c>
      <c r="S33" s="16" t="inlineStr">
        <is>
          <t>營運利潤四季：+606.5 → +385.5 → +459.8 → +482.8；按年 -43%；剔除一次性後淨利 +315.8（帳面 +97.5，差 +218.3）；營運利潤率 17.6%。</t>
        </is>
      </c>
      <c r="T33" s="16" t="inlineStr">
        <is>
          <t>營運層面盈利，但帳面淨利含重大一次性項目，經常性口徑要另計。　收入按年 +3.4%　淨利率 3.6%　淨利按年 -85%。</t>
        </is>
      </c>
      <c r="U33" s="19" t="inlineStr">
        <is>
          <t>B</t>
        </is>
      </c>
      <c r="V33" s="10" t="inlineStr">
        <is>
          <t>Q2-26</t>
        </is>
      </c>
    </row>
    <row r="34" ht="62" customHeight="1">
      <c r="A34" s="10" t="n">
        <v>33</v>
      </c>
      <c r="B34" s="11" t="inlineStr">
        <is>
          <t>EPAM</t>
        </is>
      </c>
      <c r="C34" s="10" t="inlineStr">
        <is>
          <t>—</t>
        </is>
      </c>
      <c r="D34" s="12" t="inlineStr">
        <is>
          <t>EPAM Systems, Inc.</t>
        </is>
      </c>
      <c r="E34" s="12" t="inlineStr">
        <is>
          <t>科技／Information Technology Services</t>
        </is>
      </c>
      <c r="F34" s="13" t="inlineStr">
        <is>
          <t>USD</t>
        </is>
      </c>
      <c r="G34" s="14" t="inlineStr">
        <is>
          <t>Q3-25(25年9月) / Q4-25(25年12月) / Q1-26(26年3月) / Q2-26(26年6月)</t>
        </is>
      </c>
      <c r="H34" s="15" t="n">
        <v>1394.4</v>
      </c>
      <c r="I34" s="15" t="n">
        <v>1407.5</v>
      </c>
      <c r="J34" s="15" t="n">
        <v>1400.1</v>
      </c>
      <c r="K34" s="15" t="n">
        <v>1414.8</v>
      </c>
      <c r="L34" s="16" t="inlineStr">
        <is>
          <t>1,423M
按年 +1%
(16 位分析師)</t>
        </is>
      </c>
      <c r="M34" s="17" t="inlineStr">
        <is>
          <t>淨利 +106.8
經常 +109.5｜營運 +144.9
一次: -3.6 (稅影響 -0.9)</t>
        </is>
      </c>
      <c r="N34" s="17" t="inlineStr">
        <is>
          <t>淨利 +109.4
經常 +113.4｜營運 +149.3
一次: -5.3 (稅影響 -1.3)</t>
        </is>
      </c>
      <c r="O34" s="17" t="inlineStr">
        <is>
          <t>淨利 +82.5
經常 +80.9｜營運 +116.8
一次: +2.3 (稅影響 +0.7)</t>
        </is>
      </c>
      <c r="P34" s="18" t="inlineStr">
        <is>
          <t>淨利 +103.0
經常 +110.2｜營運 +152.2
一次: -9.8 (稅影響 -2.6)</t>
        </is>
      </c>
      <c r="Q34" s="16" t="inlineStr">
        <is>
          <t>EPS +3.51
按年 +8%
(17 位分析師)</t>
        </is>
      </c>
      <c r="R34" s="16" t="inlineStr">
        <is>
          <t>最新季一次性項目 -9.8（支出／減值，令帳面難看），佔帳面淨利 10%。明細性質（資產出售／減值／訴訟／稅務）需查財報原文，本表只取金額，會否重複列「待核實」。</t>
        </is>
      </c>
      <c r="S34" s="16" t="inlineStr">
        <is>
          <t>營運利潤四季：+144.9 → +149.3 → +116.8 → +152.2；按年 +20%；剔除一次性後淨利 +110.2（帳面 +103.0，差 +7.2）；營運利潤率 10.8%。</t>
        </is>
      </c>
      <c r="T34" s="16" t="inlineStr">
        <is>
          <t>營運利潤為正、帳面≈經常、按年未倒退 —— 盈利乾淨。　收入按年 +4.5%　淨利率 7.3%　淨利按年 +17%。</t>
        </is>
      </c>
      <c r="U34" s="20" t="inlineStr">
        <is>
          <t>A</t>
        </is>
      </c>
      <c r="V34" s="10" t="inlineStr">
        <is>
          <t>Q2-26</t>
        </is>
      </c>
    </row>
    <row r="35" ht="62" customHeight="1">
      <c r="A35" s="10" t="n">
        <v>34</v>
      </c>
      <c r="B35" s="11" t="inlineStr">
        <is>
          <t>RGA</t>
        </is>
      </c>
      <c r="C35" s="10" t="inlineStr">
        <is>
          <t>—</t>
        </is>
      </c>
      <c r="D35" s="12" t="inlineStr">
        <is>
          <t>Reinsurance Group of America, Incorporated</t>
        </is>
      </c>
      <c r="E35" s="12" t="inlineStr">
        <is>
          <t>金融／Insurance - Reinsurance</t>
        </is>
      </c>
      <c r="F35" s="13" t="inlineStr">
        <is>
          <t>USD</t>
        </is>
      </c>
      <c r="G35" s="14" t="inlineStr">
        <is>
          <t>Q3-25(25年9月) / Q4-25(25年12月) / Q1-26(26年3月) / Q2-26(26年6月)</t>
        </is>
      </c>
      <c r="H35" s="15" t="n">
        <v>6229</v>
      </c>
      <c r="I35" s="15" t="n">
        <v>6608</v>
      </c>
      <c r="J35" s="15" t="n">
        <v>6476</v>
      </c>
      <c r="K35" s="15" t="n">
        <v>6565</v>
      </c>
      <c r="L35" s="16" t="inlineStr">
        <is>
          <t>6,889M
按年 +4%
(4 位分析師)</t>
        </is>
      </c>
      <c r="M35" s="17" t="inlineStr">
        <is>
          <t>淨利 +253.0
經常 ≈帳面｜稅前 +320.0
一次: 待核實</t>
        </is>
      </c>
      <c r="N35" s="17" t="inlineStr">
        <is>
          <t>淨利 +463.0
經常 ≈帳面｜稅前 +510.0
一次: 待核實</t>
        </is>
      </c>
      <c r="O35" s="17" t="inlineStr">
        <is>
          <t>淨利 +330.0
經常 ≈帳面｜稅前 +441.0
一次: 待核實</t>
        </is>
      </c>
      <c r="P35" s="18" t="inlineStr">
        <is>
          <t>淨利 +462.0
經常 ≈帳面｜稅前 +605.0
一次: 待核實</t>
        </is>
      </c>
      <c r="Q35" s="16" t="inlineStr">
        <is>
          <t>EPS +6.98
按年 -10%
(8 位分析師)</t>
        </is>
      </c>
      <c r="R3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35" s="16" t="inlineStr">
        <is>
          <t>稅前利潤四季：+320.0 → +510.0 → +441.0 → +605.0；按年 +77%；剔除一次性後與帳面一致；稅前利潤率 9.2%；（Yahoo 冇為呢類金融股公布營運利潤，改用稅前利潤做經常性基準）。</t>
        </is>
      </c>
      <c r="T35" s="16" t="inlineStr">
        <is>
          <t>稅前利潤為正、帳面≈經常、按年未倒退 —— 盈利乾淨。　收入按年 +18.2%　淨利率 7.0%　淨利按年 +157%。</t>
        </is>
      </c>
      <c r="U35" s="20" t="inlineStr">
        <is>
          <t>A</t>
        </is>
      </c>
      <c r="V35" s="10" t="inlineStr">
        <is>
          <t>Q2-26</t>
        </is>
      </c>
    </row>
    <row r="36" ht="62" customHeight="1">
      <c r="A36" s="10" t="n">
        <v>35</v>
      </c>
      <c r="B36" s="11" t="inlineStr">
        <is>
          <t>PAG</t>
        </is>
      </c>
      <c r="C36" s="10" t="inlineStr">
        <is>
          <t>—</t>
        </is>
      </c>
      <c r="D36" s="12" t="inlineStr">
        <is>
          <t>Penske Automotive Group, Inc.</t>
        </is>
      </c>
      <c r="E36" s="12" t="inlineStr">
        <is>
          <t>非必需消費／Auto &amp; Truck Dealerships</t>
        </is>
      </c>
      <c r="F36" s="13" t="inlineStr">
        <is>
          <t>USD</t>
        </is>
      </c>
      <c r="G36" s="14" t="inlineStr">
        <is>
          <t>Q3-25(25年9月) / Q4-25(25年12月) / Q1-26(26年3月) / Q2-26(26年6月)</t>
        </is>
      </c>
      <c r="H36" s="15" t="n">
        <v>7695.3</v>
      </c>
      <c r="I36" s="15" t="n">
        <v>8846.4</v>
      </c>
      <c r="J36" s="15" t="n">
        <v>7863.6</v>
      </c>
      <c r="K36" s="15" t="n">
        <v>8512.700000000001</v>
      </c>
      <c r="L36" s="16" t="inlineStr">
        <is>
          <t>8,332M
按年 +9%
(5 位分析師)</t>
        </is>
      </c>
      <c r="M36" s="17" t="inlineStr">
        <is>
          <t>淨利 +213.0
經常 ≈帳面｜營運 +298.7
一次: 無重大</t>
        </is>
      </c>
      <c r="N36" s="17" t="inlineStr">
        <is>
          <t>淨利 +228.1
經常 ≈帳面｜營運 +318.3
一次: 無重大</t>
        </is>
      </c>
      <c r="O36" s="17" t="inlineStr">
        <is>
          <t>淨利 +234.5
經常 +190.6｜營運 +289.0
一次: +60.4 (稅影響 +16.5)</t>
        </is>
      </c>
      <c r="P36" s="18" t="inlineStr">
        <is>
          <t>淨利 +260.4
經常 +237.9｜營運 +337.6
一次: +30.5 (稅影響 +8.0)</t>
        </is>
      </c>
      <c r="Q36" s="16" t="inlineStr">
        <is>
          <t>EPS +3.43
按年 +20%
(7 位分析師)</t>
        </is>
      </c>
      <c r="R36" s="16" t="inlineStr">
        <is>
          <t>最新季一次性項目 +30.5（收益，令帳面好看），佔帳面淨利 12%。明細性質（資產出售／減值／訴訟／稅務）需查財報原文，本表只取金額，會否重複列「待核實」。</t>
        </is>
      </c>
      <c r="S36" s="16" t="inlineStr">
        <is>
          <t>營運利潤四季：+298.7 → +318.3 → +289.0 → +337.6；按年 -8%；剔除一次性後淨利 +237.9（帳面 +260.4，差 -22.5）；營運利潤率 4.0%。</t>
        </is>
      </c>
      <c r="T36" s="16" t="inlineStr">
        <is>
          <t>營運層面盈利，但帳面淨利含重大一次性項目，經常性口徑要另計。　收入按年 +6.0%　淨利率 3.1%　淨利按年 -2%。</t>
        </is>
      </c>
      <c r="U36" s="19" t="inlineStr">
        <is>
          <t>B</t>
        </is>
      </c>
      <c r="V36" s="10" t="inlineStr">
        <is>
          <t>Q2-26</t>
        </is>
      </c>
    </row>
    <row r="37" ht="62" customHeight="1">
      <c r="A37" s="10" t="n">
        <v>36</v>
      </c>
      <c r="B37" s="11" t="inlineStr">
        <is>
          <t>SXT</t>
        </is>
      </c>
      <c r="C37" s="10" t="inlineStr">
        <is>
          <t>—</t>
        </is>
      </c>
      <c r="D37" s="12" t="inlineStr">
        <is>
          <t>Sensient Technologies Corporation</t>
        </is>
      </c>
      <c r="E37" s="12" t="inlineStr">
        <is>
          <t>工業／Specialty Chemicals</t>
        </is>
      </c>
      <c r="F37" s="13" t="inlineStr">
        <is>
          <t>USD</t>
        </is>
      </c>
      <c r="G37" s="14" t="inlineStr">
        <is>
          <t>Q3-25(25年9月) / Q4-25(25年12月) / Q1-26(26年3月) / Q2-26(26年6月)</t>
        </is>
      </c>
      <c r="H37" s="15" t="n">
        <v>412.1</v>
      </c>
      <c r="I37" s="15" t="n">
        <v>393.4</v>
      </c>
      <c r="J37" s="15" t="n">
        <v>435.8</v>
      </c>
      <c r="K37" s="15" t="n">
        <v>462.1</v>
      </c>
      <c r="L37" s="16" t="inlineStr">
        <is>
          <t>450M
按年 +14%
(3 位分析師)</t>
        </is>
      </c>
      <c r="M37" s="17" t="inlineStr">
        <is>
          <t>淨利 +37.0
經常 ≈帳面｜營運 +57.7
一次: 待核實</t>
        </is>
      </c>
      <c r="N37" s="17" t="inlineStr">
        <is>
          <t>淨利 +25.5
經常 ≈帳面｜營運 +38.2
一次: 待核實</t>
        </is>
      </c>
      <c r="O37" s="17" t="inlineStr">
        <is>
          <t>淨利 +44.2
經常 ≈帳面｜營運 +66.7
一次: 待核實</t>
        </is>
      </c>
      <c r="P37" s="18" t="inlineStr">
        <is>
          <t>淨利 +51.4
經常 ≈帳面｜營運 +76.7
一次: 待核實</t>
        </is>
      </c>
      <c r="Q37" s="16" t="inlineStr">
        <is>
          <t>EPS +0.88
按年 +22%
(3 位分析師)</t>
        </is>
      </c>
      <c r="R3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37" s="16" t="inlineStr">
        <is>
          <t>營運利潤四季：+57.7 → +38.2 → +66.7 → +76.7；按年 +33%；剔除一次性後與帳面一致；營運利潤率 16.6%。</t>
        </is>
      </c>
      <c r="T37" s="16" t="inlineStr">
        <is>
          <t>營運利潤為正、帳面≈經常、按年未倒退 —— 盈利乾淨。　收入按年 +11.6%　淨利率 11.1%　淨利按年 +37%。</t>
        </is>
      </c>
      <c r="U37" s="20" t="inlineStr">
        <is>
          <t>A</t>
        </is>
      </c>
      <c r="V37" s="10" t="inlineStr">
        <is>
          <t>Q2-26</t>
        </is>
      </c>
    </row>
    <row r="38" ht="62" customHeight="1">
      <c r="A38" s="10" t="n">
        <v>37</v>
      </c>
      <c r="B38" s="11" t="inlineStr">
        <is>
          <t>SBH</t>
        </is>
      </c>
      <c r="C38" s="10" t="inlineStr">
        <is>
          <t>—</t>
        </is>
      </c>
      <c r="D38" s="12" t="inlineStr">
        <is>
          <t>Sally Beauty Holdings, Inc.</t>
        </is>
      </c>
      <c r="E38" s="12" t="inlineStr">
        <is>
          <t>非必需消費／Specialty Retail</t>
        </is>
      </c>
      <c r="F38" s="13" t="inlineStr">
        <is>
          <t>USD</t>
        </is>
      </c>
      <c r="G38" s="14" t="inlineStr">
        <is>
          <t>Q3-25(25年9月) / Q4-25(25年12月) / Q1-26(26年3月) / Q2-26(26年6月)</t>
        </is>
      </c>
      <c r="H38" s="15" t="n">
        <v>947.1</v>
      </c>
      <c r="I38" s="15" t="n">
        <v>943.2</v>
      </c>
      <c r="J38" s="15" t="n">
        <v>903.4</v>
      </c>
      <c r="K38" s="15" t="n">
        <v>935.5</v>
      </c>
      <c r="L38" s="16" t="inlineStr">
        <is>
          <t>948M
按年 +1%
(2 位分析師)</t>
        </is>
      </c>
      <c r="M38" s="17" t="inlineStr">
        <is>
          <t>淨利 +49.9
經常 ≈帳面｜營運 +79.9
一次: 無重大</t>
        </is>
      </c>
      <c r="N38" s="17" t="inlineStr">
        <is>
          <t>淨利 +45.6
經常 ≈帳面｜營運 +75.9
一次: 待核實</t>
        </is>
      </c>
      <c r="O38" s="17" t="inlineStr">
        <is>
          <t>淨利 +42.7
經常 ≈帳面｜營運 +71.9
一次: 待核實</t>
        </is>
      </c>
      <c r="P38" s="18" t="inlineStr">
        <is>
          <t>淨利 +54.1
經常 ≈帳面｜營運 +86.4
一次: 待核實</t>
        </is>
      </c>
      <c r="Q38" s="16" t="inlineStr">
        <is>
          <t>EPS +0.53
按年 +10%
(3 位分析師)</t>
        </is>
      </c>
      <c r="R3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38" s="16" t="inlineStr">
        <is>
          <t>營運利潤四季：+79.9 → +75.9 → +71.9 → +86.4；按年 +11%；剔除一次性後與帳面一致；營運利潤率 9.2%。</t>
        </is>
      </c>
      <c r="T38" s="16" t="inlineStr">
        <is>
          <t>營運利潤為正、帳面≈經常、按年未倒退 —— 盈利乾淨。　收入按年 +0.2%　淨利率 5.8%　淨利按年 +18%。</t>
        </is>
      </c>
      <c r="U38" s="20" t="inlineStr">
        <is>
          <t>A</t>
        </is>
      </c>
      <c r="V38" s="10" t="inlineStr">
        <is>
          <t>Q2-26</t>
        </is>
      </c>
    </row>
    <row r="39" ht="62" customHeight="1">
      <c r="A39" s="10" t="n">
        <v>38</v>
      </c>
      <c r="B39" s="11" t="inlineStr">
        <is>
          <t>VSTM</t>
        </is>
      </c>
      <c r="C39" s="10" t="inlineStr">
        <is>
          <t>—</t>
        </is>
      </c>
      <c r="D39" s="12" t="inlineStr">
        <is>
          <t>Verastem, Inc.</t>
        </is>
      </c>
      <c r="E39" s="12" t="inlineStr">
        <is>
          <t>醫療保健／Biotechnology</t>
        </is>
      </c>
      <c r="F39" s="13" t="inlineStr">
        <is>
          <t>USD</t>
        </is>
      </c>
      <c r="G39" s="14" t="inlineStr">
        <is>
          <t>Q3-25(25年9月) / Q4-25(25年12月) / Q1-26(26年3月) / Q2-26(26年6月)</t>
        </is>
      </c>
      <c r="H39" s="15" t="n">
        <v>11.2</v>
      </c>
      <c r="I39" s="15" t="n">
        <v>17.5</v>
      </c>
      <c r="J39" s="15" t="n">
        <v>18.7</v>
      </c>
      <c r="K39" s="15" t="n">
        <v>40.1</v>
      </c>
      <c r="L39" s="16" t="inlineStr">
        <is>
          <t>34M
按年 +91%
(9 位分析師)</t>
        </is>
      </c>
      <c r="M39" s="17" t="inlineStr">
        <is>
          <t>淨利 -98.5
經常 -42.6｜營運 -40.7
一次: -55.9</t>
        </is>
      </c>
      <c r="N39" s="17" t="inlineStr">
        <is>
          <t>淨利 -32.9
經常 -43.4｜營運 -41.5
一次: +10.5</t>
        </is>
      </c>
      <c r="O39" s="17" t="inlineStr">
        <is>
          <t>淨利 -36.6
經常 -45.9｜營運 -44.9
一次: +9.3</t>
        </is>
      </c>
      <c r="P39" s="18" t="inlineStr">
        <is>
          <t>淨利 -34.7
經常 ≈帳面｜營運 -32.7
一次: 無重大</t>
        </is>
      </c>
      <c r="Q39" s="16" t="inlineStr">
        <is>
          <t>EPS -0.43
按年 +6%
(2 位分析師)</t>
        </is>
      </c>
      <c r="R39" s="16" t="inlineStr">
        <is>
          <t>無重大一次性項目（Yahoo「Total Unusual Items」為零或極小）；帳面淨利≈經常性淨利。</t>
        </is>
      </c>
      <c r="S39" s="16" t="inlineStr">
        <is>
          <t>營運利潤四季：-40.7 → -41.5 → -44.9 → -32.7；按年 +25%；剔除一次性後與帳面一致；營運利潤率 -81.6%。</t>
        </is>
      </c>
      <c r="T39" s="16" t="inlineStr">
        <is>
          <t>營運仍虧損，但四季軌跡收窄中。　收入按年 +1775.4%　淨利率 -86.5%　淨利按年 -34%。</t>
        </is>
      </c>
      <c r="U39" s="22" t="inlineStr">
        <is>
          <t>C</t>
        </is>
      </c>
      <c r="V39" s="10" t="inlineStr">
        <is>
          <t>Q2-26</t>
        </is>
      </c>
    </row>
    <row r="40" ht="62" customHeight="1">
      <c r="A40" s="10" t="n">
        <v>39</v>
      </c>
      <c r="B40" s="11" t="inlineStr">
        <is>
          <t>SEIC</t>
        </is>
      </c>
      <c r="C40" s="10" t="inlineStr">
        <is>
          <t>—</t>
        </is>
      </c>
      <c r="D40" s="12" t="inlineStr">
        <is>
          <t>SEI Investments Company</t>
        </is>
      </c>
      <c r="E40" s="12" t="inlineStr">
        <is>
          <t>金融／Asset Management</t>
        </is>
      </c>
      <c r="F40" s="13" t="inlineStr">
        <is>
          <t>USD</t>
        </is>
      </c>
      <c r="G40" s="14" t="inlineStr">
        <is>
          <t>Q3-25(25年9月) / Q4-25(25年12月) / Q1-26(26年3月) / Q2-26(26年6月)</t>
        </is>
      </c>
      <c r="H40" s="15" t="n">
        <v>578.5</v>
      </c>
      <c r="I40" s="15" t="n">
        <v>607.9</v>
      </c>
      <c r="J40" s="15" t="n">
        <v>622.2</v>
      </c>
      <c r="K40" s="15" t="n">
        <v>641.6</v>
      </c>
      <c r="L40" s="16" t="inlineStr">
        <is>
          <t>668M
按年 +10%
(5 位分析師)</t>
        </is>
      </c>
      <c r="M40" s="17" t="inlineStr">
        <is>
          <t>淨利 +164.2
經常 +162.6｜營運 +160.0
一次: 無重大</t>
        </is>
      </c>
      <c r="N40" s="17" t="inlineStr">
        <is>
          <t>淨利 +172.5
經常 +171.2｜營運 +161.6
一次: 無重大</t>
        </is>
      </c>
      <c r="O40" s="17" t="inlineStr">
        <is>
          <t>淨利 +174.5
經常 ≈帳面｜營運 +189.5
一次: 無重大</t>
        </is>
      </c>
      <c r="P40" s="18" t="inlineStr">
        <is>
          <t>淨利 +195.7
經常 +192.9｜營運 +197.0
一次: 無重大</t>
        </is>
      </c>
      <c r="Q40" s="16" t="inlineStr">
        <is>
          <t>EPS +1.67
按年 +21%
(6 位分析師)</t>
        </is>
      </c>
      <c r="R40" s="16" t="inlineStr">
        <is>
          <t>無重大一次性項目（Yahoo「Total Unusual Items」為零或極小）；帳面淨利≈經常性淨利。</t>
        </is>
      </c>
      <c r="S40" s="16" t="inlineStr">
        <is>
          <t>營運利潤四季：+160.0 → +161.6 → +189.5 → +197.0；按年 +33%；剔除一次性後淨利 +192.9（帳面 +195.7，差 -2.8）；營運利潤率 30.7%。</t>
        </is>
      </c>
      <c r="T40" s="16" t="inlineStr">
        <is>
          <t>營運利潤為正、帳面≈經常、按年未倒退 —— 盈利乾淨。　收入按年 +14.7%　淨利率 30.5%　淨利按年 -14%。</t>
        </is>
      </c>
      <c r="U40" s="20" t="inlineStr">
        <is>
          <t>A</t>
        </is>
      </c>
      <c r="V40" s="10" t="inlineStr">
        <is>
          <t>Q2-26</t>
        </is>
      </c>
    </row>
    <row r="41" ht="62" customHeight="1">
      <c r="A41" s="10" t="n">
        <v>40</v>
      </c>
      <c r="B41" s="11" t="inlineStr">
        <is>
          <t>OVBC</t>
        </is>
      </c>
      <c r="C41" s="10" t="inlineStr">
        <is>
          <t>—</t>
        </is>
      </c>
      <c r="D41" s="12" t="inlineStr">
        <is>
          <t>Ohio Valley Banc Corp.</t>
        </is>
      </c>
      <c r="E41" s="12" t="inlineStr">
        <is>
          <t>金融／Banks - Regional</t>
        </is>
      </c>
      <c r="F41" s="13" t="inlineStr">
        <is>
          <t>USD</t>
        </is>
      </c>
      <c r="G41" s="14" t="inlineStr">
        <is>
          <t>Q3-25(25年9月) / Q4-25(25年12月) / Q1-26(26年3月) / Q2-26(26年6月)</t>
        </is>
      </c>
      <c r="H41" s="15" t="n">
        <v>16.3</v>
      </c>
      <c r="I41" s="15" t="n">
        <v>16.2</v>
      </c>
      <c r="J41" s="15" t="n">
        <v>18.2</v>
      </c>
      <c r="K41" s="15" t="n">
        <v>18.6</v>
      </c>
      <c r="L41" s="16" t="inlineStr">
        <is>
          <t>無收入</t>
        </is>
      </c>
      <c r="M41" s="17" t="inlineStr">
        <is>
          <t>淨利 +3.0
經常 ≈帳面｜稅前 +3.7
一次: 待核實</t>
        </is>
      </c>
      <c r="N41" s="17" t="inlineStr">
        <is>
          <t>淨利 +4.0
經常 ≈帳面｜稅前 +5.0
一次: 待核實</t>
        </is>
      </c>
      <c r="O41" s="17" t="inlineStr">
        <is>
          <t>淨利 +4.3
經常 ≈帳面｜稅前 +5.3
一次: 待核實</t>
        </is>
      </c>
      <c r="P41" s="18" t="inlineStr">
        <is>
          <t>淨利 +2.9
經常 ≈帳面｜稅前 +3.6
一次: 待核實</t>
        </is>
      </c>
      <c r="Q41" s="16" t="inlineStr">
        <is>
          <t>—</t>
        </is>
      </c>
      <c r="R4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41" s="16" t="inlineStr">
        <is>
          <t>稅前利潤四季：+3.7 → +5.0 → +5.3 → +3.6；按年 -31%；剔除一次性後與帳面一致；稅前利潤率 19.3%；（Yahoo 冇為呢類金融股公布營運利潤，改用稅前利潤做經常性基準）。</t>
        </is>
      </c>
      <c r="T41" s="16" t="inlineStr">
        <is>
          <t>稅前利潤為正但按年倒退，盈利仍在但動能轉弱。　收入按年 +6.9%　淨利率 15.8%　淨利按年 -30%。</t>
        </is>
      </c>
      <c r="U41" s="19" t="inlineStr">
        <is>
          <t>B</t>
        </is>
      </c>
      <c r="V41" s="10" t="inlineStr">
        <is>
          <t>Q2-26</t>
        </is>
      </c>
    </row>
    <row r="42" ht="62" customHeight="1">
      <c r="A42" s="10" t="n">
        <v>41</v>
      </c>
      <c r="B42" s="11" t="inlineStr">
        <is>
          <t>NAVI</t>
        </is>
      </c>
      <c r="C42" s="10" t="inlineStr">
        <is>
          <t>—</t>
        </is>
      </c>
      <c r="D42" s="12" t="inlineStr">
        <is>
          <t>Navient Corporation</t>
        </is>
      </c>
      <c r="E42" s="12" t="inlineStr">
        <is>
          <t>金融／Credit Services</t>
        </is>
      </c>
      <c r="F42" s="13" t="inlineStr">
        <is>
          <t>USD</t>
        </is>
      </c>
      <c r="G42" s="14" t="inlineStr">
        <is>
          <t>Q3-25(25年9月) / Q4-25(25年12月) / Q1-26(26年3月) / Q2-26(26年6月)</t>
        </is>
      </c>
      <c r="H42" s="15" t="n">
        <v>161</v>
      </c>
      <c r="I42" s="15" t="n">
        <v>137</v>
      </c>
      <c r="J42" s="15" t="n">
        <v>152</v>
      </c>
      <c r="K42" s="15" t="n">
        <v>150</v>
      </c>
      <c r="L42" s="16" t="inlineStr">
        <is>
          <t>138M
按年 +7%
(3 位分析師)</t>
        </is>
      </c>
      <c r="M42" s="17" t="inlineStr">
        <is>
          <t>淨利 -86.0
經常 -77.9｜稅前 -117.0
一次: -11.0 (稅影響 -2.9)</t>
        </is>
      </c>
      <c r="N42" s="17" t="inlineStr">
        <is>
          <t>淨利 -5.0
經常 +4.3｜稅前 -7.0
一次: -13.0 (稅影響 -3.7)</t>
        </is>
      </c>
      <c r="O42" s="17" t="inlineStr">
        <is>
          <t>淨利 +17.0
經常 +19.4｜稅前 +32.0
一次: -4.0 (稅影響 -1.6)</t>
        </is>
      </c>
      <c r="P42" s="18" t="inlineStr">
        <is>
          <t>淨利 +25.0
經常 +26.9｜稅前 +39.0
一次: -3.0 (稅影響 -1.1)</t>
        </is>
      </c>
      <c r="Q42" s="16" t="inlineStr">
        <is>
          <t>EPS +0.21
按年 +965%
(7 位分析師)</t>
        </is>
      </c>
      <c r="R42" s="16" t="inlineStr">
        <is>
          <t>最新季一次性項目 -3.0（支出／減值，令帳面難看），佔帳面淨利 12%。明細性質（資產出售／減值／訴訟／稅務）需查財報原文，本表只取金額，會否重複列「待核實」。</t>
        </is>
      </c>
      <c r="S42" s="16" t="inlineStr">
        <is>
          <t>稅前利潤四季：-117.0 → -7.0 → +32.0 → +39.0；按年 +117%；剔除一次性後淨利 +26.9（帳面 +25.0，差 +1.9）；稅前利潤率 26.0%；（Yahoo 冇為呢類金融股公布營運利潤，改用稅前利潤做經常性基準）。</t>
        </is>
      </c>
      <c r="T42" s="16" t="inlineStr">
        <is>
          <t>稅前層面盈利，但帳面淨利含重大一次性項目，經常性口徑要另計。　收入按年 -3.8%　淨利率 16.7%　淨利按年 +79%。</t>
        </is>
      </c>
      <c r="U42" s="19" t="inlineStr">
        <is>
          <t>B</t>
        </is>
      </c>
      <c r="V42" s="10" t="inlineStr">
        <is>
          <t>Q2-26</t>
        </is>
      </c>
    </row>
    <row r="43" ht="62" customHeight="1">
      <c r="A43" s="10" t="n">
        <v>42</v>
      </c>
      <c r="B43" s="11" t="inlineStr">
        <is>
          <t>NATH</t>
        </is>
      </c>
      <c r="C43" s="10" t="inlineStr">
        <is>
          <t>—</t>
        </is>
      </c>
      <c r="D43" s="12" t="inlineStr">
        <is>
          <t>Nathan's Famous, Inc.</t>
        </is>
      </c>
      <c r="E43" s="12" t="inlineStr">
        <is>
          <t>非必需消費／Restaurants</t>
        </is>
      </c>
      <c r="F43" s="13" t="inlineStr">
        <is>
          <t>USD</t>
        </is>
      </c>
      <c r="G43" s="14" t="inlineStr">
        <is>
          <t>Q3-25(25年9月) / Q4-25(25年12月) / Q1-26(26年3月) / Q2-26(26年6月)</t>
        </is>
      </c>
      <c r="H43" s="15" t="n">
        <v>45.7</v>
      </c>
      <c r="I43" s="15" t="n">
        <v>34.3</v>
      </c>
      <c r="J43" s="15" t="n">
        <v>35.1</v>
      </c>
      <c r="K43" s="15" t="n">
        <v>54.1</v>
      </c>
      <c r="L43" s="16" t="inlineStr">
        <is>
          <t>無收入</t>
        </is>
      </c>
      <c r="M43" s="17" t="inlineStr">
        <is>
          <t>淨利 +5.2
經常 ≈帳面｜營運 +7.5
一次: 無重大</t>
        </is>
      </c>
      <c r="N43" s="17" t="inlineStr">
        <is>
          <t>淨利 +3.1
經常 ≈帳面｜營運 +5.1
一次: 無重大</t>
        </is>
      </c>
      <c r="O43" s="17" t="inlineStr">
        <is>
          <t>淨利 +2.8
經常 ≈帳面｜營運 +4.7
一次: 無重大</t>
        </is>
      </c>
      <c r="P43" s="18" t="inlineStr">
        <is>
          <t>淨利 +8.8
經常 ≈帳面｜營運 +12.7
一次: 待核實</t>
        </is>
      </c>
      <c r="Q43" s="16" t="inlineStr">
        <is>
          <t>—</t>
        </is>
      </c>
      <c r="R4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43" s="16" t="inlineStr">
        <is>
          <t>營運利潤四季：+7.5 → +5.1 → +4.7 → +12.7；按年 -1%；剔除一次性後與帳面一致；營運利潤率 23.4%。</t>
        </is>
      </c>
      <c r="T43" s="16" t="inlineStr">
        <is>
          <t>營運利潤為正但按年倒退，盈利仍在但動能轉弱。　收入按年 +15.0%　淨利率 16.3%　淨利按年 -1%。</t>
        </is>
      </c>
      <c r="U43" s="19" t="inlineStr">
        <is>
          <t>B</t>
        </is>
      </c>
      <c r="V43" s="10" t="inlineStr">
        <is>
          <t>Q2-26</t>
        </is>
      </c>
    </row>
    <row r="44" ht="62" customHeight="1">
      <c r="A44" s="10" t="n">
        <v>43</v>
      </c>
      <c r="B44" s="11" t="inlineStr">
        <is>
          <t>SGHT</t>
        </is>
      </c>
      <c r="C44" s="10" t="inlineStr">
        <is>
          <t>—</t>
        </is>
      </c>
      <c r="D44" s="12" t="inlineStr">
        <is>
          <t>Sight Sciences, Inc.</t>
        </is>
      </c>
      <c r="E44" s="12" t="inlineStr">
        <is>
          <t>醫療保健／Medical Devices</t>
        </is>
      </c>
      <c r="F44" s="13" t="inlineStr">
        <is>
          <t>USD</t>
        </is>
      </c>
      <c r="G44" s="14" t="inlineStr">
        <is>
          <t>Q3-25(25年9月) / Q4-25(25年12月) / Q1-26(26年3月) / Q2-26(26年6月)</t>
        </is>
      </c>
      <c r="H44" s="15" t="n">
        <v>19.9</v>
      </c>
      <c r="I44" s="15" t="n">
        <v>20.4</v>
      </c>
      <c r="J44" s="15" t="n">
        <v>19.7</v>
      </c>
      <c r="K44" s="15" t="n">
        <v>23.4</v>
      </c>
      <c r="L44" s="16" t="inlineStr">
        <is>
          <t>24M
按年 +16%
(7 位分析師)</t>
        </is>
      </c>
      <c r="M44" s="17" t="inlineStr">
        <is>
          <t>淨利 -8.2
經常 -9.1｜營運 -7.9
一次: 無重大</t>
        </is>
      </c>
      <c r="N44" s="17" t="inlineStr">
        <is>
          <t>淨利 -4.2
經常 -4.8｜營運 -3.7
一次: 無重大</t>
        </is>
      </c>
      <c r="O44" s="17" t="inlineStr">
        <is>
          <t>淨利 -13.0
經常 -13.4｜營運 -12.4
一次: 無重大</t>
        </is>
      </c>
      <c r="P44" s="18" t="inlineStr">
        <is>
          <t>淨利 -4.4
經常 -4.9｜營運 -3.9
一次: 無重大</t>
        </is>
      </c>
      <c r="Q44" s="16" t="inlineStr">
        <is>
          <t>EPS -0.13
按年 -68%
(5 位分析師)</t>
        </is>
      </c>
      <c r="R44" s="16" t="inlineStr">
        <is>
          <t>無重大一次性項目（Yahoo「Total Unusual Items」為零或極小）；帳面淨利≈經常性淨利。</t>
        </is>
      </c>
      <c r="S44" s="16" t="inlineStr">
        <is>
          <t>營運利潤四季：-7.9 → -3.7 → -12.4 → -3.9；按年 +67%；剔除一次性後與帳面一致；營運利潤率 -16.6%。</t>
        </is>
      </c>
      <c r="T44" s="16" t="inlineStr">
        <is>
          <t>營運仍虧損，但四季軌跡收窄中。　收入按年 +19.5%　淨利率 -19.0%　淨利按年 +63%。</t>
        </is>
      </c>
      <c r="U44" s="22" t="inlineStr">
        <is>
          <t>C</t>
        </is>
      </c>
      <c r="V44" s="10" t="inlineStr">
        <is>
          <t>Q2-26</t>
        </is>
      </c>
    </row>
    <row r="45" ht="62" customHeight="1">
      <c r="A45" s="10" t="n">
        <v>44</v>
      </c>
      <c r="B45" s="11" t="inlineStr">
        <is>
          <t>NUTX</t>
        </is>
      </c>
      <c r="C45" s="10" t="inlineStr">
        <is>
          <t>—</t>
        </is>
      </c>
      <c r="D45" s="12" t="inlineStr">
        <is>
          <t>Nutex Health Inc.</t>
        </is>
      </c>
      <c r="E45" s="12" t="inlineStr">
        <is>
          <t>非必需消費／Medical Care Facilities</t>
        </is>
      </c>
      <c r="F45" s="13" t="inlineStr">
        <is>
          <t>USD</t>
        </is>
      </c>
      <c r="G45" s="14" t="inlineStr">
        <is>
          <t>Q3-25(25年9月) / Q4-25(25年12月) / Q1-26(26年3月) / Q2-26(26年6月)</t>
        </is>
      </c>
      <c r="H45" s="15" t="n">
        <v>267.8</v>
      </c>
      <c r="I45" s="15" t="n">
        <v>151.7</v>
      </c>
      <c r="J45" s="15" t="n">
        <v>216.5</v>
      </c>
      <c r="K45" s="15" t="n">
        <v>210.8</v>
      </c>
      <c r="L45" s="16" t="inlineStr">
        <is>
          <t>230M
按年 +51%
(5 位分析師)</t>
        </is>
      </c>
      <c r="M45" s="17" t="inlineStr">
        <is>
          <t>淨利 +55.4
經常 ≈帳面｜營運 +130.4
一次: 無重大</t>
        </is>
      </c>
      <c r="N45" s="17" t="inlineStr">
        <is>
          <t>淨利 +11.8
經常 ≈帳面｜營運 +30.9
一次: 無重大</t>
        </is>
      </c>
      <c r="O45" s="17" t="inlineStr">
        <is>
          <t>淨利 +46.8
經常 ≈帳面｜營運 +81.3
一次: 待核實</t>
        </is>
      </c>
      <c r="P45" s="18" t="inlineStr">
        <is>
          <t>淨利 +65.8
經常 ≈帳面｜營運 +121.7
一次: 待核實</t>
        </is>
      </c>
      <c r="Q45" s="16" t="inlineStr">
        <is>
          <t>EPS +6.21
按年 +284%
(5 位分析師)</t>
        </is>
      </c>
      <c r="R4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45" s="16" t="inlineStr">
        <is>
          <t>營運利潤四季：+130.4 → +30.9 → +81.3 → +121.7；按年 +261%；剔除一次性後與帳面一致；營運利潤率 57.8%。</t>
        </is>
      </c>
      <c r="T45" s="16" t="inlineStr">
        <is>
          <t>營運利潤為正、帳面≈經常、按年未倒退 —— 盈利乾淨。　收入按年 -13.6%　淨利率 31.2%　淨利按年 +472%。</t>
        </is>
      </c>
      <c r="U45" s="20" t="inlineStr">
        <is>
          <t>A</t>
        </is>
      </c>
      <c r="V45" s="10" t="inlineStr">
        <is>
          <t>Q2-26</t>
        </is>
      </c>
    </row>
    <row r="46" ht="62" customHeight="1">
      <c r="A46" s="10" t="n">
        <v>45</v>
      </c>
      <c r="B46" s="11" t="inlineStr">
        <is>
          <t>FMAO</t>
        </is>
      </c>
      <c r="C46" s="10" t="inlineStr">
        <is>
          <t>—</t>
        </is>
      </c>
      <c r="D46" s="12" t="inlineStr">
        <is>
          <t>Farmers &amp; Merchants Bancorp, Inc.</t>
        </is>
      </c>
      <c r="E46" s="12" t="inlineStr">
        <is>
          <t>金融／Banks - Regional</t>
        </is>
      </c>
      <c r="F46" s="13" t="inlineStr">
        <is>
          <t>USD</t>
        </is>
      </c>
      <c r="G46" s="14" t="inlineStr">
        <is>
          <t>Q3-25(25年9月) / Q4-25(25年12月) / Q1-26(26年3月) / Q2-26(26年6月)</t>
        </is>
      </c>
      <c r="H46" s="15" t="n">
        <v>30.2</v>
      </c>
      <c r="I46" s="15" t="n">
        <v>31.5</v>
      </c>
      <c r="J46" s="15" t="n">
        <v>31.6</v>
      </c>
      <c r="K46" s="15" t="n">
        <v>33.2</v>
      </c>
      <c r="L46" s="16" t="inlineStr">
        <is>
          <t>30M
按年 +7%
(3 位分析師)</t>
        </is>
      </c>
      <c r="M46" s="17" t="inlineStr">
        <is>
          <t>淨利 +8.7
經常 +8.9｜稅前 +11.2
一次: 無重大</t>
        </is>
      </c>
      <c r="N46" s="17" t="inlineStr">
        <is>
          <t>淨利 +9.7
經常 +9.8｜稅前 +12.8
一次: 無重大</t>
        </is>
      </c>
      <c r="O46" s="17" t="inlineStr">
        <is>
          <t>淨利 +9.5
經常 +9.6｜稅前 +12.3
一次: 無重大</t>
        </is>
      </c>
      <c r="P46" s="18" t="inlineStr">
        <is>
          <t>淨利 +11.6
經常 +11.8｜稅前 +14.8
一次: 無重大</t>
        </is>
      </c>
      <c r="Q46" s="16" t="inlineStr">
        <is>
          <t>EPS +0.80
按年 +13%
(3 位分析師)</t>
        </is>
      </c>
      <c r="R46" s="16" t="inlineStr">
        <is>
          <t>無重大一次性項目（Yahoo「Total Unusual Items」為零或極小）；帳面淨利≈經常性淨利。</t>
        </is>
      </c>
      <c r="S46" s="16" t="inlineStr">
        <is>
          <t>稅前利潤四季：+11.2 → +12.8 → +12.3 → +14.8；按年 +52%；剔除一次性後與帳面一致；稅前利潤率 44.5%；（Yahoo 冇為呢類金融股公布營運利潤，改用稅前利潤做經常性基準）。</t>
        </is>
      </c>
      <c r="T46" s="16" t="inlineStr">
        <is>
          <t>稅前利潤為正、帳面≈經常、按年未倒退 —— 盈利乾淨。　收入按年 +16.3%　淨利率 35.1%　淨利按年 +53%。</t>
        </is>
      </c>
      <c r="U46" s="20" t="inlineStr">
        <is>
          <t>A</t>
        </is>
      </c>
      <c r="V46" s="10" t="inlineStr">
        <is>
          <t>Q2-26</t>
        </is>
      </c>
    </row>
    <row r="47" ht="62" customHeight="1">
      <c r="A47" s="10" t="n">
        <v>46</v>
      </c>
      <c r="B47" s="11" t="inlineStr">
        <is>
          <t>CNX</t>
        </is>
      </c>
      <c r="C47" s="10" t="inlineStr">
        <is>
          <t>—</t>
        </is>
      </c>
      <c r="D47" s="12" t="inlineStr">
        <is>
          <t>CNX Resources Corporation</t>
        </is>
      </c>
      <c r="E47" s="12" t="inlineStr">
        <is>
          <t>能源／Oil &amp; Gas E&amp;P</t>
        </is>
      </c>
      <c r="F47" s="13" t="inlineStr">
        <is>
          <t>USD</t>
        </is>
      </c>
      <c r="G47" s="14" t="inlineStr">
        <is>
          <t>Q3-25(25年9月) / Q4-25(25年12月) / Q1-26(26年3月) / Q2-26(26年6月)</t>
        </is>
      </c>
      <c r="H47" s="15" t="n">
        <v>452.1</v>
      </c>
      <c r="I47" s="15" t="n">
        <v>538.4</v>
      </c>
      <c r="J47" s="15" t="n">
        <v>782.7</v>
      </c>
      <c r="K47" s="15" t="n">
        <v>442.1</v>
      </c>
      <c r="L47" s="16" t="inlineStr">
        <is>
          <t>511M
按年 -16%
(3 位分析師)</t>
        </is>
      </c>
      <c r="M47" s="17" t="inlineStr">
        <is>
          <t>淨利 +202.1
經常 +50.5｜營運 +111.8
一次: +199.2 (稅影響 +47.6)</t>
        </is>
      </c>
      <c r="N47" s="17" t="inlineStr">
        <is>
          <t>淨利 +196.3
經常 +131.0｜營運 +191.5
一次: +74.6 (稅影響 +9.4)</t>
        </is>
      </c>
      <c r="O47" s="17" t="inlineStr">
        <is>
          <t>淨利 +348.1
經常 ≈帳面｜營運 +469.7
一次: 無重大</t>
        </is>
      </c>
      <c r="P47" s="18" t="inlineStr">
        <is>
          <t>淨利 +202.9
經常 +52.4｜營運 +107.9
一次: +175.7 (稅影響 +25.1)</t>
        </is>
      </c>
      <c r="Q47" s="16" t="inlineStr">
        <is>
          <t>EPS +0.69
按年 +3%
(5 位分析師)</t>
        </is>
      </c>
      <c r="R47" s="16" t="inlineStr">
        <is>
          <t>最新季一次性項目 +175.7（收益，令帳面好看），佔帳面淨利 87%。明細性質（資產出售／減值／訴訟／稅務）需查財報原文，本表只取金額，會否重複列「待核實」。</t>
        </is>
      </c>
      <c r="S47" s="16" t="inlineStr">
        <is>
          <t>營運利潤四季：+111.8 → +191.5 → +469.7 → +107.9；按年 -43%；剔除一次性後淨利 +52.4（帳面 +202.9，差 -150.6）；營運利潤率 24.4%。</t>
        </is>
      </c>
      <c r="T47" s="16" t="inlineStr">
        <is>
          <t>營運層面盈利，但帳面淨利含重大一次性項目，經常性口徑要另計。　收入按年 -18.3%　淨利率 45.9%　淨利按年 -53%。</t>
        </is>
      </c>
      <c r="U47" s="19" t="inlineStr">
        <is>
          <t>B</t>
        </is>
      </c>
      <c r="V47" s="10" t="inlineStr">
        <is>
          <t>Q2-26</t>
        </is>
      </c>
    </row>
    <row r="48" ht="62" customHeight="1">
      <c r="A48" s="10" t="n">
        <v>47</v>
      </c>
      <c r="B48" s="11" t="inlineStr">
        <is>
          <t>MLAB</t>
        </is>
      </c>
      <c r="C48" s="10" t="inlineStr">
        <is>
          <t>—</t>
        </is>
      </c>
      <c r="D48" s="12" t="inlineStr">
        <is>
          <t>Mesa Laboratories, Inc.</t>
        </is>
      </c>
      <c r="E48" s="12" t="inlineStr">
        <is>
          <t>工業／Scientific &amp; Technical Instruments</t>
        </is>
      </c>
      <c r="F48" s="13" t="inlineStr">
        <is>
          <t>USD</t>
        </is>
      </c>
      <c r="G48" s="14" t="inlineStr">
        <is>
          <t>Q3-25(25年9月) / Q4-25(25年12月) / Q1-26(26年3月) / Q2-26(26年6月)</t>
        </is>
      </c>
      <c r="H48" s="15" t="n">
        <v>60.7</v>
      </c>
      <c r="I48" s="15" t="n">
        <v>65.09999999999999</v>
      </c>
      <c r="J48" s="15" t="n">
        <v>63.7</v>
      </c>
      <c r="K48" s="15" t="n">
        <v>60.1</v>
      </c>
      <c r="L48" s="16" t="inlineStr">
        <is>
          <t>66M
按年 +2%
(3 位分析師)</t>
        </is>
      </c>
      <c r="M48" s="17" t="inlineStr">
        <is>
          <t>淨利 +2.5
經常 ≈帳面｜營運 +4.7
一次: 無重大</t>
        </is>
      </c>
      <c r="N48" s="17" t="inlineStr">
        <is>
          <t>淨利 +3.6
經常 ≈帳面｜營運 +8.0
一次: 無重大</t>
        </is>
      </c>
      <c r="O48" s="17" t="inlineStr">
        <is>
          <t>淨利 -4.1
經常 ≈帳面｜營運 +2.7
一次: 無重大</t>
        </is>
      </c>
      <c r="P48" s="18" t="inlineStr">
        <is>
          <t>淨利 +2.8
經常 ≈帳面｜營運 +7.0
一次: 待核實</t>
        </is>
      </c>
      <c r="Q48" s="16" t="inlineStr">
        <is>
          <t>EPS +2.71
按年 +54%
(1 位分析師)</t>
        </is>
      </c>
      <c r="R4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48" s="16" t="inlineStr">
        <is>
          <t>營運利潤四季：+4.7 → +8.0 → +2.7 → +7.0；按年 +129%；剔除一次性後與帳面一致；營運利潤率 11.7%。</t>
        </is>
      </c>
      <c r="T48" s="16" t="inlineStr">
        <is>
          <t>營運利潤為正、帳面≈經常、按年未倒退 —— 盈利乾淨。　收入按年 +1.0%　淨利率 4.7%　淨利按年 -40%。</t>
        </is>
      </c>
      <c r="U48" s="20" t="inlineStr">
        <is>
          <t>A</t>
        </is>
      </c>
      <c r="V48" s="10" t="inlineStr">
        <is>
          <t>Q2-26</t>
        </is>
      </c>
    </row>
    <row r="49" ht="62" customHeight="1">
      <c r="A49" s="10" t="n">
        <v>48</v>
      </c>
      <c r="B49" s="11" t="inlineStr">
        <is>
          <t>HUBS</t>
        </is>
      </c>
      <c r="C49" s="10" t="inlineStr">
        <is>
          <t>—</t>
        </is>
      </c>
      <c r="D49" s="12" t="inlineStr">
        <is>
          <t>HubSpot, Inc.</t>
        </is>
      </c>
      <c r="E49" s="12" t="inlineStr">
        <is>
          <t>科技／Software - Application</t>
        </is>
      </c>
      <c r="F49" s="13" t="inlineStr">
        <is>
          <t>USD</t>
        </is>
      </c>
      <c r="G49" s="14" t="inlineStr">
        <is>
          <t>Q3-25(25年9月) / Q4-25(25年12月) / Q1-26(26年3月) / Q2-26(26年6月)</t>
        </is>
      </c>
      <c r="H49" s="15" t="n">
        <v>809.5</v>
      </c>
      <c r="I49" s="15" t="n">
        <v>846.7</v>
      </c>
      <c r="J49" s="15" t="n">
        <v>881</v>
      </c>
      <c r="K49" s="15" t="n">
        <v>911.7</v>
      </c>
      <c r="L49" s="16" t="inlineStr">
        <is>
          <t>966M
按年 +14%
(27 位分析師)</t>
        </is>
      </c>
      <c r="M49" s="17" t="inlineStr">
        <is>
          <t>淨利 +16.5
經常 +17.3｜營運 +12.3
一次: -1.0 (稅影響 -0.3)</t>
        </is>
      </c>
      <c r="N49" s="17" t="inlineStr">
        <is>
          <t>淨利 +54.4
經常 +55.1｜營運 +49.1
一次: 無重大</t>
        </is>
      </c>
      <c r="O49" s="17" t="inlineStr">
        <is>
          <t>淨利 +32.6
經常 +33.5｜營運 +29.0
一次: -1.1 (稅影響 -0.2)</t>
        </is>
      </c>
      <c r="P49" s="18" t="inlineStr">
        <is>
          <t>淨利 +43.3
經常 +44.3｜營運 +44.4
一次: -1.1 (稅影響 -0.1)</t>
        </is>
      </c>
      <c r="Q49" s="16" t="inlineStr">
        <is>
          <t>EPS +4.07
按年 +32%
(30 位分析師)</t>
        </is>
      </c>
      <c r="R49" s="16" t="inlineStr">
        <is>
          <t>最新季一次性項目 -1.1（支出／減值，令帳面難看），佔帳面淨利 2%。明細性質（資產出售／減值／訴訟／稅務）需查財報原文，本表只取金額，會否重複列「待核實」。</t>
        </is>
      </c>
      <c r="S49" s="16" t="inlineStr">
        <is>
          <t>營運利潤四季：+12.3 → +49.1 → +29.0 → +44.4；按年 +289%；剔除一次性後與帳面一致；營運利潤率 4.9%。</t>
        </is>
      </c>
      <c r="T49" s="16" t="inlineStr">
        <is>
          <t>營運利潤為正、帳面≈經常、按年未倒退 —— 盈利乾淨。　收入按年 +19.8%　淨利率 4.8%　淨利按年 +1430%。</t>
        </is>
      </c>
      <c r="U49" s="20" t="inlineStr">
        <is>
          <t>A</t>
        </is>
      </c>
      <c r="V49" s="10" t="inlineStr">
        <is>
          <t>Q2-26</t>
        </is>
      </c>
    </row>
    <row r="50" ht="62" customHeight="1">
      <c r="A50" s="10" t="n">
        <v>49</v>
      </c>
      <c r="B50" s="11" t="inlineStr">
        <is>
          <t>RIGL</t>
        </is>
      </c>
      <c r="C50" s="10" t="inlineStr">
        <is>
          <t>—</t>
        </is>
      </c>
      <c r="D50" s="12" t="inlineStr">
        <is>
          <t>Rigel Pharmaceuticals, Inc.</t>
        </is>
      </c>
      <c r="E50" s="12" t="inlineStr">
        <is>
          <t>醫療保健／Biotechnology</t>
        </is>
      </c>
      <c r="F50" s="13" t="inlineStr">
        <is>
          <t>USD</t>
        </is>
      </c>
      <c r="G50" s="14" t="inlineStr">
        <is>
          <t>Q3-25(25年9月) / Q4-25(25年12月) / Q1-26(26年3月) / Q2-26(26年6月)</t>
        </is>
      </c>
      <c r="H50" s="15" t="n">
        <v>69.5</v>
      </c>
      <c r="I50" s="15" t="n">
        <v>69.8</v>
      </c>
      <c r="J50" s="15" t="n">
        <v>58.8</v>
      </c>
      <c r="K50" s="15" t="n">
        <v>78.7</v>
      </c>
      <c r="L50" s="16" t="inlineStr">
        <is>
          <t>88M
按年 +26%
(5 位分析師)</t>
        </is>
      </c>
      <c r="M50" s="17" t="inlineStr">
        <is>
          <t>淨利 +27.9
經常 ≈帳面｜營運 +28.4
一次: 待核實</t>
        </is>
      </c>
      <c r="N50" s="17" t="inlineStr">
        <is>
          <t>淨利 +268.1
經常 ≈帳面｜營運 +23.2
一次: 待核實</t>
        </is>
      </c>
      <c r="O50" s="17" t="inlineStr">
        <is>
          <t>淨利 +8.7
經常 ≈帳面｜營運 +11.9
一次: 待核實</t>
        </is>
      </c>
      <c r="P50" s="18" t="inlineStr">
        <is>
          <t>淨利 +17.3
經常 ≈帳面｜營運 +23.6
一次: 待核實</t>
        </is>
      </c>
      <c r="Q50" s="16" t="inlineStr">
        <is>
          <t>EPS +1.04
按年 -7%
(4 位分析師)</t>
        </is>
      </c>
      <c r="R5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50" s="16" t="inlineStr">
        <is>
          <t>營運利潤四季：+28.4 → +23.2 → +11.9 → +23.6；按年 -61%；剔除一次性後與帳面一致；營運利潤率 30.0%。</t>
        </is>
      </c>
      <c r="T50" s="16" t="inlineStr">
        <is>
          <t>營運利潤為正但按年倒退，盈利仍在但動能轉弱。　收入按年 -22.6%　淨利率 22.0%　淨利按年 -71%。</t>
        </is>
      </c>
      <c r="U50" s="19" t="inlineStr">
        <is>
          <t>B</t>
        </is>
      </c>
      <c r="V50" s="10" t="inlineStr">
        <is>
          <t>Q2-26</t>
        </is>
      </c>
    </row>
    <row r="51" ht="62" customHeight="1">
      <c r="A51" s="10" t="n">
        <v>50</v>
      </c>
      <c r="B51" s="11" t="inlineStr">
        <is>
          <t>TECH</t>
        </is>
      </c>
      <c r="C51" s="10" t="inlineStr">
        <is>
          <t>—</t>
        </is>
      </c>
      <c r="D51" s="12" t="inlineStr">
        <is>
          <t>Bio-Techne Corporation</t>
        </is>
      </c>
      <c r="E51" s="12" t="inlineStr">
        <is>
          <t>醫療保健／Biotechnology</t>
        </is>
      </c>
      <c r="F51" s="13" t="inlineStr">
        <is>
          <t>USD</t>
        </is>
      </c>
      <c r="G51" s="14" t="inlineStr">
        <is>
          <t>Q3-25(25年9月) / Q4-25(25年12月) / Q1-26(26年3月) / Q2-26(26年6月)</t>
        </is>
      </c>
      <c r="H51" s="15" t="n">
        <v>286.6</v>
      </c>
      <c r="I51" s="15" t="n">
        <v>295.9</v>
      </c>
      <c r="J51" s="15" t="n">
        <v>311.4</v>
      </c>
      <c r="K51" s="15" t="n">
        <v>321.2</v>
      </c>
      <c r="L51" s="16" t="inlineStr">
        <is>
          <t>308M
按年 +4%
(8 位分析師)</t>
        </is>
      </c>
      <c r="M51" s="17" t="inlineStr">
        <is>
          <t>淨利 +38.2
經常 ≈帳面｜營運 +47.7
一次: 待核實</t>
        </is>
      </c>
      <c r="N51" s="17" t="inlineStr">
        <is>
          <t>淨利 +38.0
經常 ≈帳面｜營運 +54.5
一次: 待核實</t>
        </is>
      </c>
      <c r="O51" s="17" t="inlineStr">
        <is>
          <t>淨利 +51.0
經常 ≈帳面｜營運 +75.5
一次: 待核實</t>
        </is>
      </c>
      <c r="P51" s="18" t="inlineStr">
        <is>
          <t>淨利 +54.6
經常 ≈帳面｜營運 +95.0
一次: 待核實</t>
        </is>
      </c>
      <c r="Q51" s="16" t="inlineStr">
        <is>
          <t>EPS +0.48
按年 +5%
(5 位分析師)</t>
        </is>
      </c>
      <c r="R5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51" s="16" t="inlineStr">
        <is>
          <t>營運利潤四季：+47.7 → +54.5 → +75.5 → +95.0；按年 -19%；剔除一次性後與帳面一致；營運利潤率 29.6%。</t>
        </is>
      </c>
      <c r="T51" s="16" t="inlineStr">
        <is>
          <t>營運利潤為正但按年倒退，盈利仍在但動能轉弱。　收入按年 +1.3%　淨利率 17.0%　淨利按年 +409%。</t>
        </is>
      </c>
      <c r="U51" s="19" t="inlineStr">
        <is>
          <t>B</t>
        </is>
      </c>
      <c r="V51" s="10" t="inlineStr">
        <is>
          <t>Q2-26</t>
        </is>
      </c>
    </row>
    <row r="52" ht="62" customHeight="1">
      <c r="A52" s="10" t="n">
        <v>51</v>
      </c>
      <c r="B52" s="11" t="inlineStr">
        <is>
          <t>ACN</t>
        </is>
      </c>
      <c r="C52" s="10" t="inlineStr">
        <is>
          <t>—</t>
        </is>
      </c>
      <c r="D52" s="12" t="inlineStr">
        <is>
          <t>Accenture plc</t>
        </is>
      </c>
      <c r="E52" s="12" t="inlineStr">
        <is>
          <t>科技／Information Technology Services</t>
        </is>
      </c>
      <c r="F52" s="13" t="inlineStr">
        <is>
          <t>USD</t>
        </is>
      </c>
      <c r="G52" s="14" t="inlineStr">
        <is>
          <t>Q3-25(25年8月) / Q4-25(25年11月) / Q1-26(26年2月) / Q2-26(26年5月)</t>
        </is>
      </c>
      <c r="H52" s="15" t="n">
        <v>17596.3</v>
      </c>
      <c r="I52" s="15" t="n">
        <v>18742.1</v>
      </c>
      <c r="J52" s="15" t="n">
        <v>18044.1</v>
      </c>
      <c r="K52" s="15" t="n">
        <v>18718.1</v>
      </c>
      <c r="L52" s="16" t="inlineStr">
        <is>
          <t>19,408M
按年 +4%
(17 位分析師)</t>
        </is>
      </c>
      <c r="M52" s="17" t="inlineStr">
        <is>
          <t>淨利 +1,414.0
經常 +1,843.8｜營運 +2,665.0
一次: -615.3 (稅影響 -185.4)</t>
        </is>
      </c>
      <c r="N52" s="17" t="inlineStr">
        <is>
          <t>淨利 +2,211.6
經常 +2,443.9｜營運 +3,181.2
一次: -307.5 (稅影響 -75.2)</t>
        </is>
      </c>
      <c r="O52" s="17" t="inlineStr">
        <is>
          <t>淨利 +1,825.2
經常 ≈帳面｜營運 +2,493.5
一次: 無重大</t>
        </is>
      </c>
      <c r="P52" s="18" t="inlineStr">
        <is>
          <t>淨利 +2,339.0
經常 ≈帳面｜營運 +3,175.3
一次: 無重大</t>
        </is>
      </c>
      <c r="Q52" s="16" t="inlineStr">
        <is>
          <t>EPS +3.99
按年 +1%
(20 位分析師)</t>
        </is>
      </c>
      <c r="R52" s="16" t="inlineStr">
        <is>
          <t>無重大一次性項目（Yahoo「Total Unusual Items」為零或極小）；帳面淨利≈經常性淨利。</t>
        </is>
      </c>
      <c r="S52" s="16" t="inlineStr">
        <is>
          <t>營運利潤四季：+2,665.0 → +3,181.2 → +2,493.5 → +3,175.3；按年 +6%；剔除一次性後與帳面一致；營運利潤率 17.0%。</t>
        </is>
      </c>
      <c r="T52" s="16" t="inlineStr">
        <is>
          <t>營運利潤為正、帳面≈經常、按年未倒退 —— 盈利乾淨。　收入按年 +5.6%　淨利率 12.5%　淨利按年 +6%。</t>
        </is>
      </c>
      <c r="U52" s="20" t="inlineStr">
        <is>
          <t>A</t>
        </is>
      </c>
      <c r="V52" s="10" t="inlineStr">
        <is>
          <t>Q2-26</t>
        </is>
      </c>
    </row>
    <row r="53" ht="62" customHeight="1">
      <c r="A53" s="10" t="n">
        <v>52</v>
      </c>
      <c r="B53" s="11" t="inlineStr">
        <is>
          <t>PLSE</t>
        </is>
      </c>
      <c r="C53" s="10" t="inlineStr">
        <is>
          <t>—</t>
        </is>
      </c>
      <c r="D53" s="12" t="inlineStr">
        <is>
          <t>Pulse Biosciences, Inc.</t>
        </is>
      </c>
      <c r="E53" s="12" t="inlineStr">
        <is>
          <t>醫療保健／Medical Instruments &amp; Supplies</t>
        </is>
      </c>
      <c r="F53" s="13" t="inlineStr">
        <is>
          <t>USD</t>
        </is>
      </c>
      <c r="G53" s="14" t="inlineStr">
        <is>
          <t>Q3-25(25年9月) / Q4-25(25年12月) / Q1-26(26年3月) / Q2-26(26年6月)</t>
        </is>
      </c>
      <c r="H53" s="15" t="n">
        <v>0.1</v>
      </c>
      <c r="I53" s="15" t="n">
        <v>0.3</v>
      </c>
      <c r="J53" s="15" t="n">
        <v>0.4</v>
      </c>
      <c r="K53" s="15" t="n">
        <v>0.4</v>
      </c>
      <c r="L53" s="16" t="inlineStr">
        <is>
          <t>1M
按年 +153%
(3 位分析師)
⚠口徑與財報不同</t>
        </is>
      </c>
      <c r="M53" s="17" t="inlineStr">
        <is>
          <t>淨利 -19.4
經常 ≈帳面｜營運 -20.4
一次: 待核實</t>
        </is>
      </c>
      <c r="N53" s="17" t="inlineStr">
        <is>
          <t>淨利 -17.4
經常 ≈帳面｜營運 -18.3
一次: 待核實</t>
        </is>
      </c>
      <c r="O53" s="17" t="inlineStr">
        <is>
          <t>淨利 -18.6
經常 ≈帳面｜營運 -19.1
一次: 待核實</t>
        </is>
      </c>
      <c r="P53" s="18" t="inlineStr">
        <is>
          <t>淨利 -24.7
經常 ≈帳面｜營運 -25.3
一次: 待核實</t>
        </is>
      </c>
      <c r="Q53" s="16" t="inlineStr">
        <is>
          <t>EPS -0.29
按年 -64%
(2 位分析師)</t>
        </is>
      </c>
      <c r="R5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53" s="16" t="inlineStr">
        <is>
          <t>營運利潤四季：-20.4 → -18.3 → -19.1 → -25.3；按年 -25%；剔除一次性後與帳面一致；營運利潤率 -5823.0%。</t>
        </is>
      </c>
      <c r="T53" s="16" t="inlineStr">
        <is>
          <t>營運虧損且未見收窄。　淨利率 -5681.3%　淨利按年 -29%。</t>
        </is>
      </c>
      <c r="U53" s="21" t="inlineStr">
        <is>
          <t>D</t>
        </is>
      </c>
      <c r="V53" s="10" t="inlineStr">
        <is>
          <t>Q2-26</t>
        </is>
      </c>
    </row>
    <row r="54" ht="62" customHeight="1">
      <c r="A54" s="10" t="n">
        <v>53</v>
      </c>
      <c r="B54" s="11" t="inlineStr">
        <is>
          <t>EPD</t>
        </is>
      </c>
      <c r="C54" s="10" t="inlineStr">
        <is>
          <t>—</t>
        </is>
      </c>
      <c r="D54" s="12" t="inlineStr">
        <is>
          <t>Enterprise Products Partners L.P.</t>
        </is>
      </c>
      <c r="E54" s="12" t="inlineStr">
        <is>
          <t>公用事業／Oil &amp; Gas Midstream</t>
        </is>
      </c>
      <c r="F54" s="13" t="inlineStr">
        <is>
          <t>USD</t>
        </is>
      </c>
      <c r="G54" s="14" t="inlineStr">
        <is>
          <t>Q3-25(25年9月) / Q4-25(25年12月) / Q1-26(26年3月) / Q2-26(26年6月)</t>
        </is>
      </c>
      <c r="H54" s="15" t="n">
        <v>12023</v>
      </c>
      <c r="I54" s="15" t="n">
        <v>13793</v>
      </c>
      <c r="J54" s="15" t="n">
        <v>14386</v>
      </c>
      <c r="K54" s="15" t="n">
        <v>18269</v>
      </c>
      <c r="L54" s="16" t="inlineStr">
        <is>
          <t>15,702M
按年 +14%
(5 位分析師)</t>
        </is>
      </c>
      <c r="M54" s="17" t="inlineStr">
        <is>
          <t>淨利 +1,338.0
經常 ≈帳面｜營運 +1,596.0
一次: 待核實</t>
        </is>
      </c>
      <c r="N54" s="17" t="inlineStr">
        <is>
          <t>淨利 +1,589.0
經常 +1,645.0｜營運 +1,939.0
一次: 待核實</t>
        </is>
      </c>
      <c r="O54" s="17" t="inlineStr">
        <is>
          <t>淨利 +1,467.0
經常 +1,483.0｜營運 +1,819.0
一次: 待核實</t>
        </is>
      </c>
      <c r="P54" s="18" t="inlineStr">
        <is>
          <t>淨利 +1,823.0
經常 +1,841.0｜營運 +2,140.0
一次: 待核實</t>
        </is>
      </c>
      <c r="Q54" s="16" t="inlineStr">
        <is>
          <t>EPS +0.77
按年 +2%
(3 位分析師)</t>
        </is>
      </c>
      <c r="R54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54" s="16" t="inlineStr">
        <is>
          <t>營運利潤四季：+1,596.0 → +1,939.0 → +1,819.0 → +2,140.0；按年 +26%；剔除一次性後淨利 +1,841.0（帳面 +1,823.0，差 +18.0）；營運利潤率 11.7%。</t>
        </is>
      </c>
      <c r="T54" s="16" t="inlineStr">
        <is>
          <t>營運利潤為正、帳面≈經常、按年未倒退 —— 盈利乾淨。　收入按年 +60.8%　淨利率 10.0%　淨利按年 +28%。</t>
        </is>
      </c>
      <c r="U54" s="20" t="inlineStr">
        <is>
          <t>A</t>
        </is>
      </c>
      <c r="V54" s="10" t="inlineStr">
        <is>
          <t>Q2-26</t>
        </is>
      </c>
    </row>
    <row r="55" ht="62" customHeight="1">
      <c r="A55" s="10" t="n">
        <v>54</v>
      </c>
      <c r="B55" s="11" t="inlineStr">
        <is>
          <t>MIRM</t>
        </is>
      </c>
      <c r="C55" s="10" t="inlineStr">
        <is>
          <t>—</t>
        </is>
      </c>
      <c r="D55" s="12" t="inlineStr">
        <is>
          <t>Mirum Pharmaceuticals, Inc.</t>
        </is>
      </c>
      <c r="E55" s="12" t="inlineStr">
        <is>
          <t>醫療保健／Biotechnology</t>
        </is>
      </c>
      <c r="F55" s="13" t="inlineStr">
        <is>
          <t>USD</t>
        </is>
      </c>
      <c r="G55" s="14" t="inlineStr">
        <is>
          <t>Q3-25(25年9月) / Q4-25(25年12月) / Q1-26(26年3月) / Q2-26(26年6月)</t>
        </is>
      </c>
      <c r="H55" s="15" t="n">
        <v>133</v>
      </c>
      <c r="I55" s="15" t="n">
        <v>148.9</v>
      </c>
      <c r="J55" s="15" t="n">
        <v>159.9</v>
      </c>
      <c r="K55" s="15" t="n">
        <v>176.2</v>
      </c>
      <c r="L55" s="16" t="inlineStr">
        <is>
          <t>183M
按年 +23%
(11 位分析師)</t>
        </is>
      </c>
      <c r="M55" s="17" t="inlineStr">
        <is>
          <t>淨利 +2.9
經常 ≈帳面｜營運 +2.6
一次: 待核實</t>
        </is>
      </c>
      <c r="N55" s="17" t="inlineStr">
        <is>
          <t>淨利 -5.7
經常 ≈帳面｜營運 -4.6
一次: 待核實</t>
        </is>
      </c>
      <c r="O55" s="17" t="inlineStr">
        <is>
          <t>淨利 -790.2
經常 -354.4｜營運 -63.2
一次: -726.3 (稅影響 -290.5)</t>
        </is>
      </c>
      <c r="P55" s="18" t="inlineStr">
        <is>
          <t>淨利 -67.2
經常 -57.4｜營運 -26.1
一次: -16.4 (稅影響 -6.6)</t>
        </is>
      </c>
      <c r="Q55" s="16" t="inlineStr">
        <is>
          <t>EPS -0.61
按年 -408%
(2 位分析師)</t>
        </is>
      </c>
      <c r="R55" s="16" t="inlineStr">
        <is>
          <t>最新季一次性項目 -16.4（支出／減值，令帳面難看），佔帳面淨利 24%。明細性質（資產出售／減值／訴訟／稅務）需查財報原文，本表只取金額，會否重複列「待核實」。</t>
        </is>
      </c>
      <c r="S55" s="16" t="inlineStr">
        <is>
          <t>營運利潤四季：+2.6 → -4.6 → -63.2 → -26.1；按年 -423%；剔除一次性後淨利 -57.4（帳面 -67.2，差 +9.9）；營運利潤率 -14.8%。</t>
        </is>
      </c>
      <c r="T55" s="16" t="inlineStr">
        <is>
          <t>營運虧損且未見收窄。　收入按年 +37.9%　淨利率 -38.1%　淨利按年 -1047%。</t>
        </is>
      </c>
      <c r="U55" s="21" t="inlineStr">
        <is>
          <t>D</t>
        </is>
      </c>
      <c r="V55" s="10" t="inlineStr">
        <is>
          <t>Q2-26</t>
        </is>
      </c>
    </row>
    <row r="56" ht="62" customHeight="1">
      <c r="A56" s="10" t="n">
        <v>55</v>
      </c>
      <c r="B56" s="11" t="inlineStr">
        <is>
          <t>RWAY</t>
        </is>
      </c>
      <c r="C56" s="10" t="inlineStr">
        <is>
          <t>—</t>
        </is>
      </c>
      <c r="D56" s="12" t="inlineStr">
        <is>
          <t>Runway Growth Finance Corp.</t>
        </is>
      </c>
      <c r="E56" s="12" t="inlineStr">
        <is>
          <t>金融／Asset Management</t>
        </is>
      </c>
      <c r="F56" s="13" t="inlineStr">
        <is>
          <t>USD</t>
        </is>
      </c>
      <c r="G56" s="14" t="inlineStr">
        <is>
          <t>Q3-25(25年9月) / Q4-25(25年12月) / Q1-26(26年3月) / Q2-26(26年6月)</t>
        </is>
      </c>
      <c r="H56" s="15" t="n">
        <v>11.6</v>
      </c>
      <c r="I56" s="15" t="n">
        <v>10.4</v>
      </c>
      <c r="J56" s="15" t="n">
        <v>-30</v>
      </c>
      <c r="K56" s="15" t="n">
        <v>30.5</v>
      </c>
      <c r="L56" s="16" t="inlineStr">
        <is>
          <t>38M
按年 +26%
(7 位分析師)</t>
        </is>
      </c>
      <c r="M56" s="17" t="inlineStr">
        <is>
          <t>淨利 +8.0
經常 ≈帳面｜稅前 +8.0
一次: 待核實</t>
        </is>
      </c>
      <c r="N56" s="17" t="inlineStr">
        <is>
          <t>淨利 +7.4
經常 ≈帳面｜稅前 +7.4
一次: 待核實</t>
        </is>
      </c>
      <c r="O56" s="17" t="inlineStr">
        <is>
          <t>淨利 -34.8
經常 ≈帳面｜稅前 -34.8
一次: 待核實</t>
        </is>
      </c>
      <c r="P56" s="18" t="inlineStr">
        <is>
          <t>淨利 +27.2
經常 ≈帳面｜稅前 +27.2
一次: 待核實</t>
        </is>
      </c>
      <c r="Q56" s="16" t="inlineStr">
        <is>
          <t>EPS +0.33
按年 +4%
(8 位分析師)</t>
        </is>
      </c>
      <c r="R56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56" s="16" t="inlineStr">
        <is>
          <t>稅前利潤四季：+8.0 → +7.4 → -34.8 → +27.2；按年 +62%；剔除一次性後與帳面一致；稅前利潤率 89.2%；（Yahoo 冇為呢類金融股公布營運利潤，改用稅前利潤做經常性基準）。</t>
        </is>
      </c>
      <c r="T56" s="16" t="inlineStr">
        <is>
          <t>稅前利潤為正、帳面≈經常、按年未倒退 —— 盈利乾淨。　收入按年 +48.9%　淨利率 89.2%　淨利按年 +62%。</t>
        </is>
      </c>
      <c r="U56" s="20" t="inlineStr">
        <is>
          <t>A</t>
        </is>
      </c>
      <c r="V56" s="10" t="inlineStr">
        <is>
          <t>Q2-26</t>
        </is>
      </c>
    </row>
    <row r="57" ht="62" customHeight="1">
      <c r="A57" s="10" t="n">
        <v>56</v>
      </c>
      <c r="B57" s="11" t="inlineStr">
        <is>
          <t>QUAD</t>
        </is>
      </c>
      <c r="C57" s="10" t="inlineStr">
        <is>
          <t>—</t>
        </is>
      </c>
      <c r="D57" s="12" t="inlineStr">
        <is>
          <t>Quad/Graphics, Inc.</t>
        </is>
      </c>
      <c r="E57" s="12" t="inlineStr">
        <is>
          <t>非必需消費／Specialty Business Services</t>
        </is>
      </c>
      <c r="F57" s="13" t="inlineStr">
        <is>
          <t>USD</t>
        </is>
      </c>
      <c r="G57" s="14" t="inlineStr">
        <is>
          <t>Q3-25(25年9月) / Q4-25(25年12月) / Q1-26(26年3月) / Q2-26(26年6月)</t>
        </is>
      </c>
      <c r="H57" s="15" t="n">
        <v>588</v>
      </c>
      <c r="I57" s="15" t="n">
        <v>630.6</v>
      </c>
      <c r="J57" s="15" t="n">
        <v>581</v>
      </c>
      <c r="K57" s="15" t="n">
        <v>577.5</v>
      </c>
      <c r="L57" s="16" t="inlineStr">
        <is>
          <t>618M
按年 -2%
(3 位分析師)</t>
        </is>
      </c>
      <c r="M57" s="17" t="inlineStr">
        <is>
          <t>淨利 +10.2
經常 +15.8｜營運 +33.7
一次: -7.3 (稅影響 -1.7)</t>
        </is>
      </c>
      <c r="N57" s="17" t="inlineStr">
        <is>
          <t>淨利 +11.1
經常 +10.2｜營運 +36.0
一次: +1.0 (稅影響 +0.1)</t>
        </is>
      </c>
      <c r="O57" s="17" t="inlineStr">
        <is>
          <t>淨利 +6.2
經常 +12.8｜營運 +26.1
一次: -8.4 (稅影響 -1.8)</t>
        </is>
      </c>
      <c r="P57" s="18" t="inlineStr">
        <is>
          <t>淨利 +3.7
經常 +9.5｜營運 +24.6
一次: -9.7 (稅影響 -3.9)</t>
        </is>
      </c>
      <c r="Q57" s="16" t="inlineStr">
        <is>
          <t>EPS +0.44
按年 +22%
(2 位分析師)</t>
        </is>
      </c>
      <c r="R57" s="16" t="inlineStr">
        <is>
          <t>最新季一次性項目 -9.7（支出／減值，令帳面難看），佔帳面淨利 262%。明細性質（資產出售／減值／訴訟／稅務）需查財報原文，本表只取金額，會否重複列「待核實」。</t>
        </is>
      </c>
      <c r="S57" s="16" t="inlineStr">
        <is>
          <t>營運利潤四季：+33.7 → +36.0 → +26.1 → +24.6；按年 +7%；剔除一次性後淨利 +9.5（帳面 +3.7，差 +5.8）；營運利潤率 4.3%。</t>
        </is>
      </c>
      <c r="T57" s="16" t="inlineStr">
        <is>
          <t>營運層面盈利，但帳面淨利含重大一次性項目，經常性口徑要另計。　收入按年 +1.0%　淨利率 0.6%　淨利按年 +3800%。</t>
        </is>
      </c>
      <c r="U57" s="19" t="inlineStr">
        <is>
          <t>B</t>
        </is>
      </c>
      <c r="V57" s="10" t="inlineStr">
        <is>
          <t>Q2-26</t>
        </is>
      </c>
    </row>
    <row r="58" ht="62" customHeight="1">
      <c r="A58" s="10" t="n">
        <v>57</v>
      </c>
      <c r="B58" s="11" t="inlineStr">
        <is>
          <t>TRI</t>
        </is>
      </c>
      <c r="C58" s="10" t="inlineStr">
        <is>
          <t>—</t>
        </is>
      </c>
      <c r="D58" s="12" t="inlineStr">
        <is>
          <t>Thomson Reuters Corporation</t>
        </is>
      </c>
      <c r="E58" s="12" t="inlineStr">
        <is>
          <t>非必需消費／Specialty Business Services</t>
        </is>
      </c>
      <c r="F58" s="13" t="inlineStr">
        <is>
          <t>USD</t>
        </is>
      </c>
      <c r="G58" s="14" t="inlineStr">
        <is>
          <t>Q3-25(25年9月) / Q4-25(25年12月) / Q1-26(26年3月) / Q2-26(26年6月)</t>
        </is>
      </c>
      <c r="H58" s="15" t="n">
        <v>1782</v>
      </c>
      <c r="I58" s="15" t="n">
        <v>2009</v>
      </c>
      <c r="J58" s="15" t="n">
        <v>2087</v>
      </c>
      <c r="K58" s="15" t="n">
        <v>1954</v>
      </c>
      <c r="L58" s="16" t="inlineStr">
        <is>
          <t>2,168M
按年 +8%
(10 位分析師)</t>
        </is>
      </c>
      <c r="M58" s="17" t="inlineStr">
        <is>
          <t>淨利 +423.0
經常 ≈帳面｜營運 +598.0
一次: 無重大</t>
        </is>
      </c>
      <c r="N58" s="17" t="inlineStr">
        <is>
          <t>淨利 +328.0
經常 +225.3｜營運 +378.0
一次: +158.0 (稅影響 +50.3)</t>
        </is>
      </c>
      <c r="O58" s="17" t="inlineStr">
        <is>
          <t>淨利 +459.0
經常 +468.3｜營運 +636.0
一次: +11.0 (稅影響 +2.3)</t>
        </is>
      </c>
      <c r="P58" s="18" t="inlineStr">
        <is>
          <t>淨利 +447.0
經常 +440.5｜營運 +560.0
一次: 無重大</t>
        </is>
      </c>
      <c r="Q58" s="16" t="inlineStr">
        <is>
          <t>EPS +1.31
按年 +21%
(14 位分析師)</t>
        </is>
      </c>
      <c r="R58" s="16" t="inlineStr">
        <is>
          <t>無重大一次性項目（Yahoo「Total Unusual Items」為零或極小）；帳面淨利≈經常性淨利。</t>
        </is>
      </c>
      <c r="S58" s="16" t="inlineStr">
        <is>
          <t>營運利潤四季：+598.0 → +378.0 → +636.0 → +560.0；按年 +26%；剔除一次性後淨利 +440.5（帳面 +447.0，差 -6.5）；營運利潤率 28.7%。</t>
        </is>
      </c>
      <c r="T58" s="16" t="inlineStr">
        <is>
          <t>營運利潤為正、帳面≈經常、按年未倒退 —— 盈利乾淨。　收入按年 +9.5%　淨利率 22.9%　淨利按年 +43%。</t>
        </is>
      </c>
      <c r="U58" s="20" t="inlineStr">
        <is>
          <t>A</t>
        </is>
      </c>
      <c r="V58" s="10" t="inlineStr">
        <is>
          <t>Q2-26</t>
        </is>
      </c>
    </row>
    <row r="59" ht="62" customHeight="1">
      <c r="A59" s="10" t="n">
        <v>58</v>
      </c>
      <c r="B59" s="11" t="inlineStr">
        <is>
          <t>SBAC</t>
        </is>
      </c>
      <c r="C59" s="10" t="inlineStr">
        <is>
          <t>—</t>
        </is>
      </c>
      <c r="D59" s="12" t="inlineStr">
        <is>
          <t>SBA Communications Corporation</t>
        </is>
      </c>
      <c r="E59" s="12" t="inlineStr">
        <is>
          <t>房地產／REIT - Specialty</t>
        </is>
      </c>
      <c r="F59" s="13" t="inlineStr">
        <is>
          <t>USD</t>
        </is>
      </c>
      <c r="G59" s="14" t="inlineStr">
        <is>
          <t>Q3-25(25年9月) / Q4-25(25年12月) / Q1-26(26年3月) / Q2-26(26年6月)</t>
        </is>
      </c>
      <c r="H59" s="15" t="n">
        <v>732.3</v>
      </c>
      <c r="I59" s="15" t="n">
        <v>719.6</v>
      </c>
      <c r="J59" s="15" t="n">
        <v>703.4</v>
      </c>
      <c r="K59" s="15" t="n">
        <v>715.3</v>
      </c>
      <c r="L59" s="16" t="inlineStr">
        <is>
          <t>721M
按年 +0%
(16 位分析師)</t>
        </is>
      </c>
      <c r="M59" s="17" t="inlineStr">
        <is>
          <t>淨利 +236.8
經常 +258.0｜營運 +399.6
一次: -25.5 (稅影響 -4.3)</t>
        </is>
      </c>
      <c r="N59" s="17" t="inlineStr">
        <is>
          <t>淨利 +370.3
經常 +447.8｜營運 +389.4
一次: -90.5 (稅影響 -12.9)</t>
        </is>
      </c>
      <c r="O59" s="17" t="inlineStr">
        <is>
          <t>淨利 +184.8
經常 +214.1｜營運 +380.2
一次: -37.4 (稅影響 -8.1)</t>
        </is>
      </c>
      <c r="P59" s="18" t="inlineStr">
        <is>
          <t>淨利 +198.8
經常 +222.9｜營運 +380.4
一次: -28.5 (稅影響 -4.4)</t>
        </is>
      </c>
      <c r="Q59" s="16" t="inlineStr">
        <is>
          <t>EPS +1.99
按年 -43%
(9 位分析師)</t>
        </is>
      </c>
      <c r="R59" s="16" t="inlineStr">
        <is>
          <t>最新季一次性項目 -28.5（支出／減值，令帳面難看），佔帳面淨利 14%。明細性質（資產出售／減值／訴訟／稅務）需查財報原文，本表只取金額，會否重複列「待核實」。</t>
        </is>
      </c>
      <c r="S59" s="16" t="inlineStr">
        <is>
          <t>營運利潤四季：+399.6 → +389.4 → +380.2 → +380.4；按年 -1%；剔除一次性後淨利 +222.9（帳面 +198.8，差 +24.1）；營運利潤率 53.2%。</t>
        </is>
      </c>
      <c r="T59" s="16" t="inlineStr">
        <is>
          <t>營運層面盈利，但帳面淨利含重大一次性項目，經常性口徑要另計。　收入按年 +2.3%　淨利率 27.8%　淨利按年 -12%。</t>
        </is>
      </c>
      <c r="U59" s="19" t="inlineStr">
        <is>
          <t>B</t>
        </is>
      </c>
      <c r="V59" s="10" t="inlineStr">
        <is>
          <t>Q2-26</t>
        </is>
      </c>
    </row>
    <row r="60" ht="62" customHeight="1">
      <c r="A60" s="10" t="n">
        <v>59</v>
      </c>
      <c r="B60" s="11" t="inlineStr">
        <is>
          <t>WK</t>
        </is>
      </c>
      <c r="C60" s="10" t="inlineStr">
        <is>
          <t>—</t>
        </is>
      </c>
      <c r="D60" s="12" t="inlineStr">
        <is>
          <t>Workiva Inc.</t>
        </is>
      </c>
      <c r="E60" s="12" t="inlineStr">
        <is>
          <t>科技／Software - Application</t>
        </is>
      </c>
      <c r="F60" s="13" t="inlineStr">
        <is>
          <t>USD</t>
        </is>
      </c>
      <c r="G60" s="14" t="inlineStr">
        <is>
          <t>Q3-25(25年9月) / Q4-25(25年12月) / Q1-26(26年3月) / Q2-26(26年6月)</t>
        </is>
      </c>
      <c r="H60" s="15" t="n">
        <v>224.2</v>
      </c>
      <c r="I60" s="15" t="n">
        <v>238.9</v>
      </c>
      <c r="J60" s="15" t="n">
        <v>247.3</v>
      </c>
      <c r="K60" s="15" t="n">
        <v>255.3</v>
      </c>
      <c r="L60" s="16" t="inlineStr">
        <is>
          <t>278M
按年 +16%
(10 位分析師)</t>
        </is>
      </c>
      <c r="M60" s="17" t="inlineStr">
        <is>
          <t>淨利 +2.8
經常 ≈帳面｜營運 -3.4
一次: 待核實</t>
        </is>
      </c>
      <c r="N60" s="17" t="inlineStr">
        <is>
          <t>淨利 +11.8
經常 ≈帳面｜營運 +7.9
一次: 待核實</t>
        </is>
      </c>
      <c r="O60" s="17" t="inlineStr">
        <is>
          <t>淨利 +19.0
經常 ≈帳面｜營運 +15.3
一次: 待核實</t>
        </is>
      </c>
      <c r="P60" s="18" t="inlineStr">
        <is>
          <t>淨利 +13.4
經常 ≈帳面｜營運 +11.7
一次: 待核實</t>
        </is>
      </c>
      <c r="Q60" s="16" t="inlineStr">
        <is>
          <t>EPS +1.03
按年 +32%
(10 位分析師)</t>
        </is>
      </c>
      <c r="R6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60" s="16" t="inlineStr">
        <is>
          <t>營運利潤四季：-3.4 → +7.9 → +15.3 → +11.7；按年 +153%；剔除一次性後與帳面一致；營運利潤率 4.6%。</t>
        </is>
      </c>
      <c r="T60" s="16" t="inlineStr">
        <is>
          <t>營運利潤為正、帳面≈經常、按年未倒退 —— 盈利乾淨。　收入按年 +18.6%　淨利率 5.3%　淨利按年 +169%。</t>
        </is>
      </c>
      <c r="U60" s="20" t="inlineStr">
        <is>
          <t>A</t>
        </is>
      </c>
      <c r="V60" s="10" t="inlineStr">
        <is>
          <t>Q2-26</t>
        </is>
      </c>
    </row>
    <row r="61" ht="62" customHeight="1">
      <c r="A61" s="10" t="n">
        <v>60</v>
      </c>
      <c r="B61" s="11" t="inlineStr">
        <is>
          <t>ICE</t>
        </is>
      </c>
      <c r="C61" s="10" t="inlineStr">
        <is>
          <t>—</t>
        </is>
      </c>
      <c r="D61" s="12" t="inlineStr">
        <is>
          <t>Intercontinental Exchange, Inc.</t>
        </is>
      </c>
      <c r="E61" s="12" t="inlineStr">
        <is>
          <t>金融／Financial Data &amp; Stock Exchanges</t>
        </is>
      </c>
      <c r="F61" s="13" t="inlineStr">
        <is>
          <t>USD</t>
        </is>
      </c>
      <c r="G61" s="14" t="inlineStr">
        <is>
          <t>Q3-25(25年9月) / Q4-25(25年12月) / Q1-26(26年3月) / Q2-26(26年6月)</t>
        </is>
      </c>
      <c r="H61" s="15" t="n">
        <v>3007</v>
      </c>
      <c r="I61" s="15" t="n">
        <v>3142</v>
      </c>
      <c r="J61" s="15" t="n">
        <v>3666</v>
      </c>
      <c r="K61" s="15" t="n">
        <v>3611</v>
      </c>
      <c r="L61" s="16" t="inlineStr">
        <is>
          <t>2,724M
按年 +9%
(8 位分析師)</t>
        </is>
      </c>
      <c r="M61" s="17" t="inlineStr">
        <is>
          <t>淨利 +816.0
經常 +822.9｜營運 +1,183.0
一次: 無重大</t>
        </is>
      </c>
      <c r="N61" s="17" t="inlineStr">
        <is>
          <t>淨利 +851.0
經常 +866.4｜營運 +1,256.0
一次: -19.0 (稅影響 -3.6)</t>
        </is>
      </c>
      <c r="O61" s="17" t="inlineStr">
        <is>
          <t>淨利 +1,413.0
經常 +1,443.8｜營運 +1,706.0
一次: -41.0 (稅影響 -10.2)</t>
        </is>
      </c>
      <c r="P61" s="18" t="inlineStr">
        <is>
          <t>淨利 +958.0
經常 +967.1｜營運 +1,403.0
一次: 無重大</t>
        </is>
      </c>
      <c r="Q61" s="16" t="inlineStr">
        <is>
          <t>EPS +1.96
按年 +15%
(11 位分析師)</t>
        </is>
      </c>
      <c r="R61" s="16" t="inlineStr">
        <is>
          <t>無重大一次性項目（Yahoo「Total Unusual Items」為零或極小）；帳面淨利≈經常性淨利。</t>
        </is>
      </c>
      <c r="S61" s="16" t="inlineStr">
        <is>
          <t>營運利潤四季：+1,183.0 → +1,256.0 → +1,706.0 → +1,403.0；按年 +7%；剔除一次性後淨利 +967.1（帳面 +958.0，差 +9.1）；營運利潤率 38.9%。</t>
        </is>
      </c>
      <c r="T61" s="16" t="inlineStr">
        <is>
          <t>營運利潤為正、帳面≈經常、按年未倒退 —— 盈利乾淨。　收入按年 +10.7%　淨利率 26.5%　淨利按年 +13%。</t>
        </is>
      </c>
      <c r="U61" s="20" t="inlineStr">
        <is>
          <t>A</t>
        </is>
      </c>
      <c r="V61" s="10" t="inlineStr">
        <is>
          <t>Q2-26</t>
        </is>
      </c>
    </row>
    <row r="62" ht="62" customHeight="1">
      <c r="A62" s="10" t="n">
        <v>61</v>
      </c>
      <c r="B62" s="11" t="inlineStr">
        <is>
          <t>RDVT</t>
        </is>
      </c>
      <c r="C62" s="10" t="inlineStr">
        <is>
          <t>—</t>
        </is>
      </c>
      <c r="D62" s="12" t="inlineStr">
        <is>
          <t>Red Violet, Inc.</t>
        </is>
      </c>
      <c r="E62" s="12" t="inlineStr">
        <is>
          <t>科技／Software - Application</t>
        </is>
      </c>
      <c r="F62" s="13" t="inlineStr">
        <is>
          <t>USD</t>
        </is>
      </c>
      <c r="G62" s="14" t="inlineStr">
        <is>
          <t>Q3-25(25年9月) / Q4-25(25年12月) / Q1-26(26年3月) / Q2-26(26年6月)</t>
        </is>
      </c>
      <c r="H62" s="15" t="n">
        <v>23.1</v>
      </c>
      <c r="I62" s="15" t="n">
        <v>23.4</v>
      </c>
      <c r="J62" s="15" t="n">
        <v>25.8</v>
      </c>
      <c r="K62" s="15" t="n">
        <v>26.7</v>
      </c>
      <c r="L62" s="16" t="inlineStr">
        <is>
          <t>27M
按年 +14%
(3 位分析師)</t>
        </is>
      </c>
      <c r="M62" s="17" t="inlineStr">
        <is>
          <t>淨利 +4.2
經常 ≈帳面｜營運 +4.6
一次: 待核實</t>
        </is>
      </c>
      <c r="N62" s="17" t="inlineStr">
        <is>
          <t>淨利 +2.8
經常 ≈帳面｜營運 +1.6
一次: 待核實</t>
        </is>
      </c>
      <c r="O62" s="17" t="inlineStr">
        <is>
          <t>淨利 +4.4
經常 ≈帳面｜營運 +5.4
一次: 待核實</t>
        </is>
      </c>
      <c r="P62" s="18" t="inlineStr">
        <is>
          <t>淨利 +5.0
經常 ≈帳面｜營運 +6.1
一次: 待核實</t>
        </is>
      </c>
      <c r="Q62" s="16" t="inlineStr">
        <is>
          <t>EPS +0.27
按年 +30%
(3 位分析師)</t>
        </is>
      </c>
      <c r="R6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62" s="16" t="inlineStr">
        <is>
          <t>營運利潤四季：+4.6 → +1.6 → +5.4 → +6.1；按年 +122%；剔除一次性後與帳面一致；營運利潤率 22.8%。</t>
        </is>
      </c>
      <c r="T62" s="16" t="inlineStr">
        <is>
          <t>營運利潤為正、帳面≈經常、按年未倒退 —— 盈利乾淨。　收入按年 +22.7%　淨利率 18.6%　淨利按年 +85%。</t>
        </is>
      </c>
      <c r="U62" s="20" t="inlineStr">
        <is>
          <t>A</t>
        </is>
      </c>
      <c r="V62" s="10" t="inlineStr">
        <is>
          <t>Q2-26</t>
        </is>
      </c>
    </row>
    <row r="63" ht="62" customHeight="1">
      <c r="A63" s="10" t="n">
        <v>62</v>
      </c>
      <c r="B63" s="11" t="inlineStr">
        <is>
          <t>TPG</t>
        </is>
      </c>
      <c r="C63" s="10" t="inlineStr">
        <is>
          <t>—</t>
        </is>
      </c>
      <c r="D63" s="12" t="inlineStr">
        <is>
          <t>TPG Inc.</t>
        </is>
      </c>
      <c r="E63" s="12" t="inlineStr">
        <is>
          <t>金融／Asset Management</t>
        </is>
      </c>
      <c r="F63" s="13" t="inlineStr">
        <is>
          <t>USD</t>
        </is>
      </c>
      <c r="G63" s="14" t="inlineStr">
        <is>
          <t>Q3-25(25年9月) / Q4-25(25年12月) / Q1-26(26年3月) / Q2-26(26年6月)</t>
        </is>
      </c>
      <c r="H63" s="15" t="n">
        <v>807.7</v>
      </c>
      <c r="I63" s="15" t="n">
        <v>1023.7</v>
      </c>
      <c r="J63" s="15" t="n">
        <v>541.3</v>
      </c>
      <c r="K63" s="15" t="n">
        <v>1040.5</v>
      </c>
      <c r="L63" s="16" t="inlineStr">
        <is>
          <t>700M
按年 +11%
(5 位分析師)</t>
        </is>
      </c>
      <c r="M63" s="17" t="inlineStr">
        <is>
          <t>淨利 +49.3
經常 +67.1｜稅前 +228.1
一次: 待核實</t>
        </is>
      </c>
      <c r="N63" s="17" t="inlineStr">
        <is>
          <t>淨利 +126.7
經常 +77.1｜稅前 +304.9
一次: 待核實</t>
        </is>
      </c>
      <c r="O63" s="17" t="inlineStr">
        <is>
          <t>淨利 -8.0
經常 -1.5｜稅前 -140.7
一次: 待核實</t>
        </is>
      </c>
      <c r="P63" s="18" t="inlineStr">
        <is>
          <t>淨利 +93.4
經常 ≈帳面｜稅前 +356.0
一次: 待核實</t>
        </is>
      </c>
      <c r="Q63" s="16" t="inlineStr">
        <is>
          <t>EPS +0.81
按年 +13%
(13 位分析師)</t>
        </is>
      </c>
      <c r="R6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63" s="16" t="inlineStr">
        <is>
          <t>稅前利潤四季：+228.1 → +304.9 → -140.7 → +356.0；按年 +805%；剔除一次性後與帳面一致；稅前利潤率 34.2%；（Yahoo 冇為呢類金融股公布營運利潤，改用稅前利潤做經常性基準）。</t>
        </is>
      </c>
      <c r="T63" s="16" t="inlineStr">
        <is>
          <t>稅前利潤為正、帳面≈經常、按年未倒退 —— 盈利乾淨。　收入按年 +55.1%　淨利率 9.0%　淨利按年 +525%。</t>
        </is>
      </c>
      <c r="U63" s="20" t="inlineStr">
        <is>
          <t>A</t>
        </is>
      </c>
      <c r="V63" s="10" t="inlineStr">
        <is>
          <t>Q2-26</t>
        </is>
      </c>
    </row>
    <row r="64" ht="62" customHeight="1">
      <c r="A64" s="10" t="n">
        <v>63</v>
      </c>
      <c r="B64" s="11" t="inlineStr">
        <is>
          <t>ANRO</t>
        </is>
      </c>
      <c r="C64" s="10" t="inlineStr">
        <is>
          <t>—</t>
        </is>
      </c>
      <c r="D64" s="12" t="inlineStr">
        <is>
          <t>Alto Neuroscience Inc.</t>
        </is>
      </c>
      <c r="E64" s="12" t="inlineStr">
        <is>
          <t>醫療保健／Biotechnology</t>
        </is>
      </c>
      <c r="F64" s="13" t="inlineStr">
        <is>
          <t>USD</t>
        </is>
      </c>
      <c r="G64" s="14" t="inlineStr">
        <is>
          <t>Q3-25(25年9月) / Q4-25(25年12月) / Q1-26(26年3月) / Q2-26(26年6月)</t>
        </is>
      </c>
      <c r="H64" s="15" t="n">
        <v>0</v>
      </c>
      <c r="I64" s="15" t="n">
        <v>0</v>
      </c>
      <c r="J64" s="15" t="n">
        <v>0</v>
      </c>
      <c r="K64" s="15" t="n">
        <v>0</v>
      </c>
      <c r="L64" s="16" t="inlineStr">
        <is>
          <t>無收入
(9 位分析師)</t>
        </is>
      </c>
      <c r="M64" s="17" t="inlineStr">
        <is>
          <t>淨利 -14.2
經常 ≈帳面｜營運 -15.0
一次: 無重大</t>
        </is>
      </c>
      <c r="N64" s="17" t="inlineStr">
        <is>
          <t>淨利 -16.2
經常 ≈帳面｜營運 -17.1
一次: 無重大</t>
        </is>
      </c>
      <c r="O64" s="17" t="inlineStr">
        <is>
          <t>淨利 -26.2
經常 ≈帳面｜營運 -27.1
一次: 無重大</t>
        </is>
      </c>
      <c r="P64" s="18" t="inlineStr">
        <is>
          <t>淨利 -27.6
經常 ≈帳面｜營運 -29.1
一次: 無重大</t>
        </is>
      </c>
      <c r="Q64" s="16" t="inlineStr">
        <is>
          <t>EPS -0.73
按年 -61%
(7 位分析師)</t>
        </is>
      </c>
      <c r="R64" s="16" t="inlineStr">
        <is>
          <t>無重大一次性項目（Yahoo「Total Unusual Items」為零或極小）；帳面淨利≈經常性淨利。</t>
        </is>
      </c>
      <c r="S64" s="16" t="inlineStr">
        <is>
          <t>營運利潤四季：-15.0 → -17.1 → -27.1 → -29.1；按年 -56%；剔除一次性後與帳面一致。</t>
        </is>
      </c>
      <c r="T64" s="16" t="inlineStr">
        <is>
          <t>營運虧損且未見收窄。　淨利按年 -56%。</t>
        </is>
      </c>
      <c r="U64" s="21" t="inlineStr">
        <is>
          <t>D</t>
        </is>
      </c>
      <c r="V64" s="10" t="inlineStr">
        <is>
          <t>Q2-26</t>
        </is>
      </c>
    </row>
    <row r="65" ht="62" customHeight="1">
      <c r="A65" s="10" t="n">
        <v>64</v>
      </c>
      <c r="B65" s="11" t="inlineStr">
        <is>
          <t>KFY</t>
        </is>
      </c>
      <c r="C65" s="10" t="inlineStr">
        <is>
          <t>—</t>
        </is>
      </c>
      <c r="D65" s="12" t="inlineStr">
        <is>
          <t>Korn Ferry</t>
        </is>
      </c>
      <c r="E65" s="12" t="inlineStr">
        <is>
          <t>非必需消費／Staffing &amp; Employment Services</t>
        </is>
      </c>
      <c r="F65" s="13" t="inlineStr">
        <is>
          <t>USD</t>
        </is>
      </c>
      <c r="G65" s="14" t="inlineStr">
        <is>
          <t>Q3-25(25年7月) / Q4-25(25年10月) / Q1-26(26年1月) / Q2-26(26年4月)</t>
        </is>
      </c>
      <c r="H65" s="15" t="n">
        <v>715.5</v>
      </c>
      <c r="I65" s="15" t="n">
        <v>729.8</v>
      </c>
      <c r="J65" s="15" t="n">
        <v>725</v>
      </c>
      <c r="K65" s="15" t="n">
        <v>768.3</v>
      </c>
      <c r="L65" s="16" t="inlineStr">
        <is>
          <t>744M
按年 +3%
(5 位分析師)</t>
        </is>
      </c>
      <c r="M65" s="17" t="inlineStr">
        <is>
          <t>淨利 +65.8
經常 +66.6｜營運 +83.4
一次: 待核實</t>
        </is>
      </c>
      <c r="N65" s="17" t="inlineStr">
        <is>
          <t>淨利 +71.5
經常 +72.4｜營運 +98.8
一次: 無重大</t>
        </is>
      </c>
      <c r="O65" s="17" t="inlineStr">
        <is>
          <t>淨利 +64.5
經常 +65.3｜營運 +91.0
一次: 無重大</t>
        </is>
      </c>
      <c r="P65" s="18" t="inlineStr">
        <is>
          <t>淨利 +72.2
經常 +73.1｜營運 +101.5
一次: 無重大</t>
        </is>
      </c>
      <c r="Q65" s="16" t="inlineStr">
        <is>
          <t>EPS +1.45
按年 +9%
(5 位分析師)</t>
        </is>
      </c>
      <c r="R65" s="16" t="inlineStr">
        <is>
          <t>無重大一次性項目（Yahoo「Total Unusual Items」為零或極小）；帳面淨利≈經常性淨利。</t>
        </is>
      </c>
      <c r="S65" s="16" t="inlineStr">
        <is>
          <t>營運利潤四季：+83.4 → +98.8 → +91.0 → +101.5；按年 -3%；剔除一次性後與帳面一致；營運利潤率 13.2%。</t>
        </is>
      </c>
      <c r="T65" s="16" t="inlineStr">
        <is>
          <t>營運利潤為正但按年倒退，盈利仍在但動能轉弱。　收入按年 +6.7%　淨利率 9.4%　淨利按年 +14%。</t>
        </is>
      </c>
      <c r="U65" s="19" t="inlineStr">
        <is>
          <t>B</t>
        </is>
      </c>
      <c r="V65" s="10" t="inlineStr">
        <is>
          <t>Q2-26</t>
        </is>
      </c>
    </row>
    <row r="66" ht="62" customHeight="1">
      <c r="A66" s="10" t="n">
        <v>65</v>
      </c>
      <c r="B66" s="11" t="inlineStr">
        <is>
          <t>WT</t>
        </is>
      </c>
      <c r="C66" s="10" t="inlineStr">
        <is>
          <t>—</t>
        </is>
      </c>
      <c r="D66" s="12" t="inlineStr">
        <is>
          <t>WisdomTree, Inc.</t>
        </is>
      </c>
      <c r="E66" s="12" t="inlineStr">
        <is>
          <t>金融／Asset Management</t>
        </is>
      </c>
      <c r="F66" s="13" t="inlineStr">
        <is>
          <t>USD</t>
        </is>
      </c>
      <c r="G66" s="14" t="inlineStr">
        <is>
          <t>Q3-25(25年9月) / Q4-25(25年12月) / Q1-26(26年3月) / Q2-26(26年6月)</t>
        </is>
      </c>
      <c r="H66" s="15" t="n">
        <v>125.6</v>
      </c>
      <c r="I66" s="15" t="n">
        <v>147.4</v>
      </c>
      <c r="J66" s="15" t="n">
        <v>159.5</v>
      </c>
      <c r="K66" s="15" t="n">
        <v>177.2</v>
      </c>
      <c r="L66" s="16" t="inlineStr">
        <is>
          <t>185M
按年 +25%
(6 位分析師)</t>
        </is>
      </c>
      <c r="M66" s="17" t="inlineStr">
        <is>
          <t>淨利 +19.0
經常 +30.0｜營運 +48.1
一次: -15.4 (稅影響 -5.1)</t>
        </is>
      </c>
      <c r="N66" s="17" t="inlineStr">
        <is>
          <t>淨利 +40.0
經常 +41.5｜營運 +60.1
一次: -1.9 (稅影響 -0.4)</t>
        </is>
      </c>
      <c r="O66" s="17" t="inlineStr">
        <is>
          <t>淨利 -23.1
經常 +16.9｜營運 +61.3
一次: -66.8 (稅影響 -26.7)</t>
        </is>
      </c>
      <c r="P66" s="18" t="inlineStr">
        <is>
          <t>淨利 +44.3
經常 +51.2｜營運 +72.9
一次: -9.1 (稅影響 -2.2)</t>
        </is>
      </c>
      <c r="Q66" s="16" t="inlineStr">
        <is>
          <t>EPS +0.32
按年 +10%
(7 位分析師)</t>
        </is>
      </c>
      <c r="R66" s="16" t="inlineStr">
        <is>
          <t>最新季一次性項目 -9.1（支出／減值，令帳面難看），佔帳面淨利 21%。明細性質（資產出售／減值／訴訟／稅務）需查財報原文，本表只取金額，會否重複列「待核實」。</t>
        </is>
      </c>
      <c r="S66" s="16" t="inlineStr">
        <is>
          <t>營運利潤四季：+48.1 → +60.1 → +61.3 → +72.9；按年 +99%；剔除一次性後淨利 +51.2（帳面 +44.3，差 +6.9）；營運利潤率 41.2%。</t>
        </is>
      </c>
      <c r="T66" s="16" t="inlineStr">
        <is>
          <t>營運層面盈利，但帳面淨利含重大一次性項目，經常性口徑要另計。　收入按年 +57.3%　淨利率 25.0%　淨利按年 +79%。</t>
        </is>
      </c>
      <c r="U66" s="19" t="inlineStr">
        <is>
          <t>B</t>
        </is>
      </c>
      <c r="V66" s="10" t="inlineStr">
        <is>
          <t>Q2-26</t>
        </is>
      </c>
    </row>
    <row r="67" ht="62" customHeight="1">
      <c r="A67" s="10" t="n">
        <v>66</v>
      </c>
      <c r="B67" s="11" t="inlineStr">
        <is>
          <t>PJT</t>
        </is>
      </c>
      <c r="C67" s="10" t="inlineStr">
        <is>
          <t>—</t>
        </is>
      </c>
      <c r="D67" s="12" t="inlineStr">
        <is>
          <t>PJT Partners Inc.</t>
        </is>
      </c>
      <c r="E67" s="12" t="inlineStr">
        <is>
          <t>金融／Capital Markets</t>
        </is>
      </c>
      <c r="F67" s="13" t="inlineStr">
        <is>
          <t>USD</t>
        </is>
      </c>
      <c r="G67" s="14" t="inlineStr">
        <is>
          <t>Q3-25(25年9月) / Q4-25(25年12月) / Q1-26(26年3月) / Q2-26(26年6月)</t>
        </is>
      </c>
      <c r="H67" s="15" t="n">
        <v>447.1</v>
      </c>
      <c r="I67" s="15" t="n">
        <v>535.2</v>
      </c>
      <c r="J67" s="15" t="n">
        <v>418.2</v>
      </c>
      <c r="K67" s="15" t="n">
        <v>486.3</v>
      </c>
      <c r="L67" s="16" t="inlineStr">
        <is>
          <t>574M
按年 +7%
(6 位分析師)</t>
        </is>
      </c>
      <c r="M67" s="17" t="inlineStr">
        <is>
          <t>淨利 +39.8
經常 ≈帳面｜營運 +96.3
一次: 待核實</t>
        </is>
      </c>
      <c r="N67" s="17" t="inlineStr">
        <is>
          <t>淨利 +53.4
經常 ≈帳面｜營運 +126.3
一次: 待核實</t>
        </is>
      </c>
      <c r="O67" s="17" t="inlineStr">
        <is>
          <t>淨利 +60.5
經常 ≈帳面｜營運 +85.7
一次: 待核實</t>
        </is>
      </c>
      <c r="P67" s="18" t="inlineStr">
        <is>
          <t>淨利 +45.8
經常 ≈帳面｜營運 +106.4
一次: 待核實</t>
        </is>
      </c>
      <c r="Q67" s="16" t="inlineStr">
        <is>
          <t>EPS +2.56
按年 +1%
(6 位分析師)</t>
        </is>
      </c>
      <c r="R6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67" s="16" t="inlineStr">
        <is>
          <t>營運利潤四季：+96.3 → +126.3 → +85.7 → +106.4；按年 +30%；剔除一次性後與帳面一致；營運利潤率 21.9%。</t>
        </is>
      </c>
      <c r="T67" s="16" t="inlineStr">
        <is>
          <t>營運利潤為正、帳面≈經常、按年未倒退 —— 盈利乾淨。　收入按年 +19.5%　淨利率 9.4%　淨利按年 +39%。</t>
        </is>
      </c>
      <c r="U67" s="20" t="inlineStr">
        <is>
          <t>A</t>
        </is>
      </c>
      <c r="V67" s="10" t="inlineStr">
        <is>
          <t>Q2-26</t>
        </is>
      </c>
    </row>
    <row r="68" ht="62" customHeight="1">
      <c r="A68" s="10" t="n">
        <v>67</v>
      </c>
      <c r="B68" s="11" t="inlineStr">
        <is>
          <t>JNJ</t>
        </is>
      </c>
      <c r="C68" s="10" t="inlineStr">
        <is>
          <t>—</t>
        </is>
      </c>
      <c r="D68" s="12" t="inlineStr">
        <is>
          <t>Johnson &amp; Johnson</t>
        </is>
      </c>
      <c r="E68" s="12" t="inlineStr">
        <is>
          <t>醫療保健／Drug Manufacturers - General</t>
        </is>
      </c>
      <c r="F68" s="13" t="inlineStr">
        <is>
          <t>USD</t>
        </is>
      </c>
      <c r="G68" s="14" t="inlineStr">
        <is>
          <t>Q3-25(25年9月) / Q4-25(25年12月) / Q1-26(26年3月) / Q2-26(26年6月)</t>
        </is>
      </c>
      <c r="H68" s="15" t="n">
        <v>23993</v>
      </c>
      <c r="I68" s="15" t="n">
        <v>24564</v>
      </c>
      <c r="J68" s="15" t="n">
        <v>24062</v>
      </c>
      <c r="K68" s="15" t="n">
        <v>25310</v>
      </c>
      <c r="L68" s="16" t="inlineStr">
        <is>
          <t>26,557M
按年 +8%
(4 位分析師)</t>
        </is>
      </c>
      <c r="M68" s="17" t="inlineStr">
        <is>
          <t>淨利 +5,152.0
經常 +4,989.0｜營運 +7,096.0
一次: +237.0 (稅影響 +74.0)</t>
        </is>
      </c>
      <c r="N68" s="17" t="inlineStr">
        <is>
          <t>淨利 +5,116.0
經常 +5,720.4｜營運 +5,591.0
一次: -765.0 (稅影響 -160.7)</t>
        </is>
      </c>
      <c r="O68" s="17" t="inlineStr">
        <is>
          <t>淨利 +5,235.0
經常 +5,644.0｜營運 +6,395.0
一次: -468.0 (稅影響 -59.0)</t>
        </is>
      </c>
      <c r="P68" s="18" t="inlineStr">
        <is>
          <t>淨利 +5,534.0
經常 +5,561.9｜營運 +7,174.0
一次: 無重大</t>
        </is>
      </c>
      <c r="Q68" s="16" t="inlineStr">
        <is>
          <t>EPS +3.02
按年 +23%
(4 位分析師)</t>
        </is>
      </c>
      <c r="R68" s="16" t="inlineStr">
        <is>
          <t>無重大一次性項目（Yahoo「Total Unusual Items」為零或極小）；帳面淨利≈經常性淨利。</t>
        </is>
      </c>
      <c r="S68" s="16" t="inlineStr">
        <is>
          <t>營運利潤四季：+7,096.0 → +5,591.0 → +6,395.0 → +7,174.0；按年 +7%；剔除一次性後淨利 +5,561.9（帳面 +5,534.0，差 +27.9）；營運利潤率 28.3%。</t>
        </is>
      </c>
      <c r="T68" s="16" t="inlineStr">
        <is>
          <t>營運利潤為正、帳面≈經常、按年未倒退 —— 盈利乾淨。　收入按年 +6.6%　淨利率 21.9%　淨利按年 -0%。</t>
        </is>
      </c>
      <c r="U68" s="20" t="inlineStr">
        <is>
          <t>A</t>
        </is>
      </c>
      <c r="V68" s="10" t="inlineStr">
        <is>
          <t>Q2-26</t>
        </is>
      </c>
    </row>
    <row r="69" ht="62" customHeight="1">
      <c r="A69" s="10" t="n">
        <v>68</v>
      </c>
      <c r="B69" s="11" t="inlineStr">
        <is>
          <t>BIO</t>
        </is>
      </c>
      <c r="C69" s="10" t="inlineStr">
        <is>
          <t>—</t>
        </is>
      </c>
      <c r="D69" s="12" t="inlineStr">
        <is>
          <t>Bio-Rad Laboratories, Inc.</t>
        </is>
      </c>
      <c r="E69" s="12" t="inlineStr">
        <is>
          <t>工業／Medical Devices</t>
        </is>
      </c>
      <c r="F69" s="13" t="inlineStr">
        <is>
          <t>USD</t>
        </is>
      </c>
      <c r="G69" s="14" t="inlineStr">
        <is>
          <t>Q3-25(25年9月) / Q4-25(25年12月) / Q1-26(26年3月) / Q2-26(26年6月)</t>
        </is>
      </c>
      <c r="H69" s="15" t="n">
        <v>653</v>
      </c>
      <c r="I69" s="15" t="n">
        <v>693.2</v>
      </c>
      <c r="J69" s="15" t="n">
        <v>592.1</v>
      </c>
      <c r="K69" s="15" t="n">
        <v>651</v>
      </c>
      <c r="L69" s="16" t="inlineStr">
        <is>
          <t>690M
按年 -0%
(4 位分析師)</t>
        </is>
      </c>
      <c r="M69" s="17" t="inlineStr">
        <is>
          <t>淨利 -341.9
經常 +52.6｜營運 +63.9
一次: -497.4 (稅影響 -102.9)</t>
        </is>
      </c>
      <c r="N69" s="17" t="inlineStr">
        <is>
          <t>淨利 +720.0
經常 +55.6｜營運 +53.9
一次: +857.4 (稅影響 +193.0)</t>
        </is>
      </c>
      <c r="O69" s="17" t="inlineStr">
        <is>
          <t>淨利 -527.1
經常 +33.2｜營運 +34.1
一次: -733.3 (稅影響 -173.0)</t>
        </is>
      </c>
      <c r="P69" s="18" t="inlineStr">
        <is>
          <t>淨利 +371.4
經常 +57.3｜營運 +72.6
一次: +458.5 (稅影響 +144.4)</t>
        </is>
      </c>
      <c r="Q69" s="16" t="inlineStr">
        <is>
          <t>EPS +2.91
按年 +16%
(4 位分析師)</t>
        </is>
      </c>
      <c r="R69" s="16" t="inlineStr">
        <is>
          <t>最新季一次性項目 +458.5（收益，令帳面好看），佔帳面淨利 123%。明細性質（資產出售／減值／訴訟／稅務）需查財報原文，本表只取金額，會否重複列「待核實」。</t>
        </is>
      </c>
      <c r="S69" s="16" t="inlineStr">
        <is>
          <t>營運利潤四季：+63.9 → +53.9 → +34.1 → +72.6；按年 -6%；剔除一次性後淨利 +57.3（帳面 +371.4，差 -314.1）；營運利潤率 11.2%。</t>
        </is>
      </c>
      <c r="T69" s="16" t="inlineStr">
        <is>
          <t>營運層面盈利，但帳面淨利含重大一次性項目，經常性口徑要另計。　收入按年 -0.1%　淨利率 57.1%　淨利按年 +17%。</t>
        </is>
      </c>
      <c r="U69" s="19" t="inlineStr">
        <is>
          <t>B</t>
        </is>
      </c>
      <c r="V69" s="10" t="inlineStr">
        <is>
          <t>Q2-26</t>
        </is>
      </c>
    </row>
    <row r="70" ht="62" customHeight="1">
      <c r="A70" s="10" t="n">
        <v>69</v>
      </c>
      <c r="B70" s="11" t="inlineStr">
        <is>
          <t>CDZI</t>
        </is>
      </c>
      <c r="C70" s="10" t="inlineStr">
        <is>
          <t>—</t>
        </is>
      </c>
      <c r="D70" s="12" t="inlineStr">
        <is>
          <t>Cadiz Inc.</t>
        </is>
      </c>
      <c r="E70" s="12" t="inlineStr">
        <is>
          <t>公用事業／Pollution &amp; Treatment Controls</t>
        </is>
      </c>
      <c r="F70" s="13" t="inlineStr">
        <is>
          <t>USD</t>
        </is>
      </c>
      <c r="G70" s="14" t="inlineStr">
        <is>
          <t>Q3-25(25年9月) / Q4-25(25年12月) / Q1-26(26年3月) / Q2-26(26年6月)</t>
        </is>
      </c>
      <c r="H70" s="15" t="n">
        <v>4.1</v>
      </c>
      <c r="I70" s="15" t="n">
        <v>5.1</v>
      </c>
      <c r="J70" s="15" t="n">
        <v>1.6</v>
      </c>
      <c r="K70" s="15" t="n">
        <v>1</v>
      </c>
      <c r="L70" s="16" t="inlineStr">
        <is>
          <t>3M
按年 -38%
(2 位分析師)
⚠口徑與財報不同</t>
        </is>
      </c>
      <c r="M70" s="17" t="inlineStr">
        <is>
          <t>淨利 -8.3
經常 -7.1｜營運 -4.9
一次: 待核實</t>
        </is>
      </c>
      <c r="N70" s="17" t="inlineStr">
        <is>
          <t>淨利 -11.0
經常 -9.8｜營運 -7.4
一次: 待核實</t>
        </is>
      </c>
      <c r="O70" s="17" t="inlineStr">
        <is>
          <t>淨利 -9.9
經常 -9.0｜營運 -6.8
一次: 無重大</t>
        </is>
      </c>
      <c r="P70" s="18" t="inlineStr">
        <is>
          <t>淨利 -12.6
經常 -11.6｜營運 -8.8
一次: 無重大</t>
        </is>
      </c>
      <c r="Q70" s="16" t="inlineStr">
        <is>
          <t>EPS -0.14
按年 -12%
(2 位分析師)</t>
        </is>
      </c>
      <c r="R70" s="16" t="inlineStr">
        <is>
          <t>無重大一次性項目（Yahoo「Total Unusual Items」為零或極小）；帳面淨利≈經常性淨利。</t>
        </is>
      </c>
      <c r="S70" s="16" t="inlineStr">
        <is>
          <t>營運利潤四季：-4.9 → -7.4 → -6.8 → -8.8；按年 -53%；剔除一次性後淨利 -11.6（帳面 -12.6，差 +1.0）；營運利潤率 -902.5%。</t>
        </is>
      </c>
      <c r="T70" s="16" t="inlineStr">
        <is>
          <t>營運虧損且未見收窄。　收入按年 -76.3%　淨利率 -1291.0%　淨利按年 -40%。</t>
        </is>
      </c>
      <c r="U70" s="21" t="inlineStr">
        <is>
          <t>D</t>
        </is>
      </c>
      <c r="V70" s="10" t="inlineStr">
        <is>
          <t>Q2-26</t>
        </is>
      </c>
    </row>
    <row r="71" ht="62" customHeight="1">
      <c r="A71" s="10" t="n">
        <v>70</v>
      </c>
      <c r="B71" s="11" t="inlineStr">
        <is>
          <t>NKTX</t>
        </is>
      </c>
      <c r="C71" s="10" t="inlineStr">
        <is>
          <t>—</t>
        </is>
      </c>
      <c r="D71" s="12" t="inlineStr">
        <is>
          <t>Nkarta, Inc.</t>
        </is>
      </c>
      <c r="E71" s="12" t="inlineStr">
        <is>
          <t>醫療保健／Biotechnology</t>
        </is>
      </c>
      <c r="F71" s="13" t="inlineStr">
        <is>
          <t>USD</t>
        </is>
      </c>
      <c r="G71" s="14" t="inlineStr">
        <is>
          <t>Q3-25(25年9月) / Q4-25(25年12月) / Q1-26(26年3月) / Q2-26(26年6月)</t>
        </is>
      </c>
      <c r="H71" s="15" t="n">
        <v>0</v>
      </c>
      <c r="I71" s="15" t="n">
        <v>0</v>
      </c>
      <c r="J71" s="15" t="n">
        <v>0</v>
      </c>
      <c r="K71" s="15" t="n">
        <v>0</v>
      </c>
      <c r="L71" s="16" t="inlineStr">
        <is>
          <t>無收入
(6 位分析師)</t>
        </is>
      </c>
      <c r="M71" s="17" t="inlineStr">
        <is>
          <t>淨利 -21.7
經常 ≈帳面｜營運 -27.3
一次: 待核實</t>
        </is>
      </c>
      <c r="N71" s="17" t="inlineStr">
        <is>
          <t>淨利 -27.4
經常 ≈帳面｜營運 -31.0
一次: 待核實</t>
        </is>
      </c>
      <c r="O71" s="17" t="inlineStr">
        <is>
          <t>淨利 -27.8
經常 ≈帳面｜營運 -30.9
一次: 待核實</t>
        </is>
      </c>
      <c r="P71" s="18" t="inlineStr">
        <is>
          <t>淨利 -40.4
經常 ≈帳面｜營運 -43.1
一次: 待核實</t>
        </is>
      </c>
      <c r="Q71" s="16" t="inlineStr">
        <is>
          <t>EPS -0.40
按年 -8%
(3 位分析師)</t>
        </is>
      </c>
      <c r="R7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71" s="16" t="inlineStr">
        <is>
          <t>營運利潤四季：-27.3 → -31.0 → -30.9 → -43.1；按年 -59%；剔除一次性後與帳面一致。</t>
        </is>
      </c>
      <c r="T71" s="16" t="inlineStr">
        <is>
          <t>營運虧損且未見收窄。　淨利按年 -76%。</t>
        </is>
      </c>
      <c r="U71" s="21" t="inlineStr">
        <is>
          <t>D</t>
        </is>
      </c>
      <c r="V71" s="10" t="inlineStr">
        <is>
          <t>Q2-26</t>
        </is>
      </c>
    </row>
    <row r="72" ht="62" customHeight="1">
      <c r="A72" s="10" t="n">
        <v>71</v>
      </c>
      <c r="B72" s="11" t="inlineStr">
        <is>
          <t>COR</t>
        </is>
      </c>
      <c r="C72" s="10" t="inlineStr">
        <is>
          <t>—</t>
        </is>
      </c>
      <c r="D72" s="12" t="inlineStr">
        <is>
          <t>Cencora, Inc.</t>
        </is>
      </c>
      <c r="E72" s="12" t="inlineStr">
        <is>
          <t>醫療保健／Medical Distribution</t>
        </is>
      </c>
      <c r="F72" s="13" t="inlineStr">
        <is>
          <t>USD</t>
        </is>
      </c>
      <c r="G72" s="14" t="inlineStr">
        <is>
          <t>Q3-25(25年9月) / Q4-25(25年12月) / Q1-26(26年3月) / Q2-26(26年6月)</t>
        </is>
      </c>
      <c r="H72" s="15" t="n">
        <v>83728.60000000001</v>
      </c>
      <c r="I72" s="15" t="n">
        <v>85932</v>
      </c>
      <c r="J72" s="15" t="n">
        <v>78355.89999999999</v>
      </c>
      <c r="K72" s="15" t="n">
        <v>84754.8</v>
      </c>
      <c r="L72" s="16" t="inlineStr">
        <is>
          <t>89,385M
按年 +4%
(4 位分析師)</t>
        </is>
      </c>
      <c r="M72" s="17" t="inlineStr">
        <is>
          <t>淨利 -339.7
經常 +393.0｜營運 +945.9
一次: -927.4 (稅影響 -194.8)</t>
        </is>
      </c>
      <c r="N72" s="17" t="inlineStr">
        <is>
          <t>淨利 +559.6
經常 +764.1｜營運 +1,016.4
一次: -255.9 (稅影響 -51.5)</t>
        </is>
      </c>
      <c r="O72" s="17" t="inlineStr">
        <is>
          <t>淨利 +1,641.3
經常 +1,812.1｜營運 +1,361.5
一次: -218.9 (稅影響 -48.2)</t>
        </is>
      </c>
      <c r="P72" s="18" t="inlineStr">
        <is>
          <t>淨利 +763.5
經常 +829.8｜營運 +1,205.3
一次: -85.1 (稅影響 -18.8)</t>
        </is>
      </c>
      <c r="Q72" s="16" t="inlineStr">
        <is>
          <t>EPS +4.61
按年 +13%
(7 位分析師)</t>
        </is>
      </c>
      <c r="R72" s="16" t="inlineStr">
        <is>
          <t>最新季一次性項目 -85.1（支出／減值，令帳面難看），佔帳面淨利 11%。明細性質（資產出售／減值／訴訟／稅務）需查財報原文，本表只取金額，會否重複列「待核實」。</t>
        </is>
      </c>
      <c r="S72" s="16" t="inlineStr">
        <is>
          <t>營運利潤四季：+945.9 → +1,016.4 → +1,361.5 → +1,205.3；按年 +23%；剔除一次性後淨利 +829.8（帳面 +763.5，差 +66.3）；營運利潤率 1.4%。</t>
        </is>
      </c>
      <c r="T72" s="16" t="inlineStr">
        <is>
          <t>營運層面盈利，但帳面淨利含重大一次性項目，經常性口徑要另計。　收入按年 +5.1%　淨利率 0.9%　淨利按年 +11%。</t>
        </is>
      </c>
      <c r="U72" s="19" t="inlineStr">
        <is>
          <t>B</t>
        </is>
      </c>
      <c r="V72" s="10" t="inlineStr">
        <is>
          <t>Q2-26</t>
        </is>
      </c>
    </row>
    <row r="73" ht="62" customHeight="1">
      <c r="A73" s="10" t="n">
        <v>72</v>
      </c>
      <c r="B73" s="11" t="inlineStr">
        <is>
          <t>KMX</t>
        </is>
      </c>
      <c r="C73" s="10" t="inlineStr">
        <is>
          <t>—</t>
        </is>
      </c>
      <c r="D73" s="12" t="inlineStr">
        <is>
          <t>CarMax, Inc.</t>
        </is>
      </c>
      <c r="E73" s="12" t="inlineStr">
        <is>
          <t>非必需消費／Auto &amp; Truck Dealerships</t>
        </is>
      </c>
      <c r="F73" s="13" t="inlineStr">
        <is>
          <t>USD</t>
        </is>
      </c>
      <c r="G73" s="14" t="inlineStr">
        <is>
          <t>Q3-25(25年8月) / Q4-25(25年11月) / Q1-26(26年2月) / Q2-26(26年5月)</t>
        </is>
      </c>
      <c r="H73" s="15" t="n">
        <v>6594.7</v>
      </c>
      <c r="I73" s="15" t="n">
        <v>5793.9</v>
      </c>
      <c r="J73" s="15" t="n">
        <v>5946</v>
      </c>
      <c r="K73" s="15" t="n">
        <v>8013.5</v>
      </c>
      <c r="L73" s="16" t="inlineStr">
        <is>
          <t>6,091M
按年 +5%
(14 位分析師)</t>
        </is>
      </c>
      <c r="M73" s="17" t="inlineStr">
        <is>
          <t>淨利 +95.4
經常 ≈帳面｜營運 -117.8
一次: 待核實</t>
        </is>
      </c>
      <c r="N73" s="17" t="inlineStr">
        <is>
          <t>淨利 +62.2
經常 ≈帳面｜營運 -133.7
一次: 待核實</t>
        </is>
      </c>
      <c r="O73" s="17" t="inlineStr">
        <is>
          <t>淨利 -120.7
經常 ≈帳面｜營運 -249.7
一次: 待核實</t>
        </is>
      </c>
      <c r="P73" s="18" t="inlineStr">
        <is>
          <t>淨利 +185.6
經常 ≈帳面｜營運 +31.7
一次: 待核實</t>
        </is>
      </c>
      <c r="Q73" s="16" t="inlineStr">
        <is>
          <t>EPS +0.45
按年 +5%
(11 位分析師)</t>
        </is>
      </c>
      <c r="R7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73" s="16" t="inlineStr">
        <is>
          <t>營運利潤四季：-117.8 → -133.7 → -249.7 → +31.7；按年 -25%；剔除一次性後與帳面一致；營運利潤率 0.4%。</t>
        </is>
      </c>
      <c r="T73" s="16" t="inlineStr">
        <is>
          <t>營運利潤為正但按年倒退，盈利仍在但動能轉弱。　收入按年 +6.2%　淨利率 2.3%　淨利按年 -12%。</t>
        </is>
      </c>
      <c r="U73" s="19" t="inlineStr">
        <is>
          <t>B</t>
        </is>
      </c>
      <c r="V73" s="10" t="inlineStr">
        <is>
          <t>Q2-26</t>
        </is>
      </c>
    </row>
    <row r="74" ht="62" customHeight="1">
      <c r="A74" s="10" t="n">
        <v>73</v>
      </c>
      <c r="B74" s="11" t="inlineStr">
        <is>
          <t>LXU</t>
        </is>
      </c>
      <c r="C74" s="10" t="inlineStr">
        <is>
          <t>—</t>
        </is>
      </c>
      <c r="D74" s="12" t="inlineStr">
        <is>
          <t>LSB Industries, Inc.</t>
        </is>
      </c>
      <c r="E74" s="12" t="inlineStr">
        <is>
          <t>原材料／Chemicals</t>
        </is>
      </c>
      <c r="F74" s="13" t="inlineStr">
        <is>
          <t>USD</t>
        </is>
      </c>
      <c r="G74" s="14" t="inlineStr">
        <is>
          <t>Q3-25(25年9月) / Q4-25(25年12月) / Q1-26(26年3月) / Q2-26(26年6月)</t>
        </is>
      </c>
      <c r="H74" s="15" t="n">
        <v>155.4</v>
      </c>
      <c r="I74" s="15" t="n">
        <v>165</v>
      </c>
      <c r="J74" s="15" t="n">
        <v>169.5</v>
      </c>
      <c r="K74" s="15" t="n">
        <v>168.1</v>
      </c>
      <c r="L74" s="16" t="inlineStr">
        <is>
          <t>176M
按年 +7%
(2 位分析師)</t>
        </is>
      </c>
      <c r="M74" s="17" t="inlineStr">
        <is>
          <t>淨利 +7.1
經常 ≈帳面｜營運 +15.6
一次: 無重大</t>
        </is>
      </c>
      <c r="N74" s="17" t="inlineStr">
        <is>
          <t>淨利 +16.1
經常 ≈帳面｜營運 +26.7
一次: 無重大</t>
        </is>
      </c>
      <c r="O74" s="17" t="inlineStr">
        <is>
          <t>淨利 +19.7
經常 ≈帳面｜營運 +23.2
一次: 待核實</t>
        </is>
      </c>
      <c r="P74" s="18" t="inlineStr">
        <is>
          <t>淨利 -6.2
經常 ≈帳面｜營運 -2.7
一次: 無重大</t>
        </is>
      </c>
      <c r="Q74" s="16" t="inlineStr">
        <is>
          <t>EPS +0.33
按年 +16%
(2 位分析師)
⚠non-GAAP
(帳面仍虧損)</t>
        </is>
      </c>
      <c r="R74" s="16" t="inlineStr">
        <is>
          <t>無重大一次性項目（Yahoo「Total Unusual Items」為零或極小）；帳面淨利≈經常性淨利。</t>
        </is>
      </c>
      <c r="S74" s="16" t="inlineStr">
        <is>
          <t>營運利潤四季：+15.6 → +26.7 → +23.2 → -2.7；按年 -126%；剔除一次性後與帳面一致；營運利潤率 -1.6%。</t>
        </is>
      </c>
      <c r="T74" s="16" t="inlineStr">
        <is>
          <t>營運虧損且未見收窄。　收入按年 +11.1%　淨利率 -3.7%　淨利按年 -306%。</t>
        </is>
      </c>
      <c r="U74" s="21" t="inlineStr">
        <is>
          <t>D</t>
        </is>
      </c>
      <c r="V74" s="10" t="inlineStr">
        <is>
          <t>Q2-26</t>
        </is>
      </c>
    </row>
    <row r="75" ht="62" customHeight="1">
      <c r="A75" s="10" t="n">
        <v>74</v>
      </c>
      <c r="B75" s="11" t="inlineStr">
        <is>
          <t>STEP</t>
        </is>
      </c>
      <c r="C75" s="10" t="inlineStr">
        <is>
          <t>—</t>
        </is>
      </c>
      <c r="D75" s="12" t="inlineStr">
        <is>
          <t>StepStone Group Inc.</t>
        </is>
      </c>
      <c r="E75" s="12" t="inlineStr">
        <is>
          <t>金融／Asset Management</t>
        </is>
      </c>
      <c r="F75" s="13" t="inlineStr">
        <is>
          <t>USD</t>
        </is>
      </c>
      <c r="G75" s="14" t="inlineStr">
        <is>
          <t>Q3-25(25年9月) / Q4-25(25年12月) / Q1-26(26年3月) / Q2-26(26年6月)</t>
        </is>
      </c>
      <c r="H75" s="15" t="n">
        <v>454.2</v>
      </c>
      <c r="I75" s="15" t="n">
        <v>586.5</v>
      </c>
      <c r="J75" s="15" t="n">
        <v>588.6</v>
      </c>
      <c r="K75" s="15" t="n">
        <v>378.9</v>
      </c>
      <c r="L75" s="16" t="inlineStr">
        <is>
          <t>449M
按年 -9%
(1 位分析師)</t>
        </is>
      </c>
      <c r="M75" s="17" t="inlineStr">
        <is>
          <t>淨利 -366.1
經常 -405.5｜營運 -722.8
一次: +46.1 (稅影響 +6.8)</t>
        </is>
      </c>
      <c r="N75" s="17" t="inlineStr">
        <is>
          <t>淨利 -123.5
經常 -149.0｜營運 -221.3
一次: +30.6 (稅影響 +5.0)</t>
        </is>
      </c>
      <c r="O75" s="17" t="inlineStr">
        <is>
          <t>淨利 -7.8
經常 -23.3｜營運 -20.3
一次: +25.9 (稅影響 +10.3)</t>
        </is>
      </c>
      <c r="P75" s="18" t="inlineStr">
        <is>
          <t>淨利 -115.8
經常 -123.0｜營運 -204.8
一次: +8.4 (稅影響 +1.3)</t>
        </is>
      </c>
      <c r="Q75" s="16" t="inlineStr">
        <is>
          <t>EPS +0.81
按年 +24%
(4 位分析師)
⚠non-GAAP
(帳面仍虧損)</t>
        </is>
      </c>
      <c r="R75" s="16" t="inlineStr">
        <is>
          <t>最新季一次性項目 +8.4（收益，令帳面好看），佔帳面淨利 7%。明細性質（資產出售／減值／訴訟／稅務）需查財報原文，本表只取金額，會否重複列「待核實」。</t>
        </is>
      </c>
      <c r="S75" s="16" t="inlineStr">
        <is>
          <t>營運利潤四季：-722.8 → -221.3 → -20.3 → -204.8；按年 -247%；剔除一次性後淨利 -123.0（帳面 -115.8，差 -7.2）；營運利潤率 -54.1%。</t>
        </is>
      </c>
      <c r="T75" s="16" t="inlineStr">
        <is>
          <t>營運仍虧損，但四季軌跡收窄中。　收入按年 +4.0%　淨利率 -30.6%　淨利按年 -201%。</t>
        </is>
      </c>
      <c r="U75" s="22" t="inlineStr">
        <is>
          <t>C</t>
        </is>
      </c>
      <c r="V75" s="10" t="inlineStr">
        <is>
          <t>Q2-26</t>
        </is>
      </c>
    </row>
    <row r="76" ht="62" customHeight="1">
      <c r="A76" s="10" t="n">
        <v>75</v>
      </c>
      <c r="B76" s="11" t="inlineStr">
        <is>
          <t>ALEC</t>
        </is>
      </c>
      <c r="C76" s="10" t="inlineStr">
        <is>
          <t>—</t>
        </is>
      </c>
      <c r="D76" s="12" t="inlineStr">
        <is>
          <t>Alector, Inc.</t>
        </is>
      </c>
      <c r="E76" s="12" t="inlineStr">
        <is>
          <t>醫療保健／Biotechnology</t>
        </is>
      </c>
      <c r="F76" s="13" t="inlineStr">
        <is>
          <t>USD</t>
        </is>
      </c>
      <c r="G76" s="14" t="inlineStr">
        <is>
          <t>Q3-25(25年9月) / Q4-25(25年12月) / Q1-26(26年3月) / Q2-26(26年6月)</t>
        </is>
      </c>
      <c r="H76" s="15" t="n">
        <v>3.3</v>
      </c>
      <c r="I76" s="15" t="n">
        <v>6.2</v>
      </c>
      <c r="J76" s="15" t="n">
        <v>1</v>
      </c>
      <c r="K76" s="15" t="n">
        <v>3.3</v>
      </c>
      <c r="L76" s="16" t="inlineStr">
        <is>
          <t>4M
按年 -41%
(6 位分析師)</t>
        </is>
      </c>
      <c r="M76" s="17" t="inlineStr">
        <is>
          <t>淨利 -34.7
經常 ≈帳面｜營運 -37.6
一次: 待核實</t>
        </is>
      </c>
      <c r="N76" s="17" t="inlineStr">
        <is>
          <t>淨利 -37.3
經常 ≈帳面｜營運 -39.6
一次: 待核實</t>
        </is>
      </c>
      <c r="O76" s="17" t="inlineStr">
        <is>
          <t>淨利 -22.9
經常 ≈帳面｜營運 -24.9
一次: 待核實</t>
        </is>
      </c>
      <c r="P76" s="18" t="inlineStr">
        <is>
          <t>淨利 -23.0
經常 ≈帳面｜營運 -24.4
一次: 待核實</t>
        </is>
      </c>
      <c r="Q76" s="16" t="inlineStr">
        <is>
          <t>EPS -0.23
按年 +31%
(6 位分析師)</t>
        </is>
      </c>
      <c r="R76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76" s="16" t="inlineStr">
        <is>
          <t>營運利潤四季：-37.6 → -39.6 → -24.9 → -24.4；按年 +29%；剔除一次性後與帳面一致；營運利潤率 -734.7%。</t>
        </is>
      </c>
      <c r="T76" s="16" t="inlineStr">
        <is>
          <t>營運仍虧損，但四季軌跡收窄中。　收入按年 -57.8%　淨利率 -692.5%　淨利按年 +25%。</t>
        </is>
      </c>
      <c r="U76" s="22" t="inlineStr">
        <is>
          <t>C</t>
        </is>
      </c>
      <c r="V76" s="10" t="inlineStr">
        <is>
          <t>Q2-26</t>
        </is>
      </c>
    </row>
    <row r="77" ht="62" customHeight="1">
      <c r="A77" s="10" t="n">
        <v>76</v>
      </c>
      <c r="B77" s="11" t="inlineStr">
        <is>
          <t>MNTN</t>
        </is>
      </c>
      <c r="C77" s="10" t="inlineStr">
        <is>
          <t>—</t>
        </is>
      </c>
      <c r="D77" s="12" t="inlineStr">
        <is>
          <t>MNTN, Inc.</t>
        </is>
      </c>
      <c r="E77" s="12" t="inlineStr">
        <is>
          <t>非必需消費／Software - Application</t>
        </is>
      </c>
      <c r="F77" s="13" t="inlineStr">
        <is>
          <t>USD</t>
        </is>
      </c>
      <c r="G77" s="14" t="inlineStr">
        <is>
          <t>Q3-25(25年9月) / Q4-25(25年12月) / Q1-26(26年3月) / Q2-26(26年6月)</t>
        </is>
      </c>
      <c r="H77" s="15" t="n">
        <v>70</v>
      </c>
      <c r="I77" s="15" t="n">
        <v>87.09999999999999</v>
      </c>
      <c r="J77" s="15" t="n">
        <v>73.7</v>
      </c>
      <c r="K77" s="15" t="n">
        <v>82.5</v>
      </c>
      <c r="L77" s="16" t="inlineStr">
        <is>
          <t>108M
按年 +24%
(9 位分析師)</t>
        </is>
      </c>
      <c r="M77" s="17" t="inlineStr">
        <is>
          <t>淨利 +6.4
經常 ≈帳面｜營運 +7.5
一次: 待核實</t>
        </is>
      </c>
      <c r="N77" s="17" t="inlineStr">
        <is>
          <t>淨利 +34.5
經常 ≈帳面｜營運 +20.5
一次: 待核實</t>
        </is>
      </c>
      <c r="O77" s="17" t="inlineStr">
        <is>
          <t>淨利 +8.8
經常 ≈帳面｜營運 +9.6
一次: 待核實</t>
        </is>
      </c>
      <c r="P77" s="18" t="inlineStr">
        <is>
          <t>淨利 +6.7
經常 ≈帳面｜營運 +7.1
一次: 待核實</t>
        </is>
      </c>
      <c r="Q77" s="16" t="inlineStr">
        <is>
          <t>EPS +0.41
按年 -11%
(2 位分析師)</t>
        </is>
      </c>
      <c r="R7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77" s="16" t="inlineStr">
        <is>
          <t>營運利潤四季：+7.5 → +20.5 → +9.6 → +7.1；按年 +92%；剔除一次性後與帳面一致；營運利潤率 8.6%。</t>
        </is>
      </c>
      <c r="T77" s="16" t="inlineStr">
        <is>
          <t>營運利潤為正、帳面≈經常、按年未倒退 —— 盈利乾淨。　收入按年 +20.6%　淨利率 8.1%　淨利按年 +126%。</t>
        </is>
      </c>
      <c r="U77" s="20" t="inlineStr">
        <is>
          <t>A</t>
        </is>
      </c>
      <c r="V77" s="10" t="inlineStr">
        <is>
          <t>Q2-26</t>
        </is>
      </c>
    </row>
    <row r="78" ht="62" customHeight="1">
      <c r="A78" s="10" t="n">
        <v>77</v>
      </c>
      <c r="B78" s="11" t="inlineStr">
        <is>
          <t>SLDB</t>
        </is>
      </c>
      <c r="C78" s="10" t="inlineStr">
        <is>
          <t>—</t>
        </is>
      </c>
      <c r="D78" s="12" t="inlineStr">
        <is>
          <t>Solid Biosciences Inc.</t>
        </is>
      </c>
      <c r="E78" s="12" t="inlineStr">
        <is>
          <t>醫療保健／Biotechnology</t>
        </is>
      </c>
      <c r="F78" s="13" t="inlineStr">
        <is>
          <t>USD</t>
        </is>
      </c>
      <c r="G78" s="14" t="inlineStr">
        <is>
          <t>Q3-25(25年9月) / Q4-25(25年12月) / Q1-26(26年3月) / Q2-26(26年6月)</t>
        </is>
      </c>
      <c r="H78" s="15" t="n">
        <v>0</v>
      </c>
      <c r="I78" s="15" t="n">
        <v>0</v>
      </c>
      <c r="J78" s="15" t="n">
        <v>0</v>
      </c>
      <c r="K78" s="15" t="n">
        <v>0</v>
      </c>
      <c r="L78" s="16" t="inlineStr">
        <is>
          <t>無收入
(12 位分析師)</t>
        </is>
      </c>
      <c r="M78" s="17" t="inlineStr">
        <is>
          <t>淨利 -45.8
經常 -44.9｜營運 -48.1
一次: 無重大</t>
        </is>
      </c>
      <c r="N78" s="17" t="inlineStr">
        <is>
          <t>淨利 -49.8
經常 -47.1｜營運 -49.4
一次: -2.6</t>
        </is>
      </c>
      <c r="O78" s="17" t="inlineStr">
        <is>
          <t>淨利 -56.7
經常 -55.1｜營運 -57.3
一次: -1.6</t>
        </is>
      </c>
      <c r="P78" s="18" t="inlineStr">
        <is>
          <t>淨利 -54.8
經常 -53.9｜營運 -57.4
一次: 無重大</t>
        </is>
      </c>
      <c r="Q78" s="16" t="inlineStr">
        <is>
          <t>EPS -0.42
按年 +20%
(13 位分析師)</t>
        </is>
      </c>
      <c r="R78" s="16" t="inlineStr">
        <is>
          <t>無重大一次性項目（Yahoo「Total Unusual Items」為零或極小）；帳面淨利≈經常性淨利。</t>
        </is>
      </c>
      <c r="S78" s="16" t="inlineStr">
        <is>
          <t>營運利潤四季：-48.1 → -49.4 → -57.3 → -57.4；按年 -38%；剔除一次性後與帳面一致。</t>
        </is>
      </c>
      <c r="T78" s="16" t="inlineStr">
        <is>
          <t>營運虧損且未見收窄。　淨利按年 -39%。</t>
        </is>
      </c>
      <c r="U78" s="21" t="inlineStr">
        <is>
          <t>D</t>
        </is>
      </c>
      <c r="V78" s="10" t="inlineStr">
        <is>
          <t>Q2-26</t>
        </is>
      </c>
    </row>
    <row r="79" ht="62" customHeight="1">
      <c r="A79" s="10" t="n">
        <v>78</v>
      </c>
      <c r="B79" s="11" t="inlineStr">
        <is>
          <t>NEXT</t>
        </is>
      </c>
      <c r="C79" s="10" t="inlineStr">
        <is>
          <t>—</t>
        </is>
      </c>
      <c r="D79" s="12" t="inlineStr">
        <is>
          <t>NextDecade Corporation</t>
        </is>
      </c>
      <c r="E79" s="12" t="inlineStr">
        <is>
          <t>公用事業／Oil &amp; Gas Equipment &amp; Services</t>
        </is>
      </c>
      <c r="F79" s="13" t="inlineStr">
        <is>
          <t>USD</t>
        </is>
      </c>
      <c r="G79" s="14" t="inlineStr">
        <is>
          <t>Q3-25(25年9月) / Q4-25(25年12月) / Q1-26(26年3月) / Q2-26(26年6月)</t>
        </is>
      </c>
      <c r="H79" s="15" t="n">
        <v>0</v>
      </c>
      <c r="I79" s="15" t="n">
        <v>0</v>
      </c>
      <c r="J79" s="15" t="n">
        <v>0</v>
      </c>
      <c r="K79" s="15" t="n">
        <v>0</v>
      </c>
      <c r="L79" s="16" t="inlineStr">
        <is>
          <t>無收入
(1 位分析師)</t>
        </is>
      </c>
      <c r="M79" s="17" t="inlineStr">
        <is>
          <t>淨利 -109.5
經常 -35.3｜營運 -72.0
一次: -74.1</t>
        </is>
      </c>
      <c r="N79" s="17" t="inlineStr">
        <is>
          <t>淨利 -47.3
經常 -194.0｜營運 -45.8
一次: +185.7 (稅影響 +39.0)</t>
        </is>
      </c>
      <c r="O79" s="17" t="inlineStr">
        <is>
          <t>淨利 -136.4
經常 -74.3｜營運 -55.1
一次: -62.1</t>
        </is>
      </c>
      <c r="P79" s="18" t="inlineStr">
        <is>
          <t>淨利 -65.4
經常 -149.1｜營運 -54.6
一次: +83.6</t>
        </is>
      </c>
      <c r="Q79" s="16" t="inlineStr">
        <is>
          <t>EPS -0.61
按年 -239%
(2 位分析師)</t>
        </is>
      </c>
      <c r="R79" s="16" t="inlineStr">
        <is>
          <t>最新季一次性項目 +83.6（收益，令帳面好看），佔帳面淨利 128%。明細性質（資產出售／減值／訴訟／稅務）需查財報原文，本表只取金額，會否重複列「待核實」。</t>
        </is>
      </c>
      <c r="S79" s="16" t="inlineStr">
        <is>
          <t>營運利潤四季：-72.0 → -45.8 → -55.1 → -54.6；按年 +3%；剔除一次性後淨利 -149.1（帳面 -65.4，差 -83.6）。</t>
        </is>
      </c>
      <c r="T79" s="16" t="inlineStr">
        <is>
          <t>營運仍虧損，但四季軌跡收窄中。　淨利按年 -7%。</t>
        </is>
      </c>
      <c r="U79" s="22" t="inlineStr">
        <is>
          <t>C</t>
        </is>
      </c>
      <c r="V79" s="10" t="inlineStr">
        <is>
          <t>Q2-26</t>
        </is>
      </c>
    </row>
    <row r="80" ht="62" customHeight="1">
      <c r="A80" s="10" t="n">
        <v>79</v>
      </c>
      <c r="B80" s="11" t="inlineStr">
        <is>
          <t>GBTG</t>
        </is>
      </c>
      <c r="C80" s="10" t="inlineStr">
        <is>
          <t>—</t>
        </is>
      </c>
      <c r="D80" s="12" t="inlineStr">
        <is>
          <t>Global Business Travel Group, Inc.</t>
        </is>
      </c>
      <c r="E80" s="12" t="inlineStr">
        <is>
          <t>非必需消費／Travel Services</t>
        </is>
      </c>
      <c r="F80" s="13" t="inlineStr">
        <is>
          <t>USD</t>
        </is>
      </c>
      <c r="G80" s="14" t="inlineStr">
        <is>
          <t>Q3-25(25年9月) / Q4-25(25年12月) / Q1-26(26年3月) / Q2-26(26年6月)</t>
        </is>
      </c>
      <c r="H80" s="15" t="n">
        <v>674</v>
      </c>
      <c r="I80" s="15" t="n">
        <v>792</v>
      </c>
      <c r="J80" s="15" t="n">
        <v>840</v>
      </c>
      <c r="K80" s="15" t="n">
        <v>870</v>
      </c>
      <c r="L80" s="16" t="inlineStr">
        <is>
          <t>857M
按年 +8%
(1 位分析師)</t>
        </is>
      </c>
      <c r="M80" s="17" t="inlineStr">
        <is>
          <t>淨利 -62.0
經常 -18.6｜營運 +41.0
一次: -55.0 (稅影響 -11.6)</t>
        </is>
      </c>
      <c r="N80" s="17" t="inlineStr">
        <is>
          <t>淨利 +83.0
經常 +75.9｜營運 +36.0
一次: +9.0 (稅影響 +1.9)</t>
        </is>
      </c>
      <c r="O80" s="17" t="inlineStr">
        <is>
          <t>淨利 +52.0
經常 +59.8｜營運 +47.0
一次: -13.0 (稅影響 -5.2)</t>
        </is>
      </c>
      <c r="P80" s="18" t="inlineStr">
        <is>
          <t>淨利 +15.0
經常 +46.1｜營運 +65.0
一次: -35.0 (稅影響 -3.9)</t>
        </is>
      </c>
      <c r="Q80" s="16" t="inlineStr">
        <is>
          <t>EPS +0.06
按年 -65%
(1 位分析師)</t>
        </is>
      </c>
      <c r="R80" s="16" t="inlineStr">
        <is>
          <t>最新季一次性項目 -35.0（支出／減值，令帳面難看），佔帳面淨利 233%。明細性質（資產出售／減值／訴訟／稅務）需查財報原文，本表只取金額，會否重複列「待核實」。</t>
        </is>
      </c>
      <c r="S80" s="16" t="inlineStr">
        <is>
          <t>營運利潤四季：+41.0 → +36.0 → +47.0 → +65.0；按年 +41%；剔除一次性後淨利 +46.1（帳面 +15.0，差 +31.1）；營運利潤率 7.5%。</t>
        </is>
      </c>
      <c r="T80" s="16" t="inlineStr">
        <is>
          <t>營運層面盈利，但帳面淨利含重大一次性項目，經常性口徑要另計。　收入按年 +37.9%　淨利率 1.7%　淨利按年 +15%。</t>
        </is>
      </c>
      <c r="U80" s="19" t="inlineStr">
        <is>
          <t>B</t>
        </is>
      </c>
      <c r="V80" s="10" t="inlineStr">
        <is>
          <t>Q2-26</t>
        </is>
      </c>
    </row>
    <row r="81" ht="65.29411764705881" customHeight="1">
      <c r="A81" s="10" t="n">
        <v>80</v>
      </c>
      <c r="B81" s="11" t="inlineStr">
        <is>
          <t>JPM</t>
        </is>
      </c>
      <c r="C81" s="10" t="inlineStr">
        <is>
          <t>—</t>
        </is>
      </c>
      <c r="D81" s="12" t="inlineStr">
        <is>
          <t>JPMorgan Chase &amp; Co.</t>
        </is>
      </c>
      <c r="E81" s="12" t="inlineStr">
        <is>
          <t>金融／Banks - Diversified</t>
        </is>
      </c>
      <c r="F81" s="13" t="inlineStr">
        <is>
          <t>USD</t>
        </is>
      </c>
      <c r="G81" s="14" t="inlineStr">
        <is>
          <t>Q3-25(25年9月) / Q4-25(25年12月) / Q1-26(26年3月) / Q2-26(26年6月)</t>
        </is>
      </c>
      <c r="H81" s="15" t="n">
        <v>46430</v>
      </c>
      <c r="I81" s="15" t="n">
        <v>45796</v>
      </c>
      <c r="J81" s="15" t="n">
        <v>49833</v>
      </c>
      <c r="K81" s="15" t="n">
        <v>52852</v>
      </c>
      <c r="L81" s="16" t="inlineStr">
        <is>
          <t>50,840M
按年 +11%
(8 位分析師)</t>
        </is>
      </c>
      <c r="M81" s="17" t="inlineStr">
        <is>
          <t>淨利 +14,043
經常 +14,441｜稅前 +18,743
一次: 無重大</t>
        </is>
      </c>
      <c r="N81" s="17" t="inlineStr">
        <is>
          <t>淨利 +12,690
經常 +12,491｜稅前 +17,160
一次: +703.0 (稅影響 +169.4)</t>
        </is>
      </c>
      <c r="O81" s="17" t="inlineStr">
        <is>
          <t>淨利 +16,148
經常 +16,674｜稅前 +20,479
一次: 無重大</t>
        </is>
      </c>
      <c r="P81" s="18" t="inlineStr">
        <is>
          <t>淨利 +20,752
經常 +17,778｜稅前 +27,516
一次: +4,393.0 (稅影響 +1,015.5)</t>
        </is>
      </c>
      <c r="Q81" s="16" t="inlineStr">
        <is>
          <t>EPS +5.95
按年 +28%
(8 位分析師)</t>
        </is>
      </c>
      <c r="R81" s="16" t="inlineStr">
        <is>
          <t>最新季一次性項目 +4,393.0（收益，令帳面好看），佔帳面淨利 21%。明細性質（資產出售／減值／訴訟／稅務）需查財報原文，本表只取金額，會否重複列「待核實」。</t>
        </is>
      </c>
      <c r="S81" s="16" t="inlineStr">
        <is>
          <t>稅前利潤四季：+18,743 → +17,160 → +20,479 → +27,516；按年 +50%；剔除一次性後淨利 +17,778（帳面 +20,752，差 -2,974.5）；稅前利潤率 52.1%；（Yahoo 冇為呢類金融股公布營運利潤，改用稅前利潤做經常性基準）。</t>
        </is>
      </c>
      <c r="T81" s="16" t="inlineStr">
        <is>
          <t>稅前層面盈利，但帳面淨利含重大一次性項目，經常性口徑要另計。　收入按年 +17.8%　淨利率 39.3%　淨利按年 +42%。</t>
        </is>
      </c>
      <c r="U81" s="19" t="inlineStr">
        <is>
          <t>B</t>
        </is>
      </c>
      <c r="V81" s="10" t="inlineStr">
        <is>
          <t>Q2-26</t>
        </is>
      </c>
    </row>
    <row r="82" ht="62" customHeight="1">
      <c r="A82" s="10" t="n">
        <v>81</v>
      </c>
      <c r="B82" s="11" t="inlineStr">
        <is>
          <t>DGICA</t>
        </is>
      </c>
      <c r="C82" s="10" t="inlineStr">
        <is>
          <t>—</t>
        </is>
      </c>
      <c r="D82" s="12" t="inlineStr">
        <is>
          <t>Donegal Group Inc.</t>
        </is>
      </c>
      <c r="E82" s="12" t="inlineStr">
        <is>
          <t>金融／Insurance - Property &amp; Casualty</t>
        </is>
      </c>
      <c r="F82" s="13" t="inlineStr">
        <is>
          <t>USD</t>
        </is>
      </c>
      <c r="G82" s="14" t="inlineStr">
        <is>
          <t>Q3-25(25年9月) / Q4-25(25年12月) / Q1-26(26年3月) / Q2-26(26年6月)</t>
        </is>
      </c>
      <c r="H82" s="15" t="n">
        <v>245.9</v>
      </c>
      <c r="I82" s="15" t="n">
        <v>240.1</v>
      </c>
      <c r="J82" s="15" t="n">
        <v>236</v>
      </c>
      <c r="K82" s="15" t="n">
        <v>241.1</v>
      </c>
      <c r="L82" s="16" t="inlineStr">
        <is>
          <t>236M
(2 位分析師)</t>
        </is>
      </c>
      <c r="M82" s="17" t="inlineStr">
        <is>
          <t>淨利 +20.1
經常 ≈帳面｜稅前 +25.0
一次: 待核實</t>
        </is>
      </c>
      <c r="N82" s="17" t="inlineStr">
        <is>
          <t>淨利 +17.2
經常 ≈帳面｜稅前 +21.0
一次: 待核實</t>
        </is>
      </c>
      <c r="O82" s="17" t="inlineStr">
        <is>
          <t>淨利 +11.5
經常 ≈帳面｜稅前 +14.1
一次: 待核實</t>
        </is>
      </c>
      <c r="P82" s="18" t="inlineStr">
        <is>
          <t>淨利 +22.3
經常 ≈帳面｜稅前 +27.5
一次: 待核實</t>
        </is>
      </c>
      <c r="Q82" s="16" t="inlineStr">
        <is>
          <t>EPS +0.53
按年 +6%
(2 位分析師)</t>
        </is>
      </c>
      <c r="R8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82" s="16" t="inlineStr">
        <is>
          <t>稅前利潤四季：+25.0 → +21.0 → +14.1 → +27.5；按年 +35%；剔除一次性後與帳面一致；稅前利潤率 11.4%；（Yahoo 冇為呢類金融股公布營運利潤，改用稅前利潤做經常性基準）。</t>
        </is>
      </c>
      <c r="T82" s="16" t="inlineStr">
        <is>
          <t>稅前利潤為正、帳面≈經常、按年未倒退 —— 盈利乾淨。　收入按年 -2.4%　淨利率 9.3%　淨利按年 +32%。</t>
        </is>
      </c>
      <c r="U82" s="20" t="inlineStr">
        <is>
          <t>A</t>
        </is>
      </c>
      <c r="V82" s="10" t="inlineStr">
        <is>
          <t>Q2-26</t>
        </is>
      </c>
    </row>
    <row r="83" ht="62" customHeight="1">
      <c r="A83" s="10" t="n">
        <v>82</v>
      </c>
      <c r="B83" s="11" t="inlineStr">
        <is>
          <t>PBF</t>
        </is>
      </c>
      <c r="C83" s="10" t="inlineStr">
        <is>
          <t>—</t>
        </is>
      </c>
      <c r="D83" s="12" t="inlineStr">
        <is>
          <t>PBF Energy Inc.</t>
        </is>
      </c>
      <c r="E83" s="12" t="inlineStr">
        <is>
          <t>能源／Oil &amp; Gas Refining &amp; Marketing</t>
        </is>
      </c>
      <c r="F83" s="13" t="inlineStr">
        <is>
          <t>USD</t>
        </is>
      </c>
      <c r="G83" s="14" t="inlineStr">
        <is>
          <t>Q3-25(25年9月) / Q4-25(25年12月) / Q1-26(26年3月) / Q2-26(26年6月)</t>
        </is>
      </c>
      <c r="H83" s="15" t="n">
        <v>7651.1</v>
      </c>
      <c r="I83" s="15" t="n">
        <v>7139.5</v>
      </c>
      <c r="J83" s="15" t="n">
        <v>7904.3</v>
      </c>
      <c r="K83" s="15" t="n">
        <v>11678.3</v>
      </c>
      <c r="L83" s="16" t="inlineStr">
        <is>
          <t>8,843M
按年 +24%
(10 位分析師)</t>
        </is>
      </c>
      <c r="M83" s="17" t="inlineStr">
        <is>
          <t>淨利 +170.1
經常 -79.6｜營運 -38.4
一次: +344.0 (稅影響 +94.3)</t>
        </is>
      </c>
      <c r="N83" s="17" t="inlineStr">
        <is>
          <t>淨利 +78.4
經常 -219.4｜營運 -243.2
一次: +330.2 (稅影響 +32.4)</t>
        </is>
      </c>
      <c r="O83" s="17" t="inlineStr">
        <is>
          <t>淨利 +198.3
經常 +116.2｜營運 +185.1
一次: +106.2 (稅影響 +24.1)</t>
        </is>
      </c>
      <c r="P83" s="18" t="inlineStr">
        <is>
          <t>淨利 +906.4
經常 +722.0｜營運 +994.6
一次: +247.8 (稅影響 +63.4)</t>
        </is>
      </c>
      <c r="Q83" s="16" t="inlineStr">
        <is>
          <t>EPS +3.92
按年 +494%
(4 位分析師)</t>
        </is>
      </c>
      <c r="R83" s="16" t="inlineStr">
        <is>
          <t>最新季一次性項目 +247.8（收益，令帳面好看），佔帳面淨利 27%。明細性質（資產出售／減值／訴訟／稅務）需查財報原文，本表只取金額，會否重複列「待核實」。</t>
        </is>
      </c>
      <c r="S83" s="16" t="inlineStr">
        <is>
          <t>營運利潤四季：-38.4 → -243.2 → +185.1 → +994.6；按年 +801%；剔除一次性後淨利 +722.0（帳面 +906.4，差 -184.4）；營運利潤率 8.5%。</t>
        </is>
      </c>
      <c r="T83" s="16" t="inlineStr">
        <is>
          <t>營運層面盈利，但帳面淨利含重大一次性項目，經常性口徑要另計。　收入按年 +56.2%　淨利率 7.8%　淨利按年 +17531%。</t>
        </is>
      </c>
      <c r="U83" s="19" t="inlineStr">
        <is>
          <t>B</t>
        </is>
      </c>
      <c r="V83" s="10" t="inlineStr">
        <is>
          <t>Q2-26</t>
        </is>
      </c>
    </row>
    <row r="84" ht="62" customHeight="1">
      <c r="A84" s="10" t="n">
        <v>83</v>
      </c>
      <c r="B84" s="11" t="inlineStr">
        <is>
          <t>SHEN</t>
        </is>
      </c>
      <c r="C84" s="10" t="inlineStr">
        <is>
          <t>—</t>
        </is>
      </c>
      <c r="D84" s="12" t="inlineStr">
        <is>
          <t>Shenandoah Telecommunications Company</t>
        </is>
      </c>
      <c r="E84" s="12" t="inlineStr">
        <is>
          <t>電訊／Telecom Services</t>
        </is>
      </c>
      <c r="F84" s="13" t="inlineStr">
        <is>
          <t>USD</t>
        </is>
      </c>
      <c r="G84" s="14" t="inlineStr">
        <is>
          <t>Q3-25(25年9月) / Q4-25(25年12月) / Q1-26(26年3月) / Q2-26(26年6月)</t>
        </is>
      </c>
      <c r="H84" s="15" t="n">
        <v>89.8</v>
      </c>
      <c r="I84" s="15" t="n">
        <v>91.59999999999999</v>
      </c>
      <c r="J84" s="15" t="n">
        <v>92.2</v>
      </c>
      <c r="K84" s="15" t="n">
        <v>93.5</v>
      </c>
      <c r="L84" s="16" t="inlineStr">
        <is>
          <t>95M
按年 +4%
(2 位分析師)</t>
        </is>
      </c>
      <c r="M84" s="17" t="inlineStr">
        <is>
          <t>淨利 -10.9
經常 -9.2｜營運 -6.9
一次: 無重大</t>
        </is>
      </c>
      <c r="N84" s="17" t="inlineStr">
        <is>
          <t>淨利 -7.3
經常 -5.2｜營運 -0.7
一次: 無重大</t>
        </is>
      </c>
      <c r="O84" s="17" t="inlineStr">
        <is>
          <t>淨利 -17.3
經常 -13.8｜營運 -8.0
一次: -2.4 (稅影響 -0.5)</t>
        </is>
      </c>
      <c r="P84" s="18" t="inlineStr">
        <is>
          <t>淨利 -9.3
經常 -7.6｜營運 -0.9
一次: 無重大</t>
        </is>
      </c>
      <c r="Q84" s="16" t="inlineStr">
        <is>
          <t>EPS -0.17
按年 -72%
(2 位分析師)</t>
        </is>
      </c>
      <c r="R84" s="16" t="inlineStr">
        <is>
          <t>無重大一次性項目（Yahoo「Total Unusual Items」為零或極小）；帳面淨利≈經常性淨利。</t>
        </is>
      </c>
      <c r="S84" s="16" t="inlineStr">
        <is>
          <t>營運利潤四季：-6.9 → -0.7 → -8.0 → -0.9；按年 +90%；剔除一次性後淨利 -7.6（帳面 -9.3，差 +1.7）；營運利潤率 -0.9%。</t>
        </is>
      </c>
      <c r="T84" s="16" t="inlineStr">
        <is>
          <t>營運仍虧損，但四季軌跡收窄中。　收入按年 +5.5%　淨利率 -10.0%　淨利按年 +12%。</t>
        </is>
      </c>
      <c r="U84" s="22" t="inlineStr">
        <is>
          <t>C</t>
        </is>
      </c>
      <c r="V84" s="10" t="inlineStr">
        <is>
          <t>Q2-26</t>
        </is>
      </c>
    </row>
    <row r="85" ht="62" customHeight="1">
      <c r="A85" s="10" t="n">
        <v>84</v>
      </c>
      <c r="B85" s="11" t="inlineStr">
        <is>
          <t>ATRC</t>
        </is>
      </c>
      <c r="C85" s="10" t="inlineStr">
        <is>
          <t>—</t>
        </is>
      </c>
      <c r="D85" s="12" t="inlineStr">
        <is>
          <t>AtriCure, Inc.</t>
        </is>
      </c>
      <c r="E85" s="12" t="inlineStr">
        <is>
          <t>醫療保健／Medical Instruments &amp; Supplies</t>
        </is>
      </c>
      <c r="F85" s="13" t="inlineStr">
        <is>
          <t>USD</t>
        </is>
      </c>
      <c r="G85" s="14" t="inlineStr">
        <is>
          <t>Q3-25(25年9月) / Q4-25(25年12月) / Q1-26(26年3月) / Q2-26(26年6月)</t>
        </is>
      </c>
      <c r="H85" s="15" t="n">
        <v>134.3</v>
      </c>
      <c r="I85" s="15" t="n">
        <v>140.5</v>
      </c>
      <c r="J85" s="15" t="n">
        <v>141.2</v>
      </c>
      <c r="K85" s="15" t="n">
        <v>153.6</v>
      </c>
      <c r="L85" s="16" t="inlineStr">
        <is>
          <t>160M
按年 +14%
(10 位分析師)</t>
        </is>
      </c>
      <c r="M85" s="17" t="inlineStr">
        <is>
          <t>淨利 -0.3
經常 ≈帳面｜營運 +0.2
一次: 無重大</t>
        </is>
      </c>
      <c r="N85" s="17" t="inlineStr">
        <is>
          <t>淨利 +1.8
經常 ≈帳面｜營運 +2.5
一次: 無重大</t>
        </is>
      </c>
      <c r="O85" s="17" t="inlineStr">
        <is>
          <t>淨利 +0.1
經常 ≈帳面｜營運 +0.5
一次: 待核實</t>
        </is>
      </c>
      <c r="P85" s="18" t="inlineStr">
        <is>
          <t>淨利 +9.0
經常 ≈帳面｜營運 +9.7
一次: 待核實</t>
        </is>
      </c>
      <c r="Q85" s="16" t="inlineStr">
        <is>
          <t>EPS +0.09
按年 +46%
(9 位分析師)</t>
        </is>
      </c>
      <c r="R8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85" s="16" t="inlineStr">
        <is>
          <t>營運利潤四季：+0.2 → +2.5 → +0.5 → +9.7；按年 +256%；剔除一次性後與帳面一致；營運利潤率 6.3%。</t>
        </is>
      </c>
      <c r="T85" s="16" t="inlineStr">
        <is>
          <t>營運利潤為正、帳面≈經常、按年未倒退 —— 盈利乾淨。　收入按年 +12.8%　淨利率 5.8%　淨利按年 +245%。</t>
        </is>
      </c>
      <c r="U85" s="20" t="inlineStr">
        <is>
          <t>A</t>
        </is>
      </c>
      <c r="V85" s="10" t="inlineStr">
        <is>
          <t>Q2-26</t>
        </is>
      </c>
    </row>
    <row r="86" ht="62" customHeight="1">
      <c r="A86" s="10" t="n">
        <v>85</v>
      </c>
      <c r="B86" s="11" t="inlineStr">
        <is>
          <t>SLB</t>
        </is>
      </c>
      <c r="C86" s="10" t="inlineStr">
        <is>
          <t>—</t>
        </is>
      </c>
      <c r="D86" s="12" t="inlineStr">
        <is>
          <t>SLB N.V.</t>
        </is>
      </c>
      <c r="E86" s="12" t="inlineStr">
        <is>
          <t>能源／Oil &amp; Gas Equipment &amp; Services</t>
        </is>
      </c>
      <c r="F86" s="13" t="inlineStr">
        <is>
          <t>USD</t>
        </is>
      </c>
      <c r="G86" s="14" t="inlineStr">
        <is>
          <t>Q3-25(25年9月) / Q4-25(25年12月) / Q1-26(26年3月) / Q2-26(26年6月)</t>
        </is>
      </c>
      <c r="H86" s="15" t="n">
        <v>8928</v>
      </c>
      <c r="I86" s="15" t="n">
        <v>9745</v>
      </c>
      <c r="J86" s="15" t="n">
        <v>8721</v>
      </c>
      <c r="K86" s="15" t="n">
        <v>8972</v>
      </c>
      <c r="L86" s="16" t="inlineStr">
        <is>
          <t>10,037M
按年 +3%
(19 位分析師)</t>
        </is>
      </c>
      <c r="M86" s="17" t="inlineStr">
        <is>
          <t>淨利 +739.0
經常 +933.0｜營運 +1,316.0
一次: -252.0 (稅影響 -58.0)</t>
        </is>
      </c>
      <c r="N86" s="17" t="inlineStr">
        <is>
          <t>淨利 +824.0
經常 +1,215.9｜營運 +1,458.0
一次: -462.0 (稅影響 -70.1)</t>
        </is>
      </c>
      <c r="O86" s="17" t="inlineStr">
        <is>
          <t>淨利 +752.0
經常 +784.8｜營運 +1,070.0
一次: -41.0 (稅影響 -8.2)</t>
        </is>
      </c>
      <c r="P86" s="18" t="inlineStr">
        <is>
          <t>淨利 +786.0
經常 +841.2｜營運 +1,140.0
一次: -69.0 (稅影響 -13.8)</t>
        </is>
      </c>
      <c r="Q86" s="16" t="inlineStr">
        <is>
          <t>EPS +0.79
按年 +2%
(21 位分析師)</t>
        </is>
      </c>
      <c r="R86" s="16" t="inlineStr">
        <is>
          <t>最新季一次性項目 -69.0（支出／減值，令帳面難看），佔帳面淨利 9%。明細性質（資產出售／減值／訴訟／稅務）需查財報原文，本表只取金額，會否重複列「待核實」。</t>
        </is>
      </c>
      <c r="S86" s="16" t="inlineStr">
        <is>
          <t>營運利潤四季：+1,316.0 → +1,458.0 → +1,070.0 → +1,140.0；按年 -15%；剔除一次性後淨利 +841.2（帳面 +786.0，差 +55.2）；營運利潤率 12.7%。</t>
        </is>
      </c>
      <c r="T86" s="16" t="inlineStr">
        <is>
          <t>營運利潤為正但按年倒退，盈利仍在但動能轉弱。　收入按年 +5.0%　淨利率 8.8%　淨利按年 -22%。</t>
        </is>
      </c>
      <c r="U86" s="19" t="inlineStr">
        <is>
          <t>B</t>
        </is>
      </c>
      <c r="V86" s="10" t="inlineStr">
        <is>
          <t>Q2-26</t>
        </is>
      </c>
    </row>
    <row r="87" ht="62" customHeight="1">
      <c r="A87" s="10" t="n">
        <v>86</v>
      </c>
      <c r="B87" s="11" t="inlineStr">
        <is>
          <t>DOCU</t>
        </is>
      </c>
      <c r="C87" s="10" t="inlineStr">
        <is>
          <t>—</t>
        </is>
      </c>
      <c r="D87" s="12" t="inlineStr">
        <is>
          <t>DocuSign, Inc.</t>
        </is>
      </c>
      <c r="E87" s="12" t="inlineStr">
        <is>
          <t>科技／Software - Application</t>
        </is>
      </c>
      <c r="F87" s="13" t="inlineStr">
        <is>
          <t>USD</t>
        </is>
      </c>
      <c r="G87" s="14" t="inlineStr">
        <is>
          <t>Q3-25(25年7月) / Q4-25(25年10月) / Q1-26(26年1月) / Q2-26(26年4月)</t>
        </is>
      </c>
      <c r="H87" s="15" t="n">
        <v>800.6</v>
      </c>
      <c r="I87" s="15" t="n">
        <v>818.4</v>
      </c>
      <c r="J87" s="15" t="n">
        <v>836.9</v>
      </c>
      <c r="K87" s="15" t="n">
        <v>830.2</v>
      </c>
      <c r="L87" s="16" t="inlineStr">
        <is>
          <t>910M
按年 +9%
(17 位分析師)</t>
        </is>
      </c>
      <c r="M87" s="17" t="inlineStr">
        <is>
          <t>淨利 +63.0
經常 ≈帳面｜營運 +65.2
一次: 無重大</t>
        </is>
      </c>
      <c r="N87" s="17" t="inlineStr">
        <is>
          <t>淨利 +83.7
經常 ≈帳面｜營運 +85.4
一次: 無重大</t>
        </is>
      </c>
      <c r="O87" s="17" t="inlineStr">
        <is>
          <t>淨利 +90.3
經常 ≈帳面｜營運 +87.7
一次: 無重大</t>
        </is>
      </c>
      <c r="P87" s="18" t="inlineStr">
        <is>
          <t>淨利 +78.2
經常 ≈帳面｜營運 +111.3
一次: 待核實</t>
        </is>
      </c>
      <c r="Q87" s="16" t="inlineStr">
        <is>
          <t>EPS +1.19
按年 +18%
(17 位分析師)</t>
        </is>
      </c>
      <c r="R8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87" s="16" t="inlineStr">
        <is>
          <t>營運利潤四季：+65.2 → +85.4 → +87.7 → +111.3；按年 +85%；剔除一次性後與帳面一致；營運利潤率 13.4%。</t>
        </is>
      </c>
      <c r="T87" s="16" t="inlineStr">
        <is>
          <t>營運利潤為正、帳面≈經常、按年未倒退 —— 盈利乾淨。　收入按年 +8.7%　淨利率 9.4%　淨利按年 +8%。</t>
        </is>
      </c>
      <c r="U87" s="20" t="inlineStr">
        <is>
          <t>A</t>
        </is>
      </c>
      <c r="V87" s="10" t="inlineStr">
        <is>
          <t>Q2-26</t>
        </is>
      </c>
    </row>
    <row r="88" ht="62" customHeight="1">
      <c r="A88" s="10" t="n">
        <v>87</v>
      </c>
      <c r="B88" s="11" t="inlineStr">
        <is>
          <t>CDNA</t>
        </is>
      </c>
      <c r="C88" s="10" t="inlineStr">
        <is>
          <t>—</t>
        </is>
      </c>
      <c r="D88" s="12" t="inlineStr">
        <is>
          <t>CareDx, Inc.</t>
        </is>
      </c>
      <c r="E88" s="12" t="inlineStr">
        <is>
          <t>醫療保健／Diagnostics &amp; Research</t>
        </is>
      </c>
      <c r="F88" s="13" t="inlineStr">
        <is>
          <t>USD</t>
        </is>
      </c>
      <c r="G88" s="14" t="inlineStr">
        <is>
          <t>Q3-25(25年9月) / Q4-25(25年12月) / Q1-26(26年3月) / Q2-26(26年6月)</t>
        </is>
      </c>
      <c r="H88" s="15" t="n">
        <v>100.1</v>
      </c>
      <c r="I88" s="15" t="n">
        <v>108.4</v>
      </c>
      <c r="J88" s="15" t="n">
        <v>117.7</v>
      </c>
      <c r="K88" s="15" t="n">
        <v>131.9</v>
      </c>
      <c r="L88" s="16" t="inlineStr">
        <is>
          <t>124M
按年 +14%
(7 位分析師)</t>
        </is>
      </c>
      <c r="M88" s="17" t="inlineStr">
        <is>
          <t>淨利 +1.7
經常 ≈帳面｜營運 -0.2
一次: 無重大</t>
        </is>
      </c>
      <c r="N88" s="17" t="inlineStr">
        <is>
          <t>淨利 -4.1
經常 ≈帳面｜營運 -6.0
一次: 無重大</t>
        </is>
      </c>
      <c r="O88" s="17" t="inlineStr">
        <is>
          <t>淨利 +2.8
經常 +3.2｜營運 +1.8
一次: 無重大</t>
        </is>
      </c>
      <c r="P88" s="18" t="inlineStr">
        <is>
          <t>淨利 +110.6
經常 +1.5｜營運 +0.3
一次: +113.0 (稅影響 +3.8)</t>
        </is>
      </c>
      <c r="Q88" s="16" t="inlineStr">
        <is>
          <t>EPS +0.24
按年 +101%
(7 位分析師)</t>
        </is>
      </c>
      <c r="R88" s="16" t="inlineStr">
        <is>
          <t>最新季一次性項目 +113.0（收益，令帳面好看），佔帳面淨利 102%。明細性質（資產出售／減值／訴訟／稅務）需查財報原文，本表只取金額，會否重複列「待核實」。</t>
        </is>
      </c>
      <c r="S88" s="16" t="inlineStr">
        <is>
          <t>營運利潤四季：-0.2 → -6.0 → +1.8 → +0.3；按年 +102%；剔除一次性後淨利 +1.5（帳面 +110.6，差 -109.1）；營運利潤率 0.2%。</t>
        </is>
      </c>
      <c r="T88" s="16" t="inlineStr">
        <is>
          <t>營運層面盈利，但帳面淨利含重大一次性項目，經常性口徑要另計。　收入按年 +52.2%　淨利率 83.8%　淨利按年 +1391%。</t>
        </is>
      </c>
      <c r="U88" s="19" t="inlineStr">
        <is>
          <t>B</t>
        </is>
      </c>
      <c r="V88" s="10" t="inlineStr">
        <is>
          <t>Q2-26</t>
        </is>
      </c>
    </row>
    <row r="89" ht="62" customHeight="1">
      <c r="A89" s="10" t="n">
        <v>88</v>
      </c>
      <c r="B89" s="11" t="inlineStr">
        <is>
          <t>TARS</t>
        </is>
      </c>
      <c r="C89" s="10" t="inlineStr">
        <is>
          <t>—</t>
        </is>
      </c>
      <c r="D89" s="12" t="inlineStr">
        <is>
          <t>Tarsus Pharmaceuticals, Inc.</t>
        </is>
      </c>
      <c r="E89" s="12" t="inlineStr">
        <is>
          <t>醫療保健／Biotechnology</t>
        </is>
      </c>
      <c r="F89" s="13" t="inlineStr">
        <is>
          <t>USD</t>
        </is>
      </c>
      <c r="G89" s="14" t="inlineStr">
        <is>
          <t>Q3-25(25年9月) / Q4-25(25年12月) / Q1-26(26年3月) / Q2-26(26年6月)</t>
        </is>
      </c>
      <c r="H89" s="15" t="n">
        <v>118.7</v>
      </c>
      <c r="I89" s="15" t="n">
        <v>151.7</v>
      </c>
      <c r="J89" s="15" t="n">
        <v>162.1</v>
      </c>
      <c r="K89" s="15" t="n">
        <v>173.9</v>
      </c>
      <c r="L89" s="16" t="inlineStr">
        <is>
          <t>197M
按年 +30%
(5 位分析師)</t>
        </is>
      </c>
      <c r="M89" s="17" t="inlineStr">
        <is>
          <t>淨利 -12.6
經常 ≈帳面｜營運 -14.5
一次: 無重大</t>
        </is>
      </c>
      <c r="N89" s="17" t="inlineStr">
        <is>
          <t>淨利 -8.4
經常 ≈帳面｜營運 -8.0
一次: 無重大</t>
        </is>
      </c>
      <c r="O89" s="17" t="inlineStr">
        <is>
          <t>淨利 -7.0
經常 ≈帳面｜營運 -6.1
一次: 待核實</t>
        </is>
      </c>
      <c r="P89" s="18" t="inlineStr">
        <is>
          <t>淨利 -18.6
經常 -20.2｜營運 -19.9
一次: +2.8 (稅影響 +1.1)</t>
        </is>
      </c>
      <c r="Q89" s="16" t="inlineStr">
        <is>
          <t>EPS -0.04
按年 +78%
(5 位分析師)</t>
        </is>
      </c>
      <c r="R89" s="16" t="inlineStr">
        <is>
          <t>最新季一次性項目 +2.8（收益，令帳面好看），佔帳面淨利 15%。明細性質（資產出售／減值／訴訟／稅務）需查財報原文，本表只取金額，會否重複列「待核實」。</t>
        </is>
      </c>
      <c r="S89" s="16" t="inlineStr">
        <is>
          <t>營運利潤四季：-14.5 → -8.0 → -6.1 → -19.9；按年 +10%；剔除一次性後淨利 -20.2（帳面 -18.6，差 -1.7）；營運利潤率 -11.4%。</t>
        </is>
      </c>
      <c r="T89" s="16" t="inlineStr">
        <is>
          <t>營運虧損且未見收窄。　收入按年 +69.4%　淨利率 -10.7%　淨利按年 +9%。</t>
        </is>
      </c>
      <c r="U89" s="21" t="inlineStr">
        <is>
          <t>D</t>
        </is>
      </c>
      <c r="V89" s="10" t="inlineStr">
        <is>
          <t>Q2-26</t>
        </is>
      </c>
    </row>
    <row r="90" ht="62" customHeight="1">
      <c r="A90" s="10" t="n">
        <v>89</v>
      </c>
      <c r="B90" s="11" t="inlineStr">
        <is>
          <t>HTO</t>
        </is>
      </c>
      <c r="C90" s="10" t="inlineStr">
        <is>
          <t>—</t>
        </is>
      </c>
      <c r="D90" s="12" t="inlineStr">
        <is>
          <t>H2O America</t>
        </is>
      </c>
      <c r="E90" s="12" t="inlineStr">
        <is>
          <t>公用事業／Utilities - Regulated Water</t>
        </is>
      </c>
      <c r="F90" s="13" t="inlineStr">
        <is>
          <t>USD</t>
        </is>
      </c>
      <c r="G90" s="14" t="inlineStr">
        <is>
          <t>Q2-25(25年6月) / Q4-25(25年12月) / Q1-26(26年3月) / Q2-26(26年6月)</t>
        </is>
      </c>
      <c r="H90" s="15" t="n">
        <v>198.3</v>
      </c>
      <c r="I90" s="15" t="n">
        <v>194.2</v>
      </c>
      <c r="J90" s="15" t="n">
        <v>183.3</v>
      </c>
      <c r="K90" s="15" t="n">
        <v>210.5</v>
      </c>
      <c r="L90" s="16" t="inlineStr">
        <is>
          <t>205M
按年 +5%
(1 位分析師)</t>
        </is>
      </c>
      <c r="M90" s="17" t="inlineStr">
        <is>
          <t>淨利 +24.7
經常 ≈帳面｜營運 +43.9
一次: 待核實</t>
        </is>
      </c>
      <c r="N90" s="17" t="inlineStr">
        <is>
          <t>淨利 +16.2
經常 ≈帳面｜營運 +33.1
一次: 待核實</t>
        </is>
      </c>
      <c r="O90" s="17" t="inlineStr">
        <is>
          <t>淨利 +19.0
經常 ≈帳面｜營運 +37.4
一次: 待核實</t>
        </is>
      </c>
      <c r="P90" s="18" t="inlineStr">
        <is>
          <t>淨利 +26.6
經常 ≈帳面｜營運 +42.8
一次: 待核實</t>
        </is>
      </c>
      <c r="Q90" s="16" t="inlineStr">
        <is>
          <t>EPS +0.32
按年 -30%
(3 位分析師)</t>
        </is>
      </c>
      <c r="R9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90" s="16" t="inlineStr">
        <is>
          <t>營運利潤四季：+43.9 → +33.1 → +37.4 → +42.8；按年 +19%；剔除一次性後與帳面一致；營運利潤率 20.3%。</t>
        </is>
      </c>
      <c r="T90" s="16" t="inlineStr">
        <is>
          <t>營運利潤為正、帳面≈經常、按年未倒退 —— 盈利乾淨。　收入按年 +25.6%　淨利率 12.6%　淨利按年 +61%。</t>
        </is>
      </c>
      <c r="U90" s="20" t="inlineStr">
        <is>
          <t>A</t>
        </is>
      </c>
      <c r="V90" s="10" t="inlineStr">
        <is>
          <t>Q2-26</t>
        </is>
      </c>
    </row>
    <row r="91" ht="62" customHeight="1">
      <c r="A91" s="10" t="n">
        <v>90</v>
      </c>
      <c r="B91" s="11" t="inlineStr">
        <is>
          <t>CRSR</t>
        </is>
      </c>
      <c r="C91" s="10" t="inlineStr">
        <is>
          <t>—</t>
        </is>
      </c>
      <c r="D91" s="12" t="inlineStr">
        <is>
          <t>Corsair Gaming, Inc.</t>
        </is>
      </c>
      <c r="E91" s="12" t="inlineStr">
        <is>
          <t>科技／Computer Hardware</t>
        </is>
      </c>
      <c r="F91" s="13" t="inlineStr">
        <is>
          <t>USD</t>
        </is>
      </c>
      <c r="G91" s="14" t="inlineStr">
        <is>
          <t>Q3-25(25年9月) / Q4-25(25年12月) / Q1-26(26年3月) / Q2-26(26年6月)</t>
        </is>
      </c>
      <c r="H91" s="15" t="n">
        <v>345.8</v>
      </c>
      <c r="I91" s="15" t="n">
        <v>436.9</v>
      </c>
      <c r="J91" s="15" t="n">
        <v>354.5</v>
      </c>
      <c r="K91" s="15" t="n">
        <v>314.3</v>
      </c>
      <c r="L91" s="16" t="inlineStr">
        <is>
          <t>435M
按年 -0%
(8 位分析師)</t>
        </is>
      </c>
      <c r="M91" s="17" t="inlineStr">
        <is>
          <t>淨利 -9.5
經常 -10.6｜營運 -5.6
一次: 待核實</t>
        </is>
      </c>
      <c r="N91" s="17" t="inlineStr">
        <is>
          <t>淨利 +24.1
經常 +25.8｜營運 +26.9
一次: 待核實</t>
        </is>
      </c>
      <c r="O91" s="17" t="inlineStr">
        <is>
          <t>淨利 +11.9
經常 +12.8｜營運 +13.8
一次: 待核實</t>
        </is>
      </c>
      <c r="P91" s="18" t="inlineStr">
        <is>
          <t>淨利 +6.8
經常 +8.8｜營運 +7.6
一次: 待核實</t>
        </is>
      </c>
      <c r="Q91" s="16" t="inlineStr">
        <is>
          <t>EPS +0.29
按年 -34%
(9 位分析師)</t>
        </is>
      </c>
      <c r="R9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91" s="16" t="inlineStr">
        <is>
          <t>營運利潤四季：-5.6 → +26.9 → +13.8 → +7.6；按年 +145%；剔除一次性後淨利 +8.8（帳面 +6.8，差 +2.0）；營運利潤率 2.4%。</t>
        </is>
      </c>
      <c r="T91" s="16" t="inlineStr">
        <is>
          <t>營運利潤為正、帳面≈經常、按年未倒退 —— 盈利乾淨。　收入按年 -1.8%　淨利率 2.2%　淨利按年 +140%。</t>
        </is>
      </c>
      <c r="U91" s="20" t="inlineStr">
        <is>
          <t>A</t>
        </is>
      </c>
      <c r="V91" s="10" t="inlineStr">
        <is>
          <t>Q2-26</t>
        </is>
      </c>
    </row>
    <row r="92" ht="62" customHeight="1">
      <c r="A92" s="10" t="n">
        <v>91</v>
      </c>
      <c r="B92" s="11" t="inlineStr">
        <is>
          <t>CEG</t>
        </is>
      </c>
      <c r="C92" s="10" t="inlineStr">
        <is>
          <t>—</t>
        </is>
      </c>
      <c r="D92" s="12" t="inlineStr">
        <is>
          <t>Constellation Energy Corporation</t>
        </is>
      </c>
      <c r="E92" s="12" t="inlineStr">
        <is>
          <t>公用事業／Utilities - Independent Power Pro</t>
        </is>
      </c>
      <c r="F92" s="13" t="inlineStr">
        <is>
          <t>USD</t>
        </is>
      </c>
      <c r="G92" s="14" t="inlineStr">
        <is>
          <t>Q3-25(25年9月) / Q4-25(25年12月) / Q1-26(26年3月) / Q2-26(26年6月)</t>
        </is>
      </c>
      <c r="H92" s="15" t="n">
        <v>6570</v>
      </c>
      <c r="I92" s="15" t="n">
        <v>6074</v>
      </c>
      <c r="J92" s="15" t="n">
        <v>11122</v>
      </c>
      <c r="K92" s="15" t="n">
        <v>7504</v>
      </c>
      <c r="L92" s="16" t="inlineStr">
        <is>
          <t>8,725M
按年 +44%
(6 位分析師)</t>
        </is>
      </c>
      <c r="M92" s="17" t="inlineStr">
        <is>
          <t>淨利 +930.0
經常 +917.3｜營運 +1,459.0
一次: +19.0 (稅影響 +6.3)</t>
        </is>
      </c>
      <c r="N92" s="17" t="inlineStr">
        <is>
          <t>淨利 +432.0
經常 +462.0｜營運 +806.0
一次: -48.0 (稅影響 -18.0)</t>
        </is>
      </c>
      <c r="O92" s="17" t="inlineStr">
        <is>
          <t>淨利 +1,590.0
經常 +1,516.4｜營運 +2,266.0
一次: +98.0 (稅影響 +24.4)</t>
        </is>
      </c>
      <c r="P92" s="18" t="inlineStr">
        <is>
          <t>淨利 +513.0
經常 -223.8｜營運 -47.0
一次: +1,228.0 (稅影響 +491.2)</t>
        </is>
      </c>
      <c r="Q92" s="16" t="inlineStr">
        <is>
          <t>EPS +3.12
按年 +36%
(10 位分析師)</t>
        </is>
      </c>
      <c r="R92" s="16" t="inlineStr">
        <is>
          <t>最新季一次性項目 +1,228.0（收益，令帳面好看），佔帳面淨利 239%。明細性質（資產出售／減值／訴訟／稅務）需查財報原文，本表只取金額，會否重複列「待核實」。</t>
        </is>
      </c>
      <c r="S92" s="16" t="inlineStr">
        <is>
          <t>營運利潤四季：+1,459.0 → +806.0 → +2,266.0 → -47.0；按年 -109%；剔除一次性後淨利 -223.8（帳面 +513.0，差 -736.8）；營運利潤率 -0.6%。</t>
        </is>
      </c>
      <c r="T92" s="16" t="inlineStr">
        <is>
          <t>營運虧損且未見收窄。　收入按年 +23.0%　淨利率 6.8%　淨利按年 -39%。</t>
        </is>
      </c>
      <c r="U92" s="21" t="inlineStr">
        <is>
          <t>D</t>
        </is>
      </c>
      <c r="V92" s="10" t="inlineStr">
        <is>
          <t>Q2-26</t>
        </is>
      </c>
    </row>
    <row r="93" ht="62" customHeight="1">
      <c r="A93" s="10" t="n">
        <v>92</v>
      </c>
      <c r="B93" s="11" t="inlineStr">
        <is>
          <t>PSKY</t>
        </is>
      </c>
      <c r="C93" s="10" t="inlineStr">
        <is>
          <t>—</t>
        </is>
      </c>
      <c r="D93" s="12" t="inlineStr">
        <is>
          <t>Paramount Skydance Corporation</t>
        </is>
      </c>
      <c r="E93" s="12" t="inlineStr">
        <is>
          <t>通訊服務／Entertainment</t>
        </is>
      </c>
      <c r="F93" s="13" t="inlineStr">
        <is>
          <t>USD</t>
        </is>
      </c>
      <c r="G93" s="14" t="inlineStr">
        <is>
          <t>Q1-25(25年3月) / Q2-25(25年6月) / Q1-26(26年3月) / Q2-26(26年6月)</t>
        </is>
      </c>
      <c r="H93" s="15" t="n">
        <v>7192</v>
      </c>
      <c r="I93" s="15" t="n">
        <v>6849</v>
      </c>
      <c r="J93" s="15" t="n">
        <v>7347</v>
      </c>
      <c r="K93" s="15" t="n">
        <v>6913</v>
      </c>
      <c r="L93" s="16" t="inlineStr">
        <is>
          <t>8,644M
按年 +6%
(16 位分析師)</t>
        </is>
      </c>
      <c r="M93" s="17" t="inlineStr">
        <is>
          <t>淨利 +152.0
經常 +189.2｜營運 +600.0
一次: -53.0 (稅影響 -15.8)</t>
        </is>
      </c>
      <c r="N93" s="17" t="inlineStr">
        <is>
          <t>淨利 +57.0
經常 +303.7｜營運 +737.0
一次: -343.0 (稅影響 -96.3)</t>
        </is>
      </c>
      <c r="O93" s="17" t="inlineStr">
        <is>
          <t>淨利 +168.0
經常 +232.7｜營運 +719.0
一次: -107.0 (稅影響 -42.3)</t>
        </is>
      </c>
      <c r="P93" s="18" t="inlineStr">
        <is>
          <t>淨利 +41.0
經常 +162.2｜營運 +663.0
一次: -202.0 (稅影響 -80.8)</t>
        </is>
      </c>
      <c r="Q93" s="16" t="inlineStr">
        <is>
          <t>EPS -0.01
按年 +89%
(15 位分析師)</t>
        </is>
      </c>
      <c r="R93" s="16" t="inlineStr">
        <is>
          <t>最新季一次性項目 -202.0（支出／減值，令帳面難看），佔帳面淨利 493%。明細性質（資產出售／減值／訴訟／稅務）需查財報原文，本表只取金額，會否重複列「待核實」。</t>
        </is>
      </c>
      <c r="S93" s="16" t="inlineStr">
        <is>
          <t>營運利潤四季：+600.0 → +737.0 → +719.0 → +663.0；按年 +113%；剔除一次性後淨利 +162.2（帳面 +41.0，差 +121.2）；營運利潤率 9.6%。</t>
        </is>
      </c>
      <c r="T93" s="16" t="inlineStr">
        <is>
          <t>營運層面盈利，但帳面淨利含重大一次性項目，經常性口徑要另計。　收入按年 -13.4%　淨利率 0.6%　淨利按年 +117%。</t>
        </is>
      </c>
      <c r="U93" s="19" t="inlineStr">
        <is>
          <t>B</t>
        </is>
      </c>
      <c r="V93" s="10" t="inlineStr">
        <is>
          <t>Q2-26</t>
        </is>
      </c>
    </row>
    <row r="94" ht="62" customHeight="1">
      <c r="A94" s="10" t="n">
        <v>93</v>
      </c>
      <c r="B94" s="11" t="inlineStr">
        <is>
          <t>BG</t>
        </is>
      </c>
      <c r="C94" s="10" t="inlineStr">
        <is>
          <t>—</t>
        </is>
      </c>
      <c r="D94" s="12" t="inlineStr">
        <is>
          <t>Bunge Global SA</t>
        </is>
      </c>
      <c r="E94" s="12" t="inlineStr">
        <is>
          <t>必需消費／Farm Products</t>
        </is>
      </c>
      <c r="F94" s="13" t="inlineStr">
        <is>
          <t>USD</t>
        </is>
      </c>
      <c r="G94" s="14" t="inlineStr">
        <is>
          <t>Q3-25(25年9月) / Q4-25(25年12月) / Q1-26(26年3月) / Q2-26(26年6月)</t>
        </is>
      </c>
      <c r="H94" s="15" t="n">
        <v>22155</v>
      </c>
      <c r="I94" s="15" t="n">
        <v>23762</v>
      </c>
      <c r="J94" s="15" t="n">
        <v>21861</v>
      </c>
      <c r="K94" s="15" t="n">
        <v>24041</v>
      </c>
      <c r="L94" s="16" t="inlineStr">
        <is>
          <t>23,395M
按年 -2%
(4 位分析師)</t>
        </is>
      </c>
      <c r="M94" s="17" t="inlineStr">
        <is>
          <t>淨利 +166.0
經常 +206.5｜營運 +385.0
一次: -55.0 (稅影響 -17.5)</t>
        </is>
      </c>
      <c r="N94" s="17" t="inlineStr">
        <is>
          <t>淨利 +95.0
經常 +146.3｜營運 +374.0
一次: -65.0 (稅影響 -13.7)</t>
        </is>
      </c>
      <c r="O94" s="17" t="inlineStr">
        <is>
          <t>淨利 +68.0
經常 +124.4｜營運 +235.0
一次: -94.0 (稅影響 -37.6)</t>
        </is>
      </c>
      <c r="P94" s="18" t="inlineStr">
        <is>
          <t>淨利 +678.0
經常 +697.5｜營運 +1,075.0
一次: -26.0 (稅影響 -6.5)</t>
        </is>
      </c>
      <c r="Q94" s="16" t="inlineStr">
        <is>
          <t>EPS +3.34
按年 +68%
(7 位分析師)</t>
        </is>
      </c>
      <c r="R94" s="16" t="inlineStr">
        <is>
          <t>最新季一次性項目 -26.0（支出／減值，令帳面難看），佔帳面淨利 4%。明細性質（資產出售／減值／訴訟／稅務）需查財報原文，本表只取金額，會否重複列「待核實」。</t>
        </is>
      </c>
      <c r="S94" s="16" t="inlineStr">
        <is>
          <t>營運利潤四季：+385.0 → +374.0 → +235.0 → +1,075.0；按年 +236%；剔除一次性後淨利 +697.5（帳面 +678.0，差 +19.5）；營運利潤率 4.5%。</t>
        </is>
      </c>
      <c r="T94" s="16" t="inlineStr">
        <is>
          <t>營運利潤為正、帳面≈經常、按年未倒退 —— 盈利乾淨。　收入按年 +88.3%　淨利率 2.8%　淨利按年 +92%。</t>
        </is>
      </c>
      <c r="U94" s="20" t="inlineStr">
        <is>
          <t>A</t>
        </is>
      </c>
      <c r="V94" s="10" t="inlineStr">
        <is>
          <t>Q2-26</t>
        </is>
      </c>
    </row>
    <row r="95" ht="62" customHeight="1">
      <c r="A95" s="10" t="n">
        <v>94</v>
      </c>
      <c r="B95" s="11" t="inlineStr">
        <is>
          <t>CRGY</t>
        </is>
      </c>
      <c r="C95" s="10" t="inlineStr">
        <is>
          <t>—</t>
        </is>
      </c>
      <c r="D95" s="12" t="inlineStr">
        <is>
          <t>Crescent Energy Company</t>
        </is>
      </c>
      <c r="E95" s="12" t="inlineStr">
        <is>
          <t>能源／Oil &amp; Gas E&amp;P</t>
        </is>
      </c>
      <c r="F95" s="13" t="inlineStr">
        <is>
          <t>USD</t>
        </is>
      </c>
      <c r="G95" s="14" t="inlineStr">
        <is>
          <t>Q3-25(25年9月) / Q4-25(25年12月) / Q1-26(26年3月) / Q2-26(26年6月)</t>
        </is>
      </c>
      <c r="H95" s="15" t="n">
        <v>866.6</v>
      </c>
      <c r="I95" s="15" t="n">
        <v>865</v>
      </c>
      <c r="J95" s="15" t="n">
        <v>1182.8</v>
      </c>
      <c r="K95" s="15" t="n">
        <v>1395</v>
      </c>
      <c r="L95" s="16" t="inlineStr">
        <is>
          <t>1,181M
按年 +37%
(8 位分析師)</t>
        </is>
      </c>
      <c r="M95" s="17" t="inlineStr">
        <is>
          <t>淨利 -9.5
經常 +39.6｜營運 +125.6
一次: -68.4 (稅影響 -19.3)</t>
        </is>
      </c>
      <c r="N95" s="17" t="inlineStr">
        <is>
          <t>淨利 -8.7
經常 -61.6｜營運 +19.2
一次: +67.1 (稅影響 +14.1)</t>
        </is>
      </c>
      <c r="O95" s="17" t="inlineStr">
        <is>
          <t>淨利 -419.8
經常 +194.0｜營運 +337.8
一次: -734.3 (稅影響 -120.4)</t>
        </is>
      </c>
      <c r="P95" s="18" t="inlineStr">
        <is>
          <t>淨利 +492.8
經常 +348.7｜營運 +569.3
一次: +193.6 (稅影響 +49.6)</t>
        </is>
      </c>
      <c r="Q95" s="16" t="inlineStr">
        <is>
          <t>EPS +0.55
按年 +11%
(11 位分析師)</t>
        </is>
      </c>
      <c r="R95" s="16" t="inlineStr">
        <is>
          <t>最新季一次性項目 +193.6（收益，令帳面好看），佔帳面淨利 39%。明細性質（資產出售／減值／訴訟／稅務）需查財報原文，本表只取金額，會否重複列「待核實」。</t>
        </is>
      </c>
      <c r="S95" s="16" t="inlineStr">
        <is>
          <t>營運利潤四季：+125.6 → +19.2 → +337.8 → +569.3；按年 +590%；剔除一次性後淨利 +348.7（帳面 +492.8，差 -144.0）；營運利潤率 40.8%。</t>
        </is>
      </c>
      <c r="T95" s="16" t="inlineStr">
        <is>
          <t>營運層面盈利，但帳面淨利含重大一次性項目，經常性口徑要另計。　收入按年 +55.3%　淨利率 35.3%　淨利按年 +222%。</t>
        </is>
      </c>
      <c r="U95" s="19" t="inlineStr">
        <is>
          <t>B</t>
        </is>
      </c>
      <c r="V95" s="10" t="inlineStr">
        <is>
          <t>Q2-26</t>
        </is>
      </c>
    </row>
    <row r="96" ht="62" customHeight="1">
      <c r="A96" s="10" t="n">
        <v>95</v>
      </c>
      <c r="B96" s="11" t="inlineStr">
        <is>
          <t>FBLA</t>
        </is>
      </c>
      <c r="C96" s="10" t="inlineStr">
        <is>
          <t>—</t>
        </is>
      </c>
      <c r="D96" s="12" t="inlineStr">
        <is>
          <t>FB Bancorp, Inc.</t>
        </is>
      </c>
      <c r="E96" s="12" t="inlineStr">
        <is>
          <t>金融／Banks - Regional</t>
        </is>
      </c>
      <c r="F96" s="13" t="inlineStr">
        <is>
          <t>USD</t>
        </is>
      </c>
      <c r="G96" s="14" t="inlineStr">
        <is>
          <t>Q3-25(25年9月) / Q4-25(25年12月) / Q1-26(26年3月) / Q2-26(26年6月)</t>
        </is>
      </c>
      <c r="H96" s="15" t="n">
        <v>18.5</v>
      </c>
      <c r="I96" s="15" t="n">
        <v>-1</v>
      </c>
      <c r="J96" s="15" t="n">
        <v>13</v>
      </c>
      <c r="K96" s="15" t="n">
        <v>14.1</v>
      </c>
      <c r="L96" s="16" t="inlineStr">
        <is>
          <t>無收入</t>
        </is>
      </c>
      <c r="M96" s="17" t="inlineStr">
        <is>
          <t>淨利 +1.1
經常 ≈帳面｜稅前 +1.3
一次: 無重大</t>
        </is>
      </c>
      <c r="N96" s="17" t="inlineStr">
        <is>
          <t>淨利 -1.4
經常 +1.3｜稅前 +1.5
一次: 無重大</t>
        </is>
      </c>
      <c r="O96" s="17" t="inlineStr">
        <is>
          <t>淨利 +0.1
經常 +0.5｜稅前 +0.6
一次: 無重大</t>
        </is>
      </c>
      <c r="P96" s="18" t="inlineStr">
        <is>
          <t>淨利 -0.1
經常 +0.7｜稅前 +0.6
一次: 無重大</t>
        </is>
      </c>
      <c r="Q96" s="16" t="inlineStr">
        <is>
          <t>—</t>
        </is>
      </c>
      <c r="R96" s="16" t="inlineStr">
        <is>
          <t>無重大一次性項目（Yahoo「Total Unusual Items」為零或極小）；帳面淨利≈經常性淨利。</t>
        </is>
      </c>
      <c r="S96" s="16" t="inlineStr">
        <is>
          <t>稅前利潤四季：+1.3 → +1.5 → +0.6 → +0.6；按年 -56%；剔除一次性後與帳面一致；稅前利潤率 4.0%；（Yahoo 冇為呢類金融股公布營運利潤，改用稅前利潤做經常性基準）。</t>
        </is>
      </c>
      <c r="T96" s="16" t="inlineStr">
        <is>
          <t>稅前利潤為正但按年倒退，盈利仍在但動能轉弱。　收入按年 +8.3%　淨利率 -0.5%　淨利按年 -108%。</t>
        </is>
      </c>
      <c r="U96" s="19" t="inlineStr">
        <is>
          <t>B</t>
        </is>
      </c>
      <c r="V96" s="10" t="inlineStr">
        <is>
          <t>Q2-26</t>
        </is>
      </c>
    </row>
    <row r="97" ht="62" customHeight="1">
      <c r="A97" s="10" t="n">
        <v>96</v>
      </c>
      <c r="B97" s="11" t="inlineStr">
        <is>
          <t>RBCAA</t>
        </is>
      </c>
      <c r="C97" s="10" t="inlineStr">
        <is>
          <t>—</t>
        </is>
      </c>
      <c r="D97" s="12" t="inlineStr">
        <is>
          <t>Republic Bancorp, Inc.</t>
        </is>
      </c>
      <c r="E97" s="12" t="inlineStr">
        <is>
          <t>金融／Banks - Regional</t>
        </is>
      </c>
      <c r="F97" s="13" t="inlineStr">
        <is>
          <t>USD</t>
        </is>
      </c>
      <c r="G97" s="14" t="inlineStr">
        <is>
          <t>Q3-25(25年9月) / Q4-25(25年12月) / Q1-26(26年3月) / Q2-26(26年6月)</t>
        </is>
      </c>
      <c r="H97" s="15" t="n">
        <v>91.90000000000001</v>
      </c>
      <c r="I97" s="15" t="n">
        <v>92.7</v>
      </c>
      <c r="J97" s="15" t="n">
        <v>119</v>
      </c>
      <c r="K97" s="15" t="n">
        <v>99.90000000000001</v>
      </c>
      <c r="L97" s="16" t="inlineStr">
        <is>
          <t>99M
按年 +5%
(2 位分析師)</t>
        </is>
      </c>
      <c r="M97" s="17" t="inlineStr">
        <is>
          <t>淨利 +29.7
經常 ≈帳面｜稅前 +37.8
一次: 無重大</t>
        </is>
      </c>
      <c r="N97" s="17" t="inlineStr">
        <is>
          <t>淨利 +22.8
經常 ≈帳面｜稅前 +27.6
一次: 無重大</t>
        </is>
      </c>
      <c r="O97" s="17" t="inlineStr">
        <is>
          <t>淨利 +42.6
經常 ≈帳面｜稅前 +55.4
一次: 無重大</t>
        </is>
      </c>
      <c r="P97" s="18" t="inlineStr">
        <is>
          <t>淨利 +32.9
經常 ≈帳面｜稅前 +42.5
一次: 無重大</t>
        </is>
      </c>
      <c r="Q97" s="16" t="inlineStr">
        <is>
          <t>EPS +1.47
按年 +26%
(2 位分析師)</t>
        </is>
      </c>
      <c r="R97" s="16" t="inlineStr">
        <is>
          <t>無重大一次性項目（Yahoo「Total Unusual Items」為零或極小）；帳面淨利≈經常性淨利。</t>
        </is>
      </c>
      <c r="S97" s="16" t="inlineStr">
        <is>
          <t>稅前利潤四季：+37.8 → +27.6 → +55.4 → +42.5；按年 +5%；剔除一次性後與帳面一致；稅前利潤率 42.6%；（Yahoo 冇為呢類金融股公布營運利潤，改用稅前利潤做經常性基準）。</t>
        </is>
      </c>
      <c r="T97" s="16" t="inlineStr">
        <is>
          <t>稅前利潤為正、帳面≈經常、按年未倒退 —— 盈利乾淨。　收入按年 +8.1%　淨利率 32.9%　淨利按年 +4%。</t>
        </is>
      </c>
      <c r="U97" s="20" t="inlineStr">
        <is>
          <t>A</t>
        </is>
      </c>
      <c r="V97" s="10" t="inlineStr">
        <is>
          <t>Q2-26</t>
        </is>
      </c>
    </row>
    <row r="98" ht="62" customHeight="1">
      <c r="A98" s="10" t="n">
        <v>97</v>
      </c>
      <c r="B98" s="11" t="inlineStr">
        <is>
          <t>DFIN</t>
        </is>
      </c>
      <c r="C98" s="10" t="inlineStr">
        <is>
          <t>—</t>
        </is>
      </c>
      <c r="D98" s="12" t="inlineStr">
        <is>
          <t>Donnelley Financial Solutions, Inc.</t>
        </is>
      </c>
      <c r="E98" s="12" t="inlineStr">
        <is>
          <t>非必需消費／Software - Application</t>
        </is>
      </c>
      <c r="F98" s="13" t="inlineStr">
        <is>
          <t>USD</t>
        </is>
      </c>
      <c r="G98" s="14" t="inlineStr">
        <is>
          <t>Q3-25(25年9月) / Q4-25(25年12月) / Q1-26(26年3月) / Q2-26(26年6月)</t>
        </is>
      </c>
      <c r="H98" s="15" t="n">
        <v>175.3</v>
      </c>
      <c r="I98" s="15" t="n">
        <v>172.5</v>
      </c>
      <c r="J98" s="15" t="n">
        <v>205.5</v>
      </c>
      <c r="K98" s="15" t="n">
        <v>224.2</v>
      </c>
      <c r="L98" s="16" t="inlineStr">
        <is>
          <t>171M
按年 -1%
(3 位分析師)</t>
        </is>
      </c>
      <c r="M98" s="17" t="inlineStr">
        <is>
          <t>淨利 -40.9
經常 -40.0｜營運 +29.1
一次: -1.3 (稅影響 -0.4)</t>
        </is>
      </c>
      <c r="N98" s="17" t="inlineStr">
        <is>
          <t>淨利 +6.2
經常 +10.3｜營運 +19.9
一次: -6.7 (稅影響 -2.6)</t>
        </is>
      </c>
      <c r="O98" s="17" t="inlineStr">
        <is>
          <t>淨利 +33.5
經常 +34.5｜營運 +49.2
一次: -1.4 (稅影響 -0.4)</t>
        </is>
      </c>
      <c r="P98" s="18" t="inlineStr">
        <is>
          <t>淨利 +36.4
經常 +38.3｜營運 +58.3
一次: -2.7 (稅影響 -0.8)</t>
        </is>
      </c>
      <c r="Q98" s="16" t="inlineStr">
        <is>
          <t>EPS +0.74
按年 +6%
(3 位分析師)</t>
        </is>
      </c>
      <c r="R98" s="16" t="inlineStr">
        <is>
          <t>最新季一次性項目 -2.7（支出／減值，令帳面難看），佔帳面淨利 7%。明細性質（資產出售／減值／訴訟／稅務）需查財報原文，本表只取金額，會否重複列「待核實」。</t>
        </is>
      </c>
      <c r="S98" s="16" t="inlineStr">
        <is>
          <t>營運利潤四季：+29.1 → +19.9 → +49.2 → +58.3；按年 +8%；剔除一次性後淨利 +38.3（帳面 +36.4，差 +1.9）；營運利潤率 26.0%。</t>
        </is>
      </c>
      <c r="T98" s="16" t="inlineStr">
        <is>
          <t>營運利潤為正、帳面≈經常、按年未倒退 —— 盈利乾淨。　收入按年 +2.8%　淨利率 16.2%　淨利按年 +1%。</t>
        </is>
      </c>
      <c r="U98" s="20" t="inlineStr">
        <is>
          <t>A</t>
        </is>
      </c>
      <c r="V98" s="10" t="inlineStr">
        <is>
          <t>Q2-26</t>
        </is>
      </c>
    </row>
    <row r="99" ht="62" customHeight="1">
      <c r="A99" s="10" t="n">
        <v>98</v>
      </c>
      <c r="B99" s="11" t="inlineStr">
        <is>
          <t>PD</t>
        </is>
      </c>
      <c r="C99" s="10" t="inlineStr">
        <is>
          <t>—</t>
        </is>
      </c>
      <c r="D99" s="12" t="inlineStr">
        <is>
          <t>PagerDuty, Inc.</t>
        </is>
      </c>
      <c r="E99" s="12" t="inlineStr">
        <is>
          <t>科技／Software - Application</t>
        </is>
      </c>
      <c r="F99" s="13" t="inlineStr">
        <is>
          <t>USD</t>
        </is>
      </c>
      <c r="G99" s="14" t="inlineStr">
        <is>
          <t>Q4-25(25年10月) / Q1-26(26年1月) / Q2-26(26年4月) / Q3-26(26年7月)</t>
        </is>
      </c>
      <c r="H99" s="15" t="n">
        <v>124.5</v>
      </c>
      <c r="I99" s="15" t="n">
        <v>124.8</v>
      </c>
      <c r="J99" s="15" t="n">
        <v>121</v>
      </c>
      <c r="K99" s="15" t="n">
        <v>124.4</v>
      </c>
      <c r="L99" s="16" t="inlineStr">
        <is>
          <t>125M
按年 -0%
(7 位分析師)</t>
        </is>
      </c>
      <c r="M99" s="17" t="inlineStr">
        <is>
          <t>淨利 +159.6
經常 +161.6｜營運 +8.1
一次: 待核實</t>
        </is>
      </c>
      <c r="N99" s="17" t="inlineStr">
        <is>
          <t>淨利 +11.0
經常 +9.4｜營運 +4.5
一次: 待核實</t>
        </is>
      </c>
      <c r="O99" s="17" t="inlineStr">
        <is>
          <t>淨利 +10.2
經常 +5.3｜營運 +9.2
一次: 待核實</t>
        </is>
      </c>
      <c r="P99" s="18" t="inlineStr">
        <is>
          <t>淨利 +4.7
經常 +7.8｜營運 +10.2
一次: 待核實</t>
        </is>
      </c>
      <c r="Q99" s="16" t="inlineStr">
        <is>
          <t>EPS +0.35
按年 +20%
(8 位分析師)</t>
        </is>
      </c>
      <c r="R99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99" s="16" t="inlineStr">
        <is>
          <t>營運利潤四季：+8.1 → +4.5 → +9.2 → +10.2；按年 +187%；剔除一次性後淨利 +7.8（帳面 +4.7，差 +3.1）；營運利潤率 8.2%。</t>
        </is>
      </c>
      <c r="T99" s="16" t="inlineStr">
        <is>
          <t>營運利潤為正、帳面≈經常、按年未倒退 —— 盈利乾淨。　收入按年 +0.8%　淨利率 3.8%　淨利按年 -52%。</t>
        </is>
      </c>
      <c r="U99" s="20" t="inlineStr">
        <is>
          <t>A</t>
        </is>
      </c>
      <c r="V99" s="10" t="inlineStr">
        <is>
          <t>Q3-26</t>
        </is>
      </c>
    </row>
    <row r="100" ht="62" customHeight="1">
      <c r="A100" s="10" t="n">
        <v>99</v>
      </c>
      <c r="B100" s="11" t="inlineStr">
        <is>
          <t>PMTS</t>
        </is>
      </c>
      <c r="C100" s="10" t="inlineStr">
        <is>
          <t>—</t>
        </is>
      </c>
      <c r="D100" s="12" t="inlineStr">
        <is>
          <t>CPI Card Group Inc.</t>
        </is>
      </c>
      <c r="E100" s="12" t="inlineStr">
        <is>
          <t>非必需消費／Credit Services</t>
        </is>
      </c>
      <c r="F100" s="13" t="inlineStr">
        <is>
          <t>USD</t>
        </is>
      </c>
      <c r="G100" s="14" t="inlineStr">
        <is>
          <t>Q3-25(25年9月) / Q4-25(25年12月) / Q1-26(26年3月) / Q2-26(26年6月)</t>
        </is>
      </c>
      <c r="H100" s="15" t="n">
        <v>138</v>
      </c>
      <c r="I100" s="15" t="n">
        <v>153.1</v>
      </c>
      <c r="J100" s="15" t="n">
        <v>147.1</v>
      </c>
      <c r="K100" s="15" t="n">
        <v>149.2</v>
      </c>
      <c r="L100" s="16" t="inlineStr">
        <is>
          <t>158M
按年 +4%
(4 位分析師)</t>
        </is>
      </c>
      <c r="M100" s="17" t="inlineStr">
        <is>
          <t>淨利 +2.3
經常 +2.5｜營運 +13.0
一次: 無重大</t>
        </is>
      </c>
      <c r="N100" s="17" t="inlineStr">
        <is>
          <t>淨利 +7.3
經常 ≈帳面｜營運 +18.3
一次: 無重大</t>
        </is>
      </c>
      <c r="O100" s="17" t="inlineStr">
        <is>
          <t>淨利 +2.1
經常 ≈帳面｜營運 +11.0
一次: 待核實</t>
        </is>
      </c>
      <c r="P100" s="18" t="inlineStr">
        <is>
          <t>淨利 +2.0
經常 ≈帳面｜營運 +11.9
一次: 待核實</t>
        </is>
      </c>
      <c r="Q100" s="16" t="inlineStr">
        <is>
          <t>EPS +0.98
按年 -34%
(2 位分析師)</t>
        </is>
      </c>
      <c r="R10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0" s="16" t="inlineStr">
        <is>
          <t>營運利潤四季：+13.0 → +18.3 → +11.0 → +11.9；按年 +26%；剔除一次性後與帳面一致；營運利潤率 8.0%。</t>
        </is>
      </c>
      <c r="T100" s="16" t="inlineStr">
        <is>
          <t>營運利潤為正、帳面≈經常、按年未倒退 —— 盈利乾淨。　收入按年 +15.0%　淨利率 1.4%　淨利按年 +294%。</t>
        </is>
      </c>
      <c r="U100" s="20" t="inlineStr">
        <is>
          <t>A</t>
        </is>
      </c>
      <c r="V100" s="10" t="inlineStr">
        <is>
          <t>Q2-26</t>
        </is>
      </c>
    </row>
    <row r="101" ht="62" customHeight="1">
      <c r="A101" s="10" t="n">
        <v>100</v>
      </c>
      <c r="B101" s="11" t="inlineStr">
        <is>
          <t>NOW</t>
        </is>
      </c>
      <c r="C101" s="10" t="inlineStr">
        <is>
          <t>—</t>
        </is>
      </c>
      <c r="D101" s="12" t="inlineStr">
        <is>
          <t>ServiceNow, Inc.</t>
        </is>
      </c>
      <c r="E101" s="12" t="inlineStr">
        <is>
          <t>科技／Software - Application</t>
        </is>
      </c>
      <c r="F101" s="13" t="inlineStr">
        <is>
          <t>USD</t>
        </is>
      </c>
      <c r="G101" s="14" t="inlineStr">
        <is>
          <t>Q3-25(25年9月) / Q4-25(25年12月) / Q1-26(26年3月) / Q2-26(26年6月)</t>
        </is>
      </c>
      <c r="H101" s="15" t="n">
        <v>3407</v>
      </c>
      <c r="I101" s="15" t="n">
        <v>3568</v>
      </c>
      <c r="J101" s="15" t="n">
        <v>3770</v>
      </c>
      <c r="K101" s="15" t="n">
        <v>3987</v>
      </c>
      <c r="L101" s="16" t="inlineStr">
        <is>
          <t>4,361M
按年 +22%
(34 位分析師)</t>
        </is>
      </c>
      <c r="M101" s="17" t="inlineStr">
        <is>
          <t>淨利 +502.0
經常 ≈帳面｜營運 +572.0
一次: 待核實</t>
        </is>
      </c>
      <c r="N101" s="17" t="inlineStr">
        <is>
          <t>淨利 +401.0
經常 ≈帳面｜營運 +443.0
一次: 待核實</t>
        </is>
      </c>
      <c r="O101" s="17" t="inlineStr">
        <is>
          <t>淨利 +469.0
經常 ≈帳面｜營運 +503.0
一次: 待核實</t>
        </is>
      </c>
      <c r="P101" s="18" t="inlineStr">
        <is>
          <t>淨利 +298.0
經常 ≈帳面｜營運 +162.0
一次: 待核實</t>
        </is>
      </c>
      <c r="Q101" s="16" t="inlineStr">
        <is>
          <t>EPS +1.17
按年 +27%
(38 位分析師)</t>
        </is>
      </c>
      <c r="R10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1" s="16" t="inlineStr">
        <is>
          <t>營運利潤四季：+572.0 → +443.0 → +503.0 → +162.0；按年 -55%；剔除一次性後與帳面一致；營運利潤率 4.1%。</t>
        </is>
      </c>
      <c r="T101" s="16" t="inlineStr">
        <is>
          <t>營運利潤為正但按年倒退，盈利仍在但動能轉弱。　收入按年 +24.0%　淨利率 7.5%　淨利按年 -23%。</t>
        </is>
      </c>
      <c r="U101" s="19" t="inlineStr">
        <is>
          <t>B</t>
        </is>
      </c>
      <c r="V101" s="10" t="inlineStr">
        <is>
          <t>Q2-26</t>
        </is>
      </c>
    </row>
    <row r="102" ht="62" customHeight="1">
      <c r="A102" s="10" t="n">
        <v>101</v>
      </c>
      <c r="B102" s="11" t="inlineStr">
        <is>
          <t>IDYA</t>
        </is>
      </c>
      <c r="C102" s="10" t="inlineStr">
        <is>
          <t>—</t>
        </is>
      </c>
      <c r="D102" s="12" t="inlineStr">
        <is>
          <t>IDEAYA Biosciences, Inc.</t>
        </is>
      </c>
      <c r="E102" s="12" t="inlineStr">
        <is>
          <t>醫療保健／Biotechnology</t>
        </is>
      </c>
      <c r="F102" s="13" t="inlineStr">
        <is>
          <t>USD</t>
        </is>
      </c>
      <c r="G102" s="14" t="inlineStr">
        <is>
          <t>Q3-25(25年9月) / Q4-25(25年12月) / Q1-26(26年3月) / Q2-26(26年6月)</t>
        </is>
      </c>
      <c r="H102" s="15" t="n">
        <v>207.8</v>
      </c>
      <c r="I102" s="15" t="n">
        <v>10.9</v>
      </c>
      <c r="J102" s="15" t="n">
        <v>6.6</v>
      </c>
      <c r="K102" s="15" t="n">
        <v>8.9</v>
      </c>
      <c r="L102" s="16" t="inlineStr">
        <is>
          <t>19M
按年 +78%
(14 位分析師)
⚠口徑與財報不同</t>
        </is>
      </c>
      <c r="M102" s="17" t="inlineStr">
        <is>
          <t>淨利 +119.2
經常 ≈帳面｜營運 +108.5
一次: 待核實</t>
        </is>
      </c>
      <c r="N102" s="17" t="inlineStr">
        <is>
          <t>淨利 -83.3
經常 ≈帳面｜營運 -94.6
一次: 待核實</t>
        </is>
      </c>
      <c r="O102" s="17" t="inlineStr">
        <is>
          <t>淨利 -98.5
經常 ≈帳面｜營運 -108.5
一次: 待核實</t>
        </is>
      </c>
      <c r="P102" s="18" t="inlineStr">
        <is>
          <t>淨利 -112.5
經常 ≈帳面｜營運 -122.3
一次: 待核實</t>
        </is>
      </c>
      <c r="Q102" s="16" t="inlineStr">
        <is>
          <t>EPS -1.13
按年 -21%
(13 位分析師)</t>
        </is>
      </c>
      <c r="R10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2" s="16" t="inlineStr">
        <is>
          <t>營運利潤四季：+108.5 → -94.6 → -108.5 → -122.3；按年 -38%；剔除一次性後與帳面一致；營運利潤率 -1380.7%。</t>
        </is>
      </c>
      <c r="T102" s="16" t="inlineStr">
        <is>
          <t>營運虧損且未見收窄。　淨利率 -1269.6%　淨利按年 -45%。</t>
        </is>
      </c>
      <c r="U102" s="21" t="inlineStr">
        <is>
          <t>D</t>
        </is>
      </c>
      <c r="V102" s="10" t="inlineStr">
        <is>
          <t>Q2-26</t>
        </is>
      </c>
    </row>
    <row r="103" ht="62" customHeight="1">
      <c r="A103" s="10" t="n">
        <v>102</v>
      </c>
      <c r="B103" s="11" t="inlineStr">
        <is>
          <t>IOVA</t>
        </is>
      </c>
      <c r="C103" s="10" t="inlineStr">
        <is>
          <t>—</t>
        </is>
      </c>
      <c r="D103" s="12" t="inlineStr">
        <is>
          <t>Iovance Biotherapeutics, Inc.</t>
        </is>
      </c>
      <c r="E103" s="12" t="inlineStr">
        <is>
          <t>醫療保健／Biotechnology</t>
        </is>
      </c>
      <c r="F103" s="13" t="inlineStr">
        <is>
          <t>USD</t>
        </is>
      </c>
      <c r="G103" s="14" t="inlineStr">
        <is>
          <t>Q3-25(25年9月) / Q4-25(25年12月) / Q1-26(26年3月) / Q2-26(26年6月)</t>
        </is>
      </c>
      <c r="H103" s="15" t="n">
        <v>67.5</v>
      </c>
      <c r="I103" s="15" t="n">
        <v>86.8</v>
      </c>
      <c r="J103" s="15" t="n">
        <v>71.40000000000001</v>
      </c>
      <c r="K103" s="15" t="n">
        <v>99.3</v>
      </c>
      <c r="L103" s="16" t="inlineStr">
        <is>
          <t>121M
按年 +39%
(8 位分析師)</t>
        </is>
      </c>
      <c r="M103" s="17" t="inlineStr">
        <is>
          <t>淨利 -91.3
經常 -86.2｜營運 -89.8
一次: -5.1 (稅影響 -0.1)</t>
        </is>
      </c>
      <c r="N103" s="17" t="inlineStr">
        <is>
          <t>淨利 -71.9
經常 ≈帳面｜營運 -73.5
一次: 無重大</t>
        </is>
      </c>
      <c r="O103" s="17" t="inlineStr">
        <is>
          <t>淨利 -79.0
經常 ≈帳面｜營運 -81.0
一次: 待核實</t>
        </is>
      </c>
      <c r="P103" s="18" t="inlineStr">
        <is>
          <t>淨利 -47.3
經常 ≈帳面｜營運 -51.9
一次: 待核實</t>
        </is>
      </c>
      <c r="Q103" s="16" t="inlineStr">
        <is>
          <t>EPS -0.11
按年 +41%
(7 位分析師)</t>
        </is>
      </c>
      <c r="R10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3" s="16" t="inlineStr">
        <is>
          <t>營運利潤四季：-89.8 → -73.5 → -81.0 → -51.9；按年 +54%；剔除一次性後與帳面一致；營運利潤率 -52.3%。</t>
        </is>
      </c>
      <c r="T103" s="16" t="inlineStr">
        <is>
          <t>營運仍虧損，但四季軌跡收窄中。　收入按年 +65.7%　淨利率 -47.6%　淨利按年 +58%。</t>
        </is>
      </c>
      <c r="U103" s="22" t="inlineStr">
        <is>
          <t>C</t>
        </is>
      </c>
      <c r="V103" s="10" t="inlineStr">
        <is>
          <t>Q2-26</t>
        </is>
      </c>
    </row>
    <row r="104" ht="62" customHeight="1">
      <c r="A104" s="10" t="n">
        <v>103</v>
      </c>
      <c r="B104" s="11" t="inlineStr">
        <is>
          <t>ASMB</t>
        </is>
      </c>
      <c r="C104" s="10" t="inlineStr">
        <is>
          <t>—</t>
        </is>
      </c>
      <c r="D104" s="12" t="inlineStr">
        <is>
          <t>Assembly Biosciences, Inc.</t>
        </is>
      </c>
      <c r="E104" s="12" t="inlineStr">
        <is>
          <t>醫療保健／Biotechnology</t>
        </is>
      </c>
      <c r="F104" s="13" t="inlineStr">
        <is>
          <t>USD</t>
        </is>
      </c>
      <c r="G104" s="14" t="inlineStr">
        <is>
          <t>Q3-25(25年9月) / Q4-25(25年12月) / Q1-26(26年3月) / Q2-26(26年6月)</t>
        </is>
      </c>
      <c r="H104" s="15" t="n">
        <v>10.8</v>
      </c>
      <c r="I104" s="15" t="n">
        <v>42.5</v>
      </c>
      <c r="J104" s="15" t="n">
        <v>8.199999999999999</v>
      </c>
      <c r="K104" s="15" t="n">
        <v>13.4</v>
      </c>
      <c r="L104" s="16" t="inlineStr">
        <is>
          <t>35M
按年 -19%
(5 位分析師)
⚠口徑與財報不同</t>
        </is>
      </c>
      <c r="M104" s="17" t="inlineStr">
        <is>
          <t>淨利 -9.2
經常 ≈帳面｜營運 -10.9
一次: 待核實</t>
        </is>
      </c>
      <c r="N104" s="17" t="inlineStr">
        <is>
          <t>淨利 +22.1
經常 ≈帳面｜營運 +19.8
一次: 待核實</t>
        </is>
      </c>
      <c r="O104" s="17" t="inlineStr">
        <is>
          <t>淨利 -9.1
經常 ≈帳面｜營運 -11.4
一次: 待核實</t>
        </is>
      </c>
      <c r="P104" s="18" t="inlineStr">
        <is>
          <t>淨利 -3.9
經常 ≈帳面｜營運 -6.3
一次: 待核實</t>
        </is>
      </c>
      <c r="Q104" s="16" t="inlineStr">
        <is>
          <t>EPS +0.85
按年 -66%
(4 位分析師)
⚠non-GAAP
(帳面仍虧損)</t>
        </is>
      </c>
      <c r="R104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4" s="16" t="inlineStr">
        <is>
          <t>營運利潤四季：-10.9 → +19.8 → -11.4 → -6.3；按年 +43%；剔除一次性後與帳面一致；營運利潤率 -47.4%。</t>
        </is>
      </c>
      <c r="T104" s="16" t="inlineStr">
        <is>
          <t>營運仍虧損，但四季軌跡收窄中。　收入按年 +38.9%　淨利率 -28.8%　淨利按年 +62%。</t>
        </is>
      </c>
      <c r="U104" s="22" t="inlineStr">
        <is>
          <t>C</t>
        </is>
      </c>
      <c r="V104" s="10" t="inlineStr">
        <is>
          <t>Q2-26</t>
        </is>
      </c>
    </row>
    <row r="105" ht="62" customHeight="1">
      <c r="A105" s="10" t="n">
        <v>104</v>
      </c>
      <c r="B105" s="11" t="inlineStr">
        <is>
          <t>CHRD</t>
        </is>
      </c>
      <c r="C105" s="10" t="inlineStr">
        <is>
          <t>—</t>
        </is>
      </c>
      <c r="D105" s="12" t="inlineStr">
        <is>
          <t>Chord Energy Corporation</t>
        </is>
      </c>
      <c r="E105" s="12" t="inlineStr">
        <is>
          <t>能源／Oil &amp; Gas E&amp;P</t>
        </is>
      </c>
      <c r="F105" s="13" t="inlineStr">
        <is>
          <t>USD</t>
        </is>
      </c>
      <c r="G105" s="14" t="inlineStr">
        <is>
          <t>Q3-25(25年9月) / Q4-25(25年12月) / Q1-26(26年3月) / Q2-26(26年6月)</t>
        </is>
      </c>
      <c r="H105" s="15" t="n">
        <v>1312.1</v>
      </c>
      <c r="I105" s="15" t="n">
        <v>1169.4</v>
      </c>
      <c r="J105" s="15" t="n">
        <v>1665.6</v>
      </c>
      <c r="K105" s="15" t="n">
        <v>2172.7</v>
      </c>
      <c r="L105" s="16" t="inlineStr">
        <is>
          <t>1,406M
按年 +20%
(5 位分析師)</t>
        </is>
      </c>
      <c r="M105" s="17" t="inlineStr">
        <is>
          <t>淨利 +129.4
經常 +114.6｜營運 +171.2
一次: +20.4 (稅影響 +4.8)</t>
        </is>
      </c>
      <c r="N105" s="17" t="inlineStr">
        <is>
          <t>淨利 +84.0
經常 +48.7｜營運 +87.8
一次: +49.0 (稅影響 +13.3)</t>
        </is>
      </c>
      <c r="O105" s="17" t="inlineStr">
        <is>
          <t>淨利 +107.8
經常 +253.3｜營運 +332.9
一次: -241.1 (稅影響 -96.5)</t>
        </is>
      </c>
      <c r="P105" s="18" t="inlineStr">
        <is>
          <t>淨利 +520.9
經常 +444.8｜營運 +605.4
一次: +105.2 (稅影響 +24.8)</t>
        </is>
      </c>
      <c r="Q105" s="16" t="inlineStr">
        <is>
          <t>EPS +3.81
按年 +198%
(12 位分析師)</t>
        </is>
      </c>
      <c r="R105" s="16" t="inlineStr">
        <is>
          <t>最新季一次性項目 +105.2（收益，令帳面好看），佔帳面淨利 20%。明細性質（資產出售／減值／訴訟／稅務）需查財報原文，本表只取金額，會否重複列「待核實」。</t>
        </is>
      </c>
      <c r="S105" s="16" t="inlineStr">
        <is>
          <t>營運利潤四季：+171.2 → +87.8 → +332.9 → +605.4；按年 +335%；剔除一次性後淨利 +444.8（帳面 +520.9，差 -76.1）；營運利潤率 27.9%。</t>
        </is>
      </c>
      <c r="T105" s="16" t="inlineStr">
        <is>
          <t>營運層面盈利，但帳面淨利含重大一次性項目，經常性口徑要另計。　收入按年 +84.0%　淨利率 24.0%　淨利按年 +234%。</t>
        </is>
      </c>
      <c r="U105" s="19" t="inlineStr">
        <is>
          <t>B</t>
        </is>
      </c>
      <c r="V105" s="10" t="inlineStr">
        <is>
          <t>Q2-26</t>
        </is>
      </c>
    </row>
    <row r="106" ht="62" customHeight="1">
      <c r="A106" s="10" t="n">
        <v>105</v>
      </c>
      <c r="B106" s="11" t="inlineStr">
        <is>
          <t>YORW</t>
        </is>
      </c>
      <c r="C106" s="10" t="inlineStr">
        <is>
          <t>—</t>
        </is>
      </c>
      <c r="D106" s="12" t="inlineStr">
        <is>
          <t>The York Water Company</t>
        </is>
      </c>
      <c r="E106" s="12" t="inlineStr">
        <is>
          <t>公用事業／Utilities - Regulated Water</t>
        </is>
      </c>
      <c r="F106" s="13" t="inlineStr">
        <is>
          <t>USD</t>
        </is>
      </c>
      <c r="G106" s="14" t="inlineStr">
        <is>
          <t>Q3-25(25年9月) / Q4-25(25年12月) / Q1-26(26年3月) / Q2-26(26年6月)</t>
        </is>
      </c>
      <c r="H106" s="15" t="n">
        <v>20.4</v>
      </c>
      <c r="I106" s="15" t="n">
        <v>19.5</v>
      </c>
      <c r="J106" s="15" t="n">
        <v>20.1</v>
      </c>
      <c r="K106" s="15" t="n">
        <v>23.5</v>
      </c>
      <c r="L106" s="16" t="inlineStr">
        <is>
          <t>21M
(1 位分析師)</t>
        </is>
      </c>
      <c r="M106" s="17" t="inlineStr">
        <is>
          <t>淨利 +6.2
經常 +6.0｜營運 +7.9
一次: 無重大</t>
        </is>
      </c>
      <c r="N106" s="17" t="inlineStr">
        <is>
          <t>淨利 +5.2
經常 +4.3｜營運 +6.4
一次: +1.1 (稅影響 +0.2)</t>
        </is>
      </c>
      <c r="O106" s="17" t="inlineStr">
        <is>
          <t>淨利 +4.8
經常 +4.7｜營運 +6.4
一次: 無重大</t>
        </is>
      </c>
      <c r="P106" s="18" t="inlineStr">
        <is>
          <t>淨利 +7.6
經常 +7.3｜營運 +9.8
一次: 無重大</t>
        </is>
      </c>
      <c r="Q106" s="16" t="inlineStr">
        <is>
          <t>EPS +0.36
(1 位分析師)</t>
        </is>
      </c>
      <c r="R106" s="16" t="inlineStr">
        <is>
          <t>無重大一次性項目（Yahoo「Total Unusual Items」為零或極小）；帳面淨利≈經常性淨利。</t>
        </is>
      </c>
      <c r="S106" s="16" t="inlineStr">
        <is>
          <t>營運利潤四季：+7.9 → +6.4 → +6.4 → +9.8；按年 +38%；剔除一次性後與帳面一致；營運利潤率 41.7%。</t>
        </is>
      </c>
      <c r="T106" s="16" t="inlineStr">
        <is>
          <t>營運利潤為正、帳面≈經常、按年未倒退 —— 盈利乾淨。　收入按年 +22.5%　淨利率 32.4%　淨利按年 +51%。</t>
        </is>
      </c>
      <c r="U106" s="20" t="inlineStr">
        <is>
          <t>A</t>
        </is>
      </c>
      <c r="V106" s="10" t="inlineStr">
        <is>
          <t>Q2-26</t>
        </is>
      </c>
    </row>
    <row r="107" ht="62" customHeight="1">
      <c r="A107" s="10" t="n">
        <v>106</v>
      </c>
      <c r="B107" s="11" t="inlineStr">
        <is>
          <t>NSIT</t>
        </is>
      </c>
      <c r="C107" s="10" t="inlineStr">
        <is>
          <t>—</t>
        </is>
      </c>
      <c r="D107" s="12" t="inlineStr">
        <is>
          <t>Insight Enterprises, Inc.</t>
        </is>
      </c>
      <c r="E107" s="12" t="inlineStr">
        <is>
          <t>非必需消費／Electronics &amp; Computer Distribut</t>
        </is>
      </c>
      <c r="F107" s="13" t="inlineStr">
        <is>
          <t>USD</t>
        </is>
      </c>
      <c r="G107" s="14" t="inlineStr">
        <is>
          <t>Q3-25(25年9月) / Q4-25(25年12月) / Q1-26(26年3月) / Q2-26(26年6月)</t>
        </is>
      </c>
      <c r="H107" s="15" t="n">
        <v>2003.8</v>
      </c>
      <c r="I107" s="15" t="n">
        <v>2048.3</v>
      </c>
      <c r="J107" s="15" t="n">
        <v>2128</v>
      </c>
      <c r="K107" s="15" t="n">
        <v>2399.5</v>
      </c>
      <c r="L107" s="16" t="inlineStr">
        <is>
          <t>2,159M
按年 +5%
(4 位分析師)</t>
        </is>
      </c>
      <c r="M107" s="17" t="inlineStr">
        <is>
          <t>淨利 +50.9
經常 +56.9｜營運 +101.3
一次: -8.2 (稅影響 -2.3)</t>
        </is>
      </c>
      <c r="N107" s="17" t="inlineStr">
        <is>
          <t>淨利 +52.0
經常 +67.7｜營運 +117.0
一次: -21.8 (稅影響 -6.1)</t>
        </is>
      </c>
      <c r="O107" s="17" t="inlineStr">
        <is>
          <t>淨利 +30.0
經常 +33.9｜營運 +78.2
一次: -6.5 (稅影響 -2.6)</t>
        </is>
      </c>
      <c r="P107" s="18" t="inlineStr">
        <is>
          <t>淨利 +77.6
經常 +82.0｜營運 +137.0
一次: -6.1 (稅影響 -1.6)</t>
        </is>
      </c>
      <c r="Q107" s="16" t="inlineStr">
        <is>
          <t>EPS +2.92
按年 -2%
(4 位分析師)</t>
        </is>
      </c>
      <c r="R107" s="16" t="inlineStr">
        <is>
          <t>最新季一次性項目 -6.1（支出／減值，令帳面難看），佔帳面淨利 8%。明細性質（資產出售／減值／訴訟／稅務）需查財報原文，本表只取金額，會否重複列「待核實」。</t>
        </is>
      </c>
      <c r="S107" s="16" t="inlineStr">
        <is>
          <t>營運利潤四季：+101.3 → +117.0 → +78.2 → +137.0；按年 +52%；剔除一次性後淨利 +82.0（帳面 +77.6，差 +4.4）；營運利潤率 5.7%。</t>
        </is>
      </c>
      <c r="T107" s="16" t="inlineStr">
        <is>
          <t>營運利潤為正、帳面≈經常、按年未倒退 —— 盈利乾淨。　收入按年 +14.7%　淨利率 3.2%　淨利按年 +65%。</t>
        </is>
      </c>
      <c r="U107" s="20" t="inlineStr">
        <is>
          <t>A</t>
        </is>
      </c>
      <c r="V107" s="10" t="inlineStr">
        <is>
          <t>Q2-26</t>
        </is>
      </c>
    </row>
    <row r="108" ht="62" customHeight="1">
      <c r="A108" s="10" t="n">
        <v>107</v>
      </c>
      <c r="B108" s="11" t="inlineStr">
        <is>
          <t>WFRD</t>
        </is>
      </c>
      <c r="C108" s="10" t="inlineStr">
        <is>
          <t>—</t>
        </is>
      </c>
      <c r="D108" s="12" t="inlineStr">
        <is>
          <t>Weatherford International plc</t>
        </is>
      </c>
      <c r="E108" s="12" t="inlineStr">
        <is>
          <t>非必需消費／Oil &amp; Gas Equipment &amp; Services</t>
        </is>
      </c>
      <c r="F108" s="13" t="inlineStr">
        <is>
          <t>USD</t>
        </is>
      </c>
      <c r="G108" s="14" t="inlineStr">
        <is>
          <t>Q3-25(25年9月) / Q4-25(25年12月) / Q1-26(26年3月) / Q2-26(26年6月)</t>
        </is>
      </c>
      <c r="H108" s="15" t="n">
        <v>1232</v>
      </c>
      <c r="I108" s="15" t="n">
        <v>1289</v>
      </c>
      <c r="J108" s="15" t="n">
        <v>1152</v>
      </c>
      <c r="K108" s="15" t="n">
        <v>1105</v>
      </c>
      <c r="L108" s="16" t="inlineStr">
        <is>
          <t>1,283M
按年 -0%
(11 位分析師)</t>
        </is>
      </c>
      <c r="M108" s="17" t="inlineStr">
        <is>
          <t>淨利 +81.0
經常 ≈帳面｜營運 +178.0
一次: 待核實</t>
        </is>
      </c>
      <c r="N108" s="17" t="inlineStr">
        <is>
          <t>淨利 +138.0
經常 ≈帳面｜營運 +187.0
一次: 待核實</t>
        </is>
      </c>
      <c r="O108" s="17" t="inlineStr">
        <is>
          <t>淨利 +108.0
經常 +115.8｜營運 +136.0
一次: -13.0 (稅影響 -5.2)</t>
        </is>
      </c>
      <c r="P108" s="18" t="inlineStr">
        <is>
          <t>淨利 +39.0
經常 +44.4｜營運 +116.0
一次: -9.0 (稅影響 -3.6)</t>
        </is>
      </c>
      <c r="Q108" s="16" t="inlineStr">
        <is>
          <t>EPS +1.70
按年 -11%
(9 位分析師)</t>
        </is>
      </c>
      <c r="R108" s="16" t="inlineStr">
        <is>
          <t>最新季一次性項目 -9.0（支出／減值，令帳面難看），佔帳面淨利 23%。明細性質（資產出售／減值／訴訟／稅務）需查財報原文，本表只取金額，會否重複列「待核實」。</t>
        </is>
      </c>
      <c r="S108" s="16" t="inlineStr">
        <is>
          <t>營運利潤四季：+178.0 → +187.0 → +136.0 → +116.0；按年 -35%；剔除一次性後淨利 +44.4（帳面 +39.0，差 +5.4）；營運利潤率 10.5%。</t>
        </is>
      </c>
      <c r="T108" s="16" t="inlineStr">
        <is>
          <t>營運層面盈利，但帳面淨利含重大一次性項目，經常性口徑要另計。　收入按年 -8.2%　淨利率 3.5%　淨利按年 -71%。</t>
        </is>
      </c>
      <c r="U108" s="19" t="inlineStr">
        <is>
          <t>B</t>
        </is>
      </c>
      <c r="V108" s="10" t="inlineStr">
        <is>
          <t>Q2-26</t>
        </is>
      </c>
    </row>
    <row r="109" ht="62" customHeight="1">
      <c r="A109" s="10" t="n">
        <v>108</v>
      </c>
      <c r="B109" s="11" t="inlineStr">
        <is>
          <t>RXRX</t>
        </is>
      </c>
      <c r="C109" s="10" t="inlineStr">
        <is>
          <t>—</t>
        </is>
      </c>
      <c r="D109" s="12" t="inlineStr">
        <is>
          <t>Recursion Pharmaceuticals, Inc.</t>
        </is>
      </c>
      <c r="E109" s="12" t="inlineStr">
        <is>
          <t>醫療保健／Biotechnology</t>
        </is>
      </c>
      <c r="F109" s="13" t="inlineStr">
        <is>
          <t>USD</t>
        </is>
      </c>
      <c r="G109" s="14" t="inlineStr">
        <is>
          <t>Q3-25(25年9月) / Q4-25(25年12月) / Q1-26(26年3月) / Q2-26(26年6月)</t>
        </is>
      </c>
      <c r="H109" s="15" t="n">
        <v>5</v>
      </c>
      <c r="I109" s="15" t="n">
        <v>35.4</v>
      </c>
      <c r="J109" s="15" t="n">
        <v>6.3</v>
      </c>
      <c r="K109" s="15" t="n">
        <v>7.3</v>
      </c>
      <c r="L109" s="16" t="inlineStr">
        <is>
          <t>17M
按年 -53%
(7 位分析師)
⚠口徑與財報不同</t>
        </is>
      </c>
      <c r="M109" s="17" t="inlineStr">
        <is>
          <t>淨利 -162.3
經常 ≈帳面｜營運 -172.2
一次: 待核實</t>
        </is>
      </c>
      <c r="N109" s="17" t="inlineStr">
        <is>
          <t>淨利 -108.1
經常 ≈帳面｜營運 -108.3
一次: 待核實</t>
        </is>
      </c>
      <c r="O109" s="17" t="inlineStr">
        <is>
          <t>淨利 -117.5
經常 ≈帳面｜營運 -128.5
一次: 待核實</t>
        </is>
      </c>
      <c r="P109" s="18" t="inlineStr">
        <is>
          <t>淨利 -131.0
經常 ≈帳面｜營運 -135.0
一次: 待核實</t>
        </is>
      </c>
      <c r="Q109" s="16" t="inlineStr">
        <is>
          <t>EPS -0.22
按年 -4%
(6 位分析師)</t>
        </is>
      </c>
      <c r="R109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9" s="16" t="inlineStr">
        <is>
          <t>營運利潤四季：-172.2 → -108.3 → -128.5 → -135.0；按年 +23%；剔除一次性後與帳面一致；營運利潤率 -1848.1%。</t>
        </is>
      </c>
      <c r="T109" s="16" t="inlineStr">
        <is>
          <t>營運仍虧損，但四季軌跡收窄中。　收入按年 -61.8%　淨利率 -1793.9%　淨利按年 +24%。</t>
        </is>
      </c>
      <c r="U109" s="22" t="inlineStr">
        <is>
          <t>C</t>
        </is>
      </c>
      <c r="V109" s="10" t="inlineStr">
        <is>
          <t>Q2-26</t>
        </is>
      </c>
    </row>
    <row r="110" ht="62" customHeight="1">
      <c r="A110" s="10" t="n">
        <v>109</v>
      </c>
      <c r="B110" s="11" t="inlineStr">
        <is>
          <t>SBET</t>
        </is>
      </c>
      <c r="C110" s="10" t="inlineStr">
        <is>
          <t>—</t>
        </is>
      </c>
      <c r="D110" s="12" t="inlineStr">
        <is>
          <t>Sharplink, Inc.</t>
        </is>
      </c>
      <c r="E110" s="12" t="inlineStr">
        <is>
          <t>科技／Capital Markets</t>
        </is>
      </c>
      <c r="F110" s="13" t="inlineStr">
        <is>
          <t>USD</t>
        </is>
      </c>
      <c r="G110" s="14" t="inlineStr">
        <is>
          <t>Q3-25(25年9月) / Q4-25(25年12月) / Q1-26(26年3月) / Q2-26(26年6月)</t>
        </is>
      </c>
      <c r="H110" s="15" t="n">
        <v>10.8</v>
      </c>
      <c r="I110" s="15" t="n">
        <v>15.8</v>
      </c>
      <c r="J110" s="15" t="n">
        <v>24.1</v>
      </c>
      <c r="K110" s="15" t="n">
        <v>11.5</v>
      </c>
      <c r="L110" s="16" t="inlineStr">
        <is>
          <t>13M
按年 -17%
(5 位分析師)</t>
        </is>
      </c>
      <c r="M110" s="17" t="inlineStr">
        <is>
          <t>淨利 +104.3
經常 -1.6｜營運 -1.8
一次: +106.7 (稅影響 +0.8)</t>
        </is>
      </c>
      <c r="N110" s="17" t="inlineStr">
        <is>
          <t>淨利 -734.5
經常 -163.3｜營運 -11.6
一次: -723.0 (稅影響 -151.8)</t>
        </is>
      </c>
      <c r="O110" s="17" t="inlineStr">
        <is>
          <t>淨利 -685.6
經常 -570.6｜營運 -492.9
一次: -191.7 (稅影響 -76.7)</t>
        </is>
      </c>
      <c r="P110" s="18" t="inlineStr">
        <is>
          <t>淨利 -394.3
經常 -156.9｜營運 +2.2
一次: -395.7 (稅影響 -158.3)</t>
        </is>
      </c>
      <c r="Q110" s="16" t="inlineStr">
        <is>
          <t>EPS +0.01
按年 +100%
(3 位分析師)
⚠non-GAAP
(帳面仍虧損)</t>
        </is>
      </c>
      <c r="R110" s="16" t="inlineStr">
        <is>
          <t>最新季一次性項目 -395.7（支出／減值，令帳面難看），佔帳面淨利 100%。明細性質（資產出售／減值／訴訟／稅務）需查財報原文，本表只取金額，會否重複列「待核實」。</t>
        </is>
      </c>
      <c r="S110" s="16" t="inlineStr">
        <is>
          <t>營運利潤四季：-1.8 → -11.6 → -492.9 → +2.2；按年 +112%；剔除一次性後淨利 -156.9（帳面 -394.3，差 +237.4）；營運利潤率 19.2%。</t>
        </is>
      </c>
      <c r="T110" s="16" t="inlineStr">
        <is>
          <t>營運層面盈利，但帳面淨利含重大一次性項目，經常性口徑要另計。　收入按年 +1553.9%　淨利率 -3420.1%　淨利按年 -281%。</t>
        </is>
      </c>
      <c r="U110" s="19" t="inlineStr">
        <is>
          <t>B</t>
        </is>
      </c>
      <c r="V110" s="10" t="inlineStr">
        <is>
          <t>Q2-26</t>
        </is>
      </c>
    </row>
    <row r="111" ht="62" customHeight="1">
      <c r="A111" s="10" t="n">
        <v>110</v>
      </c>
      <c r="B111" s="11" t="inlineStr">
        <is>
          <t>GO</t>
        </is>
      </c>
      <c r="C111" s="10" t="inlineStr">
        <is>
          <t>—</t>
        </is>
      </c>
      <c r="D111" s="12" t="inlineStr">
        <is>
          <t>Grocery Outlet Holding Corp.</t>
        </is>
      </c>
      <c r="E111" s="12" t="inlineStr">
        <is>
          <t>必需消費／Grocery Stores</t>
        </is>
      </c>
      <c r="F111" s="13" t="inlineStr">
        <is>
          <t>USD</t>
        </is>
      </c>
      <c r="G111" s="14" t="inlineStr">
        <is>
          <t>Q3-25(25年9月) / Q4-25(25年12月) / Q1-26(26年3月) / Q2-26(26年6月)</t>
        </is>
      </c>
      <c r="H111" s="15" t="n">
        <v>1168.2</v>
      </c>
      <c r="I111" s="15" t="n">
        <v>1215.3</v>
      </c>
      <c r="J111" s="15" t="n">
        <v>1166.4</v>
      </c>
      <c r="K111" s="15" t="n">
        <v>1192.8</v>
      </c>
      <c r="L111" s="16" t="inlineStr">
        <is>
          <t>1,174M
按年 -3%
(13 位分析師)</t>
        </is>
      </c>
      <c r="M111" s="17" t="inlineStr">
        <is>
          <t>淨利 +11.6
經常 +12.5｜營運 +24.1
一次: -1.3 (稅影響 -0.4)</t>
        </is>
      </c>
      <c r="N111" s="17" t="inlineStr">
        <is>
          <t>淨利 -218.2
經常 +17.9｜營運 +27.6
一次: -262.4 (稅影響 -26.3)</t>
        </is>
      </c>
      <c r="O111" s="17" t="inlineStr">
        <is>
          <t>淨利 -180.3
經常 -8.0｜營運 -1.8
一次: -176.2 (稅影響 -3.9)</t>
        </is>
      </c>
      <c r="P111" s="18" t="inlineStr">
        <is>
          <t>淨利 +5.6
經常 +8.9｜營運 +21.2
一次: -5.4 (稅影響 -2.1)</t>
        </is>
      </c>
      <c r="Q111" s="16" t="inlineStr">
        <is>
          <t>EPS +0.14
按年 -24%
(14 位分析師)</t>
        </is>
      </c>
      <c r="R111" s="16" t="inlineStr">
        <is>
          <t>最新季一次性項目 -5.4（支出／減值，令帳面難看），佔帳面淨利 96%。明細性質（資產出售／減值／訴訟／稅務）需查財報原文，本表只取金額，會否重複列「待核實」。</t>
        </is>
      </c>
      <c r="S111" s="16" t="inlineStr">
        <is>
          <t>營運利潤四季：+24.1 → +27.6 → -1.8 → +21.2；按年 -11%；剔除一次性後淨利 +8.9（帳面 +5.6，差 +3.3）；營運利潤率 1.8%。</t>
        </is>
      </c>
      <c r="T111" s="16" t="inlineStr">
        <is>
          <t>營運層面盈利，但帳面淨利含重大一次性項目，經常性口徑要另計。　收入按年 +1.1%　淨利率 0.5%　淨利按年 +13%。</t>
        </is>
      </c>
      <c r="U111" s="19" t="inlineStr">
        <is>
          <t>B</t>
        </is>
      </c>
      <c r="V111" s="10" t="inlineStr">
        <is>
          <t>Q2-26</t>
        </is>
      </c>
    </row>
    <row r="112" ht="62" customHeight="1">
      <c r="A112" s="10" t="n">
        <v>111</v>
      </c>
      <c r="B112" s="11" t="inlineStr">
        <is>
          <t>INSW</t>
        </is>
      </c>
      <c r="C112" s="10" t="inlineStr">
        <is>
          <t>—</t>
        </is>
      </c>
      <c r="D112" s="12" t="inlineStr">
        <is>
          <t>International Seaways, Inc.</t>
        </is>
      </c>
      <c r="E112" s="12" t="inlineStr">
        <is>
          <t>非必需消費／Oil &amp; Gas Midstream</t>
        </is>
      </c>
      <c r="F112" s="13" t="inlineStr">
        <is>
          <t>USD</t>
        </is>
      </c>
      <c r="G112" s="14" t="inlineStr">
        <is>
          <t>Q3-25(25年9月) / Q4-25(25年12月) / Q1-26(26年3月) / Q2-26(26年6月)</t>
        </is>
      </c>
      <c r="H112" s="15" t="n">
        <v>196.4</v>
      </c>
      <c r="I112" s="15" t="n">
        <v>267.9</v>
      </c>
      <c r="J112" s="15" t="n">
        <v>325.5</v>
      </c>
      <c r="K112" s="15" t="n">
        <v>467.3</v>
      </c>
      <c r="L112" s="16" t="inlineStr">
        <is>
          <t>274M
按年 +5%
(5 位分析師)
⚠口徑與財報不同</t>
        </is>
      </c>
      <c r="M112" s="17" t="inlineStr">
        <is>
          <t>淨利 +70.5
經常 +58.4｜營運 +66.5
一次: +12.1</t>
        </is>
      </c>
      <c r="N112" s="17" t="inlineStr">
        <is>
          <t>淨利 +127.3
經常 +124.5｜營運 +132.3
一次: +3.7 (稅影響 +0.8)</t>
        </is>
      </c>
      <c r="O112" s="17" t="inlineStr">
        <is>
          <t>淨利 +286.1
經常 +233.2｜營運 +200.4
一次: +88.2 (稅影響 +35.3)</t>
        </is>
      </c>
      <c r="P112" s="18" t="inlineStr">
        <is>
          <t>淨利 +294.9
經常 ≈帳面｜營運 +301.4
一次: 無重大</t>
        </is>
      </c>
      <c r="Q112" s="16" t="inlineStr">
        <is>
          <t>EPS +2.24
按年 -9%
(4 位分析師)</t>
        </is>
      </c>
      <c r="R112" s="16" t="inlineStr">
        <is>
          <t>無重大一次性項目（Yahoo「Total Unusual Items」為零或極小）；帳面淨利≈經常性淨利。</t>
        </is>
      </c>
      <c r="S112" s="16" t="inlineStr">
        <is>
          <t>營運利潤四季：+66.5 → +132.3 → +200.4 → +301.4；按年 +418%；剔除一次性後與帳面一致；營運利潤率 64.5%。</t>
        </is>
      </c>
      <c r="T112" s="16" t="inlineStr">
        <is>
          <t>營運利潤為正、帳面≈經常、按年未倒退 —— 盈利乾淨。　收入按年 +138.8%　淨利率 63.1%　淨利按年 +378%。</t>
        </is>
      </c>
      <c r="U112" s="20" t="inlineStr">
        <is>
          <t>A</t>
        </is>
      </c>
      <c r="V112" s="10" t="inlineStr">
        <is>
          <t>Q2-26</t>
        </is>
      </c>
    </row>
    <row r="113" ht="62" customHeight="1">
      <c r="A113" s="10" t="n">
        <v>112</v>
      </c>
      <c r="B113" s="11" t="inlineStr">
        <is>
          <t>HPQ</t>
        </is>
      </c>
      <c r="C113" s="10" t="inlineStr">
        <is>
          <t>—</t>
        </is>
      </c>
      <c r="D113" s="12" t="inlineStr">
        <is>
          <t>HP Inc.</t>
        </is>
      </c>
      <c r="E113" s="12" t="inlineStr">
        <is>
          <t>科技／Computer Hardware</t>
        </is>
      </c>
      <c r="F113" s="13" t="inlineStr">
        <is>
          <t>USD</t>
        </is>
      </c>
      <c r="G113" s="14" t="inlineStr">
        <is>
          <t>Q4-25(25年10月) / Q1-26(26年1月) / Q2-26(26年4月) / Q3-26(26年7月)</t>
        </is>
      </c>
      <c r="H113" s="15" t="n">
        <v>14639</v>
      </c>
      <c r="I113" s="15" t="n">
        <v>14438</v>
      </c>
      <c r="J113" s="15" t="n">
        <v>14408</v>
      </c>
      <c r="K113" s="15" t="n">
        <v>15677</v>
      </c>
      <c r="L113" s="16" t="inlineStr">
        <is>
          <t>14,617M
按年 +1%
(9 位分析師)</t>
        </is>
      </c>
      <c r="M113" s="17" t="inlineStr">
        <is>
          <t>淨利 +795.0
經常 +906.5｜營運 +1,076.0
一次: -117.0 (稅影響 -5.5)</t>
        </is>
      </c>
      <c r="N113" s="17" t="inlineStr">
        <is>
          <t>淨利 +545.0
經常 +645.7｜營運 +883.0
一次: -124.0 (稅影響 -23.3)</t>
        </is>
      </c>
      <c r="O113" s="17" t="inlineStr">
        <is>
          <t>淨利 +450.0
經常 +786.9｜營運 +981.0
一次: -369.0 (稅影響 -32.1)</t>
        </is>
      </c>
      <c r="P113" s="18" t="inlineStr">
        <is>
          <t>淨利 +661.0
經常 +704.1｜營運 +944.0
一次: -52.0 (稅影響 -8.9)</t>
        </is>
      </c>
      <c r="Q113" s="16" t="inlineStr">
        <is>
          <t>EPS +0.70
按年 -13%
(11 位分析師)</t>
        </is>
      </c>
      <c r="R113" s="16" t="inlineStr">
        <is>
          <t>最新季一次性項目 -52.0（支出／減值，令帳面難看），佔帳面淨利 8%。明細性質（資產出售／減值／訴訟／稅務）需查財報原文，本表只取金額，會否重複列「待核實」。</t>
        </is>
      </c>
      <c r="S113" s="16" t="inlineStr">
        <is>
          <t>營運利潤四季：+1,076.0 → +883.0 → +981.0 → +944.0；按年 +13%；剔除一次性後淨利 +704.1（帳面 +661.0，差 +43.1）；營運利潤率 6.0%。</t>
        </is>
      </c>
      <c r="T113" s="16" t="inlineStr">
        <is>
          <t>營運利潤為正、帳面≈經常、按年未倒退 —— 盈利乾淨。　收入按年 +12.5%　淨利率 4.2%　淨利按年 -13%。</t>
        </is>
      </c>
      <c r="U113" s="20" t="inlineStr">
        <is>
          <t>A</t>
        </is>
      </c>
      <c r="V113" s="10" t="inlineStr">
        <is>
          <t>Q3-26</t>
        </is>
      </c>
    </row>
    <row r="114" ht="62" customHeight="1">
      <c r="A114" s="10" t="n">
        <v>113</v>
      </c>
      <c r="B114" s="11" t="inlineStr">
        <is>
          <t>FRD</t>
        </is>
      </c>
      <c r="C114" s="10" t="inlineStr">
        <is>
          <t>—</t>
        </is>
      </c>
      <c r="D114" s="12" t="inlineStr">
        <is>
          <t>Friedman Industries, Incorporated</t>
        </is>
      </c>
      <c r="E114" s="12" t="inlineStr">
        <is>
          <t>工業／Steel</t>
        </is>
      </c>
      <c r="F114" s="13" t="inlineStr">
        <is>
          <t>USD</t>
        </is>
      </c>
      <c r="G114" s="14" t="inlineStr">
        <is>
          <t>Q3-25(25年9月) / Q4-25(25年12月) / Q1-26(26年3月) / Q2-26(26年6月)</t>
        </is>
      </c>
      <c r="H114" s="15" t="n">
        <v>152.4</v>
      </c>
      <c r="I114" s="15" t="n">
        <v>168</v>
      </c>
      <c r="J114" s="15" t="n">
        <v>191.8</v>
      </c>
      <c r="K114" s="15" t="n">
        <v>240</v>
      </c>
      <c r="L114" s="16" t="inlineStr">
        <is>
          <t>—</t>
        </is>
      </c>
      <c r="M114" s="17" t="inlineStr">
        <is>
          <t>淨利 +2.2
經常 +1.6｜營運 +2.9
一次: 無重大</t>
        </is>
      </c>
      <c r="N114" s="17" t="inlineStr">
        <is>
          <t>淨利 +3.0
經常 +2.0｜營運 +3.9
一次: +1.4 (稅影響 +0.3)</t>
        </is>
      </c>
      <c r="O114" s="17" t="inlineStr">
        <is>
          <t>淨利 +9.1
經常 +7.5｜營運 +11.8
一次: +2.3 (稅影響 +0.6)</t>
        </is>
      </c>
      <c r="P114" s="18" t="inlineStr">
        <is>
          <t>淨利 +12.5
經常 +14.9｜營運 +21.0
一次: -2.8 (稅影響 -0.7)</t>
        </is>
      </c>
      <c r="Q114" s="16" t="inlineStr">
        <is>
          <t>—</t>
        </is>
      </c>
      <c r="R114" s="16" t="inlineStr">
        <is>
          <t>最新季一次性項目 -2.8（支出／減值，令帳面難看），佔帳面淨利 22%。明細性質（資產出售／減值／訴訟／稅務）需查財報原文，本表只取金額，會否重複列「待核實」。</t>
        </is>
      </c>
      <c r="S114" s="16" t="inlineStr">
        <is>
          <t>營運利潤四季：+2.9 → +3.9 → +11.8 → +21.0；按年 +199%；剔除一次性後淨利 +14.9（帳面 +12.5，差 +2.4）；營運利潤率 8.8%。</t>
        </is>
      </c>
      <c r="T114" s="16" t="inlineStr">
        <is>
          <t>營運層面盈利，但帳面淨利含重大一次性項目，經常性口徑要另計。　收入按年 +78.1%　淨利率 5.2%　淨利按年 +152%。</t>
        </is>
      </c>
      <c r="U114" s="19" t="inlineStr">
        <is>
          <t>B</t>
        </is>
      </c>
      <c r="V114" s="10" t="inlineStr">
        <is>
          <t>Q2-26</t>
        </is>
      </c>
    </row>
    <row r="115" ht="62" customHeight="1">
      <c r="A115" s="10" t="n">
        <v>114</v>
      </c>
      <c r="B115" s="11" t="inlineStr">
        <is>
          <t>FDS</t>
        </is>
      </c>
      <c r="C115" s="10" t="inlineStr">
        <is>
          <t>—</t>
        </is>
      </c>
      <c r="D115" s="12" t="inlineStr">
        <is>
          <t>FactSet Research Systems Inc.</t>
        </is>
      </c>
      <c r="E115" s="12" t="inlineStr">
        <is>
          <t>金融／Financial Data &amp; Stock Exchanges</t>
        </is>
      </c>
      <c r="F115" s="13" t="inlineStr">
        <is>
          <t>USD</t>
        </is>
      </c>
      <c r="G115" s="14" t="inlineStr">
        <is>
          <t>Q3-25(25年8月) / Q4-25(25年11月) / Q1-26(26年2月) / Q2-26(26年5月)</t>
        </is>
      </c>
      <c r="H115" s="15" t="n">
        <v>596.9</v>
      </c>
      <c r="I115" s="15" t="n">
        <v>607.6</v>
      </c>
      <c r="J115" s="15" t="n">
        <v>611</v>
      </c>
      <c r="K115" s="15" t="n">
        <v>622.9</v>
      </c>
      <c r="L115" s="16" t="inlineStr">
        <is>
          <t>643M
按年 +6%
(12 位分析師)</t>
        </is>
      </c>
      <c r="M115" s="17" t="inlineStr">
        <is>
          <t>淨利 +153.6
經常 ≈帳面｜營運 +177.3
一次: 待核實</t>
        </is>
      </c>
      <c r="N115" s="17" t="inlineStr">
        <is>
          <t>淨利 +152.6
經常 ≈帳面｜營運 +192.1
一次: 待核實</t>
        </is>
      </c>
      <c r="O115" s="17" t="inlineStr">
        <is>
          <t>淨利 +133.1
經常 ≈帳面｜營運 +185.0
一次: 待核實</t>
        </is>
      </c>
      <c r="P115" s="18" t="inlineStr">
        <is>
          <t>淨利 +126.7
經常 ≈帳面｜營運 +166.3
一次: 待核實</t>
        </is>
      </c>
      <c r="Q115" s="16" t="inlineStr">
        <is>
          <t>EPS +4.94
按年 +9%
(15 位分析師)</t>
        </is>
      </c>
      <c r="R11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15" s="16" t="inlineStr">
        <is>
          <t>營運利潤四季：+177.3 → +192.1 → +185.0 → +166.3；按年 -14%；剔除一次性後與帳面一致；營運利潤率 26.7%。</t>
        </is>
      </c>
      <c r="T115" s="16" t="inlineStr">
        <is>
          <t>營運利潤為正但按年倒退，盈利仍在但動能轉弱。　收入按年 +6.4%　淨利率 20.3%　淨利按年 -15%。</t>
        </is>
      </c>
      <c r="U115" s="19" t="inlineStr">
        <is>
          <t>B</t>
        </is>
      </c>
      <c r="V115" s="10" t="inlineStr">
        <is>
          <t>Q2-26</t>
        </is>
      </c>
    </row>
    <row r="116" ht="62" customHeight="1">
      <c r="A116" s="10" t="n">
        <v>115</v>
      </c>
      <c r="B116" s="11" t="inlineStr">
        <is>
          <t>HP</t>
        </is>
      </c>
      <c r="C116" s="10" t="inlineStr">
        <is>
          <t>—</t>
        </is>
      </c>
      <c r="D116" s="12" t="inlineStr">
        <is>
          <t>Helmerich &amp; Payne, Inc.</t>
        </is>
      </c>
      <c r="E116" s="12" t="inlineStr">
        <is>
          <t>能源／Oil &amp; Gas Drilling</t>
        </is>
      </c>
      <c r="F116" s="13" t="inlineStr">
        <is>
          <t>USD</t>
        </is>
      </c>
      <c r="G116" s="14" t="inlineStr">
        <is>
          <t>Q3-25(25年9月) / Q4-25(25年12月) / Q1-26(26年3月) / Q2-26(26年6月)</t>
        </is>
      </c>
      <c r="H116" s="15" t="n">
        <v>1011.7</v>
      </c>
      <c r="I116" s="15" t="n">
        <v>1017</v>
      </c>
      <c r="J116" s="15" t="n">
        <v>932.4</v>
      </c>
      <c r="K116" s="15" t="n">
        <v>1034.9</v>
      </c>
      <c r="L116" s="16" t="inlineStr">
        <is>
          <t>1,076M
按年 +6%
(6 位分析師)</t>
        </is>
      </c>
      <c r="M116" s="17" t="inlineStr">
        <is>
          <t>淨利 -57.7
經常 -8.6｜營運 +22.7
一次: -54.2 (稅影響 -5.5)</t>
        </is>
      </c>
      <c r="N116" s="17" t="inlineStr">
        <is>
          <t>淨利 -97.2
經常 -15.4｜營運 +44.0
一次: -102.9 (稅影響 -21.6)</t>
        </is>
      </c>
      <c r="O116" s="17" t="inlineStr">
        <is>
          <t>淨利 -59.1
經常 -54.3｜營運 -12.4
一次: -7.1 (稅影響 -2.9)</t>
        </is>
      </c>
      <c r="P116" s="18" t="inlineStr">
        <is>
          <t>淨利 +74.4
經常 +11.0｜營運 +66.3
一次: +107.8 (稅影響 +43.1)</t>
        </is>
      </c>
      <c r="Q116" s="16" t="inlineStr">
        <is>
          <t>EPS +0.32
按年 +314%
(7 位分析師)</t>
        </is>
      </c>
      <c r="R116" s="16" t="inlineStr">
        <is>
          <t>最新季一次性項目 +107.8（收益，令帳面好看），佔帳面淨利 145%。明細性質（資產出售／減值／訴訟／稅務）需查財報原文，本表只取金額，會否重複列「待核實」。</t>
        </is>
      </c>
      <c r="S116" s="16" t="inlineStr">
        <is>
          <t>營運利潤四季：+22.7 → +44.0 → -12.4 → +66.3；按年 +25%；剔除一次性後淨利 +11.0（帳面 +74.4，差 -63.4）；營運利潤率 6.4%。</t>
        </is>
      </c>
      <c r="T116" s="16" t="inlineStr">
        <is>
          <t>營運層面盈利，但帳面淨利含重大一次性項目，經常性口徑要另計。　收入按年 -0.6%　淨利率 7.2%　淨利按年 +146%。</t>
        </is>
      </c>
      <c r="U116" s="19" t="inlineStr">
        <is>
          <t>B</t>
        </is>
      </c>
      <c r="V116" s="10" t="inlineStr">
        <is>
          <t>Q2-26</t>
        </is>
      </c>
    </row>
    <row r="117" ht="62" customHeight="1">
      <c r="A117" s="10" t="n">
        <v>116</v>
      </c>
      <c r="B117" s="11" t="inlineStr">
        <is>
          <t>ADT</t>
        </is>
      </c>
      <c r="C117" s="10" t="inlineStr">
        <is>
          <t>—</t>
        </is>
      </c>
      <c r="D117" s="12" t="inlineStr">
        <is>
          <t>ADT Inc.</t>
        </is>
      </c>
      <c r="E117" s="12" t="inlineStr">
        <is>
          <t>非必需消費／Security &amp; Protection Services</t>
        </is>
      </c>
      <c r="F117" s="13" t="inlineStr">
        <is>
          <t>USD</t>
        </is>
      </c>
      <c r="G117" s="14" t="inlineStr">
        <is>
          <t>Q3-25(25年9月) / Q4-25(25年12月) / Q1-26(26年3月) / Q2-26(26年6月)</t>
        </is>
      </c>
      <c r="H117" s="15" t="n">
        <v>1298</v>
      </c>
      <c r="I117" s="15" t="n">
        <v>1276.1</v>
      </c>
      <c r="J117" s="15" t="n">
        <v>1278.5</v>
      </c>
      <c r="K117" s="15" t="n">
        <v>1312.3</v>
      </c>
      <c r="L117" s="16" t="inlineStr">
        <is>
          <t>1,305M
按年 +2%
(4 位分析師)</t>
        </is>
      </c>
      <c r="M117" s="17" t="inlineStr">
        <is>
          <t>淨利 +145.1
經常 +143.5｜營運 +315.1
一次: 待核實</t>
        </is>
      </c>
      <c r="N117" s="17" t="inlineStr">
        <is>
          <t>淨利 +145.4
經常 +146.3｜營運 +332.6
一次: 待核實</t>
        </is>
      </c>
      <c r="O117" s="17" t="inlineStr">
        <is>
          <t>淨利 +168.4
經常 +169.4｜營運 +325.4
一次: 待核實</t>
        </is>
      </c>
      <c r="P117" s="18" t="inlineStr">
        <is>
          <t>淨利 +153.8
經常 +155.1｜營運 +315.9
一次: 待核實</t>
        </is>
      </c>
      <c r="Q117" s="16" t="inlineStr">
        <is>
          <t>EPS +0.23
按年 +1%
(6 位分析師)</t>
        </is>
      </c>
      <c r="R11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17" s="16" t="inlineStr">
        <is>
          <t>營運利潤四季：+315.1 → +332.6 → +325.4 → +315.9；按年 -8%；剔除一次性後淨利 +155.1（帳面 +153.8，差 +1.2）；營運利潤率 24.1%。</t>
        </is>
      </c>
      <c r="T117" s="16" t="inlineStr">
        <is>
          <t>營運利潤為正但按年倒退，盈利仍在但動能轉弱。　收入按年 +2.0%　淨利率 11.7%　淨利按年 -7%。</t>
        </is>
      </c>
      <c r="U117" s="19" t="inlineStr">
        <is>
          <t>B</t>
        </is>
      </c>
      <c r="V117" s="10" t="inlineStr">
        <is>
          <t>Q2-26</t>
        </is>
      </c>
    </row>
    <row r="118" ht="62" customHeight="1">
      <c r="A118" s="10" t="n">
        <v>117</v>
      </c>
      <c r="B118" s="11" t="inlineStr">
        <is>
          <t>TMUS</t>
        </is>
      </c>
      <c r="C118" s="10" t="inlineStr">
        <is>
          <t>—</t>
        </is>
      </c>
      <c r="D118" s="12" t="inlineStr">
        <is>
          <t>T-Mobile US, Inc.</t>
        </is>
      </c>
      <c r="E118" s="12" t="inlineStr">
        <is>
          <t>通訊服務／Telecom Services</t>
        </is>
      </c>
      <c r="F118" s="13" t="inlineStr">
        <is>
          <t>USD</t>
        </is>
      </c>
      <c r="G118" s="14" t="inlineStr">
        <is>
          <t>Q3-25(25年9月) / Q4-25(25年12月) / Q1-26(26年3月) / Q2-26(26年6月)</t>
        </is>
      </c>
      <c r="H118" s="15" t="n">
        <v>21957</v>
      </c>
      <c r="I118" s="15" t="n">
        <v>24334</v>
      </c>
      <c r="J118" s="15" t="n">
        <v>23107</v>
      </c>
      <c r="K118" s="15" t="n">
        <v>22791</v>
      </c>
      <c r="L118" s="16" t="inlineStr">
        <is>
          <t>25,426M
按年 +4%
(18 位分析師)</t>
        </is>
      </c>
      <c r="M118" s="17" t="inlineStr">
        <is>
          <t>淨利 +2,714.0
經常 +2,927.8｜營運 +4,808.0
一次: -278.0 (稅影響 -64.2)</t>
        </is>
      </c>
      <c r="N118" s="17" t="inlineStr">
        <is>
          <t>淨利 +2,103.0
經常 ≈帳面｜營運 +3,736.0
一次: 無重大</t>
        </is>
      </c>
      <c r="O118" s="17" t="inlineStr">
        <is>
          <t>淨利 +2,504.0
經常 ≈帳面｜營運 +4,497.0
一次: 待核實</t>
        </is>
      </c>
      <c r="P118" s="18" t="inlineStr">
        <is>
          <t>淨利 +3,239.0
經常 ≈帳面｜營運 +5,490.0
一次: 待核實</t>
        </is>
      </c>
      <c r="Q118" s="16" t="inlineStr">
        <is>
          <t>EPS +2.77
按年 +47%
(17 位分析師)</t>
        </is>
      </c>
      <c r="R11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18" s="16" t="inlineStr">
        <is>
          <t>營運利潤四季：+4,808.0 → +3,736.0 → +4,497.0 → +5,490.0；按年 +5%；剔除一次性後與帳面一致；營運利潤率 24.1%。</t>
        </is>
      </c>
      <c r="T118" s="16" t="inlineStr">
        <is>
          <t>營運利潤為正、帳面≈經常、按年未倒退 —— 盈利乾淨。　收入按年 +7.9%　淨利率 14.2%　淨利按年 +1%。</t>
        </is>
      </c>
      <c r="U118" s="20" t="inlineStr">
        <is>
          <t>A</t>
        </is>
      </c>
      <c r="V118" s="10" t="inlineStr">
        <is>
          <t>Q2-26</t>
        </is>
      </c>
    </row>
    <row r="119" ht="62" customHeight="1">
      <c r="A119" s="10" t="n">
        <v>118</v>
      </c>
      <c r="B119" s="11" t="inlineStr">
        <is>
          <t>COP</t>
        </is>
      </c>
      <c r="C119" s="10" t="inlineStr">
        <is>
          <t>—</t>
        </is>
      </c>
      <c r="D119" s="12" t="inlineStr">
        <is>
          <t>ConocoPhillips</t>
        </is>
      </c>
      <c r="E119" s="12" t="inlineStr">
        <is>
          <t>能源／Oil &amp; Gas E&amp;P</t>
        </is>
      </c>
      <c r="F119" s="13" t="inlineStr">
        <is>
          <t>USD</t>
        </is>
      </c>
      <c r="G119" s="14" t="inlineStr">
        <is>
          <t>Q3-25(25年9月) / Q4-25(25年12月) / Q1-26(26年3月) / Q2-26(26年6月)</t>
        </is>
      </c>
      <c r="H119" s="15" t="n">
        <v>15031</v>
      </c>
      <c r="I119" s="15" t="n">
        <v>13392</v>
      </c>
      <c r="J119" s="15" t="n">
        <v>15761</v>
      </c>
      <c r="K119" s="15" t="n">
        <v>19161</v>
      </c>
      <c r="L119" s="16" t="inlineStr">
        <is>
          <t>18,325M
按年 +29%
(4 位分析師)</t>
        </is>
      </c>
      <c r="M119" s="17" t="inlineStr">
        <is>
          <t>淨利 +1,720.0
經常 ≈帳面｜營運 +2,758.0
一次: 無重大</t>
        </is>
      </c>
      <c r="N119" s="17" t="inlineStr">
        <is>
          <t>淨利 +1,437.0
經常 +1,231.3｜營運 +1,760.0
一次: +328.0 (稅影響 +117.3)</t>
        </is>
      </c>
      <c r="O119" s="17" t="inlineStr">
        <is>
          <t>淨利 +2,177.0
經常 +2,192.1｜營運 +3,387.0
一次: 無重大</t>
        </is>
      </c>
      <c r="P119" s="18" t="inlineStr">
        <is>
          <t>淨利 +3,918.0
經常 ≈帳面｜營運 +5,979.0
一次: 無重大</t>
        </is>
      </c>
      <c r="Q119" s="16" t="inlineStr">
        <is>
          <t>EPS +2.62
按年 +157%
(17 位分析師)</t>
        </is>
      </c>
      <c r="R119" s="16" t="inlineStr">
        <is>
          <t>無重大一次性項目（Yahoo「Total Unusual Items」為零或極小）；帳面淨利≈經常性淨利。</t>
        </is>
      </c>
      <c r="S119" s="16" t="inlineStr">
        <is>
          <t>營運利潤四季：+2,758.0 → +1,760.0 → +3,387.0 → +5,979.0；按年 +129%；剔除一次性後淨利 +3,907.1（帳面 +3,918.0，差 -10.9）；營運利潤率 31.2%。</t>
        </is>
      </c>
      <c r="T119" s="16" t="inlineStr">
        <is>
          <t>營運利潤為正、帳面≈經常、按年未倒退 —— 盈利乾淨。　收入按年 +36.8%　淨利率 20.4%　淨利按年 +99%。</t>
        </is>
      </c>
      <c r="U119" s="20" t="inlineStr">
        <is>
          <t>A</t>
        </is>
      </c>
      <c r="V119" s="10" t="inlineStr">
        <is>
          <t>Q2-26</t>
        </is>
      </c>
    </row>
    <row r="120" ht="62" customHeight="1">
      <c r="A120" s="10" t="n">
        <v>119</v>
      </c>
      <c r="B120" s="11" t="inlineStr">
        <is>
          <t>ITIC</t>
        </is>
      </c>
      <c r="C120" s="10" t="inlineStr">
        <is>
          <t>—</t>
        </is>
      </c>
      <c r="D120" s="12" t="inlineStr">
        <is>
          <t>Investors Title Company</t>
        </is>
      </c>
      <c r="E120" s="12" t="inlineStr">
        <is>
          <t>金融／Insurance - Specialty</t>
        </is>
      </c>
      <c r="F120" s="13" t="inlineStr">
        <is>
          <t>USD</t>
        </is>
      </c>
      <c r="G120" s="14" t="inlineStr">
        <is>
          <t>Q3-25(25年9月) / Q4-25(25年12月) / Q1-26(26年3月) / Q2-26(26年6月)</t>
        </is>
      </c>
      <c r="H120" s="15" t="n">
        <v>73</v>
      </c>
      <c r="I120" s="15" t="n">
        <v>70</v>
      </c>
      <c r="J120" s="15" t="n">
        <v>64</v>
      </c>
      <c r="K120" s="15" t="n">
        <v>86.90000000000001</v>
      </c>
      <c r="L120" s="16" t="inlineStr">
        <is>
          <t>無收入</t>
        </is>
      </c>
      <c r="M120" s="17" t="inlineStr">
        <is>
          <t>淨利 +12.2
經常 ≈帳面｜稅前 +15.1
一次: 待核實</t>
        </is>
      </c>
      <c r="N120" s="17" t="inlineStr">
        <is>
          <t>淨利 +7.5
經常 ≈帳面｜稅前 +9.6
一次: 待核實</t>
        </is>
      </c>
      <c r="O120" s="17" t="inlineStr">
        <is>
          <t>淨利 +6.1
經常 ≈帳面｜稅前 +7.7
一次: 無重大</t>
        </is>
      </c>
      <c r="P120" s="18" t="inlineStr">
        <is>
          <t>淨利 +14.6
經常 +14.9｜稅前 +19.4
一次: 無重大</t>
        </is>
      </c>
      <c r="Q120" s="16" t="inlineStr">
        <is>
          <t>—</t>
        </is>
      </c>
      <c r="R120" s="16" t="inlineStr">
        <is>
          <t>無重大一次性項目（Yahoo「Total Unusual Items」為零或極小）；帳面淨利≈經常性淨利。</t>
        </is>
      </c>
      <c r="S120" s="16" t="inlineStr">
        <is>
          <t>稅前利潤四季：+15.1 → +9.6 → +7.7 → +19.4；按年 +23%；剔除一次性後與帳面一致；稅前利潤率 22.4%；（Yahoo 冇為呢類金融股公布營運利潤，改用稅前利潤做經常性基準）。</t>
        </is>
      </c>
      <c r="T120" s="16" t="inlineStr">
        <is>
          <t>稅前利潤為正、帳面≈經常、按年未倒退 —— 盈利乾淨。　收入按年 +17.7%　淨利率 16.8%　淨利按年 +19%。</t>
        </is>
      </c>
      <c r="U120" s="20" t="inlineStr">
        <is>
          <t>A</t>
        </is>
      </c>
      <c r="V120" s="10" t="inlineStr">
        <is>
          <t>Q2-26</t>
        </is>
      </c>
    </row>
    <row r="121" ht="62" customHeight="1">
      <c r="A121" s="10" t="n">
        <v>120</v>
      </c>
      <c r="B121" s="11" t="inlineStr">
        <is>
          <t>META</t>
        </is>
      </c>
      <c r="C121" s="10" t="inlineStr">
        <is>
          <t>—</t>
        </is>
      </c>
      <c r="D121" s="12" t="inlineStr">
        <is>
          <t>Meta Platforms, Inc.</t>
        </is>
      </c>
      <c r="E121" s="12" t="inlineStr">
        <is>
          <t>通訊服務／Internet Content &amp; Information</t>
        </is>
      </c>
      <c r="F121" s="13" t="inlineStr">
        <is>
          <t>USD</t>
        </is>
      </c>
      <c r="G121" s="14" t="inlineStr">
        <is>
          <t>Q3-25(25年9月) / Q4-25(25年12月) / Q1-26(26年3月) / Q2-26(26年6月)</t>
        </is>
      </c>
      <c r="H121" s="15" t="n">
        <v>51242</v>
      </c>
      <c r="I121" s="15" t="n">
        <v>59893</v>
      </c>
      <c r="J121" s="15" t="n">
        <v>56311</v>
      </c>
      <c r="K121" s="15" t="n">
        <v>60801</v>
      </c>
      <c r="L121" s="16" t="inlineStr">
        <is>
          <t>73,661M
按年 +23%
(45 位分析師)</t>
        </is>
      </c>
      <c r="M121" s="17" t="inlineStr">
        <is>
          <t>淨利 +2,709.0
經常 +2,675.8｜營運 +20,535
一次: 無重大</t>
        </is>
      </c>
      <c r="N121" s="17" t="inlineStr">
        <is>
          <t>淨利 +22,768
經常 ≈帳面｜營運 +24,745
一次: 無重大</t>
        </is>
      </c>
      <c r="O121" s="17" t="inlineStr">
        <is>
          <t>淨利 +26,773
經常 +27,554｜營運 +22,872
一次: -1,302.0 (稅影響 -520.8)</t>
        </is>
      </c>
      <c r="P121" s="18" t="inlineStr">
        <is>
          <t>淨利 +15,848
經常 +15,928｜營運 +18,775
一次: 無重大</t>
        </is>
      </c>
      <c r="Q121" s="16" t="inlineStr">
        <is>
          <t>EPS +8.22
按年 -7%
(41 位分析師)</t>
        </is>
      </c>
      <c r="R121" s="16" t="inlineStr">
        <is>
          <t>無重大一次性項目（Yahoo「Total Unusual Items」為零或極小）；帳面淨利≈經常性淨利。</t>
        </is>
      </c>
      <c r="S121" s="16" t="inlineStr">
        <is>
          <t>營運利潤四季：+20,535 → +24,745 → +22,872 → +18,775；按年 -8%；剔除一次性後淨利 +15,928（帳面 +15,848，差 +79.8）；營運利潤率 30.9%。</t>
        </is>
      </c>
      <c r="T121" s="16" t="inlineStr">
        <is>
          <t>營運利潤為正但按年倒退，盈利仍在但動能轉弱。　收入按年 +28.0%　淨利率 26.1%　淨利按年 -14%。</t>
        </is>
      </c>
      <c r="U121" s="19" t="inlineStr">
        <is>
          <t>B</t>
        </is>
      </c>
      <c r="V121" s="10" t="inlineStr">
        <is>
          <t>Q2-26</t>
        </is>
      </c>
    </row>
    <row r="122" ht="62" customHeight="1">
      <c r="A122" s="10" t="n">
        <v>121</v>
      </c>
      <c r="B122" s="11" t="inlineStr">
        <is>
          <t>LILAK</t>
        </is>
      </c>
      <c r="C122" s="10" t="inlineStr">
        <is>
          <t>—</t>
        </is>
      </c>
      <c r="D122" s="12" t="inlineStr">
        <is>
          <t>Liberty Latin America Ltd.</t>
        </is>
      </c>
      <c r="E122" s="12" t="inlineStr">
        <is>
          <t>電訊／Telecom Services</t>
        </is>
      </c>
      <c r="F122" s="13" t="inlineStr">
        <is>
          <t>USD</t>
        </is>
      </c>
      <c r="G122" s="14" t="inlineStr">
        <is>
          <t>Q3-25(25年9月) / Q4-25(25年12月) / Q1-26(26年3月) / Q2-26(26年6月)</t>
        </is>
      </c>
      <c r="H122" s="15" t="n">
        <v>1112.5</v>
      </c>
      <c r="I122" s="15" t="n">
        <v>1159.5</v>
      </c>
      <c r="J122" s="15" t="n">
        <v>1082.8</v>
      </c>
      <c r="K122" s="15" t="n">
        <v>1102.6</v>
      </c>
      <c r="L122" s="16" t="inlineStr">
        <is>
          <t>1,173M
按年 +1%
(3 位分析師)</t>
        </is>
      </c>
      <c r="M122" s="17" t="inlineStr">
        <is>
          <t>淨利 +3.3
經常 +26.7｜營運 +205.0
一次: -35.9 (稅影響 -12.5)</t>
        </is>
      </c>
      <c r="N122" s="17" t="inlineStr">
        <is>
          <t>淨利 -54.8
經常 -63.3｜營運 +191.9
一次: +14.2 (稅影響 +5.7)</t>
        </is>
      </c>
      <c r="O122" s="17" t="inlineStr">
        <is>
          <t>淨利 -22.7
經常 -40.0｜營運 +152.6
一次: +28.8 (稅影響 +11.5)</t>
        </is>
      </c>
      <c r="P122" s="18" t="inlineStr">
        <is>
          <t>淨利 -24.0
經常 -30.3｜營運 +192.5
一次: +10.5 (稅影響 +4.2)</t>
        </is>
      </c>
      <c r="Q122" s="16" t="inlineStr">
        <is>
          <t>EPS +0.18
按年 +167%
(1 位分析師)
⚠non-GAAP
(帳面仍虧損)</t>
        </is>
      </c>
      <c r="R122" s="16" t="inlineStr">
        <is>
          <t>最新季一次性項目 +10.5（收益，令帳面好看），佔帳面淨利 44%。明細性質（資產出售／減值／訴訟／稅務）需查財報原文，本表只取金額，會否重複列「待核實」。</t>
        </is>
      </c>
      <c r="S122" s="16" t="inlineStr">
        <is>
          <t>營運利潤四季：+205.0 → +191.9 → +152.6 → +192.5；按年 +5%；剔除一次性後淨利 -30.3（帳面 -24.0，差 -6.3）；營運利潤率 17.5%。</t>
        </is>
      </c>
      <c r="T122" s="16" t="inlineStr">
        <is>
          <t>營運層面盈利，但帳面淨利含重大一次性項目，經常性口徑要另計。　收入按年 +1.5%　淨利率 -2.2%　淨利按年 +94%。</t>
        </is>
      </c>
      <c r="U122" s="19" t="inlineStr">
        <is>
          <t>B</t>
        </is>
      </c>
      <c r="V122" s="10" t="inlineStr">
        <is>
          <t>Q2-26</t>
        </is>
      </c>
    </row>
    <row r="123" ht="62" customHeight="1">
      <c r="A123" s="10" t="n">
        <v>122</v>
      </c>
      <c r="B123" s="11" t="inlineStr">
        <is>
          <t>SRPT</t>
        </is>
      </c>
      <c r="C123" s="10" t="inlineStr">
        <is>
          <t>—</t>
        </is>
      </c>
      <c r="D123" s="12" t="inlineStr">
        <is>
          <t>Sarepta Therapeutics, Inc.</t>
        </is>
      </c>
      <c r="E123" s="12" t="inlineStr">
        <is>
          <t>醫療保健／Biotechnology</t>
        </is>
      </c>
      <c r="F123" s="13" t="inlineStr">
        <is>
          <t>USD</t>
        </is>
      </c>
      <c r="G123" s="14" t="inlineStr">
        <is>
          <t>Q3-25(25年9月) / Q4-25(25年12月) / Q1-26(26年3月) / Q2-26(26年6月)</t>
        </is>
      </c>
      <c r="H123" s="15" t="n">
        <v>399.4</v>
      </c>
      <c r="I123" s="15" t="n">
        <v>442.9</v>
      </c>
      <c r="J123" s="15" t="n">
        <v>730.8</v>
      </c>
      <c r="K123" s="15" t="n">
        <v>401.3</v>
      </c>
      <c r="L123" s="16" t="inlineStr">
        <is>
          <t>352M
按年 -21%
(19 位分析師)</t>
        </is>
      </c>
      <c r="M123" s="17" t="inlineStr">
        <is>
          <t>淨利 -179.9
經常 -58.2｜營運 -62.9
一次: -131.3 (稅影響 -9.6)</t>
        </is>
      </c>
      <c r="N123" s="17" t="inlineStr">
        <is>
          <t>淨利 -282.8
經常 -396.8｜營運 -410.1
一次: +144.2 (稅影響 +30.3)</t>
        </is>
      </c>
      <c r="O123" s="17" t="inlineStr">
        <is>
          <t>淨利 +331.0
經常 ≈帳面｜營運 +358.4
一次: 無重大</t>
        </is>
      </c>
      <c r="P123" s="18" t="inlineStr">
        <is>
          <t>淨利 -4.9
經常 +18.8｜營運 +52.3
一次: -39.4 (稅影響 -15.8)</t>
        </is>
      </c>
      <c r="Q123" s="16" t="inlineStr">
        <is>
          <t>EPS +0.17
按年 +105%
(10 位分析師)
⚠non-GAAP
(帳面仍虧損)</t>
        </is>
      </c>
      <c r="R123" s="16" t="inlineStr">
        <is>
          <t>最新季一次性項目 -39.4（支出／減值，令帳面難看），佔帳面淨利 807%。明細性質（資產出售／減值／訴訟／稅務）需查財報原文，本表只取金額，會否重複列「待核實」。</t>
        </is>
      </c>
      <c r="S123" s="16" t="inlineStr">
        <is>
          <t>營運利潤四季：-62.9 → -410.1 → +358.4 → +52.3；按年 -55%；剔除一次性後淨利 +18.8（帳面 -4.9，差 +23.7）；營運利潤率 13.0%。</t>
        </is>
      </c>
      <c r="T123" s="16" t="inlineStr">
        <is>
          <t>營運層面盈利，但帳面淨利含重大一次性項目，經常性口徑要另計。　收入按年 -34.3%　淨利率 -1.2%　淨利按年 -102%。</t>
        </is>
      </c>
      <c r="U123" s="19" t="inlineStr">
        <is>
          <t>B</t>
        </is>
      </c>
      <c r="V123" s="10" t="inlineStr">
        <is>
          <t>Q2-26</t>
        </is>
      </c>
    </row>
    <row r="124" ht="62" customHeight="1">
      <c r="A124" s="10" t="n">
        <v>123</v>
      </c>
      <c r="B124" s="11" t="inlineStr">
        <is>
          <t>SENEA</t>
        </is>
      </c>
      <c r="C124" s="10" t="inlineStr">
        <is>
          <t>—</t>
        </is>
      </c>
      <c r="D124" s="12" t="inlineStr">
        <is>
          <t>Seneca Foods Corporation</t>
        </is>
      </c>
      <c r="E124" s="12" t="inlineStr">
        <is>
          <t>必需消費／Packaged Foods</t>
        </is>
      </c>
      <c r="F124" s="13" t="inlineStr">
        <is>
          <t>USD</t>
        </is>
      </c>
      <c r="G124" s="14" t="inlineStr">
        <is>
          <t>Q3-25(25年9月) / Q4-25(25年12月) / Q1-26(26年3月) / Q2-26(26年6月)</t>
        </is>
      </c>
      <c r="H124" s="15" t="n">
        <v>460</v>
      </c>
      <c r="I124" s="15" t="n">
        <v>508.3</v>
      </c>
      <c r="J124" s="15" t="n">
        <v>393.8</v>
      </c>
      <c r="K124" s="15" t="n">
        <v>405.2</v>
      </c>
      <c r="L124" s="16" t="inlineStr">
        <is>
          <t>549M
(1 位分析師)</t>
        </is>
      </c>
      <c r="M124" s="17" t="inlineStr">
        <is>
          <t>淨利 +29.7
經常 ≈帳面｜營運 +41.5
一次: 待核實</t>
        </is>
      </c>
      <c r="N124" s="17" t="inlineStr">
        <is>
          <t>淨利 +44.7
經常 ≈帳面｜營運 +60.0
一次: 待核實</t>
        </is>
      </c>
      <c r="O124" s="17" t="inlineStr">
        <is>
          <t>淨利 +25.3
經常 ≈帳面｜營運 +23.7
一次: 待核實</t>
        </is>
      </c>
      <c r="P124" s="18" t="inlineStr">
        <is>
          <t>淨利 +19.5
經常 ≈帳面｜營運 +26.2
一次: 待核實</t>
        </is>
      </c>
      <c r="Q124" s="16" t="inlineStr">
        <is>
          <t>EPS +4.83
(1 位分析師)</t>
        </is>
      </c>
      <c r="R124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24" s="16" t="inlineStr">
        <is>
          <t>營運利潤四季：+41.5 → +60.0 → +23.7 → +26.2；按年 +13%；剔除一次性後與帳面一致；營運利潤率 6.5%。</t>
        </is>
      </c>
      <c r="T124" s="16" t="inlineStr">
        <is>
          <t>營運利潤為正、帳面≈經常、按年未倒退 —— 盈利乾淨。　收入按年 +36.2%　淨利率 4.8%　淨利按年 +31%。</t>
        </is>
      </c>
      <c r="U124" s="20" t="inlineStr">
        <is>
          <t>A</t>
        </is>
      </c>
      <c r="V124" s="10" t="inlineStr">
        <is>
          <t>Q2-26</t>
        </is>
      </c>
    </row>
    <row r="125" ht="62" customHeight="1">
      <c r="A125" s="10" t="n">
        <v>124</v>
      </c>
      <c r="B125" s="11" t="inlineStr">
        <is>
          <t>HAL</t>
        </is>
      </c>
      <c r="C125" s="10" t="inlineStr">
        <is>
          <t>—</t>
        </is>
      </c>
      <c r="D125" s="12" t="inlineStr">
        <is>
          <t>Halliburton Company</t>
        </is>
      </c>
      <c r="E125" s="12" t="inlineStr">
        <is>
          <t>能源／Oil &amp; Gas Equipment &amp; Services</t>
        </is>
      </c>
      <c r="F125" s="13" t="inlineStr">
        <is>
          <t>USD</t>
        </is>
      </c>
      <c r="G125" s="14" t="inlineStr">
        <is>
          <t>Q3-25(25年9月) / Q4-25(25年12月) / Q1-26(26年3月) / Q2-26(26年6月)</t>
        </is>
      </c>
      <c r="H125" s="15" t="n">
        <v>5600</v>
      </c>
      <c r="I125" s="15" t="n">
        <v>5657</v>
      </c>
      <c r="J125" s="15" t="n">
        <v>5402</v>
      </c>
      <c r="K125" s="15" t="n">
        <v>5714</v>
      </c>
      <c r="L125" s="16" t="inlineStr">
        <is>
          <t>5,683M
按年 +0%
(18 位分析師)</t>
        </is>
      </c>
      <c r="M125" s="17" t="inlineStr">
        <is>
          <t>淨利 +18.0
經常 +327.7｜營運 +748.0
一次: -392.0 (稅影響 -82.3)</t>
        </is>
      </c>
      <c r="N125" s="17" t="inlineStr">
        <is>
          <t>淨利 +589.0
經常 +674.3｜營運 +829.0
一次: -92.0 (稅影響 -6.7)</t>
        </is>
      </c>
      <c r="O125" s="17" t="inlineStr">
        <is>
          <t>淨利 +461.0
經常 ≈帳面｜營運 +679.0
一次: 無重大</t>
        </is>
      </c>
      <c r="P125" s="18" t="inlineStr">
        <is>
          <t>淨利 +534.0
經常 +457.1｜營運 +683.0
一次: +95.0 (稅影響 +18.1)</t>
        </is>
      </c>
      <c r="Q125" s="16" t="inlineStr">
        <is>
          <t>EPS +0.64
按年 -7%
(20 位分析師)</t>
        </is>
      </c>
      <c r="R125" s="16" t="inlineStr">
        <is>
          <t>最新季一次性項目 +95.0（收益，令帳面好看），佔帳面淨利 18%。明細性質（資產出售／減值／訴訟／稅務）需查財報原文，本表只取金額，會否重複列「待核實」。</t>
        </is>
      </c>
      <c r="S125" s="16" t="inlineStr">
        <is>
          <t>營運利潤四季：+748.0 → +829.0 → +679.0 → +683.0；按年 -6%；剔除一次性後淨利 +457.1（帳面 +534.0，差 -76.9）；營運利潤率 12.0%。</t>
        </is>
      </c>
      <c r="T125" s="16" t="inlineStr">
        <is>
          <t>營運層面盈利，但帳面淨利含重大一次性項目，經常性口徑要另計。　收入按年 +3.7%　淨利率 9.3%　淨利按年 +13%。</t>
        </is>
      </c>
      <c r="U125" s="19" t="inlineStr">
        <is>
          <t>B</t>
        </is>
      </c>
      <c r="V125" s="10" t="inlineStr">
        <is>
          <t>Q2-26</t>
        </is>
      </c>
    </row>
    <row r="126" ht="62" customHeight="1">
      <c r="A126" s="10" t="n">
        <v>125</v>
      </c>
      <c r="B126" s="11" t="inlineStr">
        <is>
          <t>COKE</t>
        </is>
      </c>
      <c r="C126" s="10" t="inlineStr">
        <is>
          <t>—</t>
        </is>
      </c>
      <c r="D126" s="12" t="inlineStr">
        <is>
          <t>Coca-Cola Consolidated, Inc.</t>
        </is>
      </c>
      <c r="E126" s="12" t="inlineStr">
        <is>
          <t>必需消費／Beverages - Non-Alcoholic</t>
        </is>
      </c>
      <c r="F126" s="13" t="inlineStr">
        <is>
          <t>USD</t>
        </is>
      </c>
      <c r="G126" s="14" t="inlineStr">
        <is>
          <t>Q3-25(25年9月) / Q4-25(25年12月) / Q1-26(26年3月) / Q2-26(26年6月)</t>
        </is>
      </c>
      <c r="H126" s="15" t="n">
        <v>1888.3</v>
      </c>
      <c r="I126" s="15" t="n">
        <v>1904.2</v>
      </c>
      <c r="J126" s="15" t="n">
        <v>1846.7</v>
      </c>
      <c r="K126" s="15" t="n">
        <v>2052.4</v>
      </c>
      <c r="L126" s="16" t="inlineStr">
        <is>
          <t>無收入</t>
        </is>
      </c>
      <c r="M126" s="17" t="inlineStr">
        <is>
          <t>淨利 +142.3
經常 +178.9｜營運 +246.6
一次: -49.4 (稅影響 -12.8)</t>
        </is>
      </c>
      <c r="N126" s="17" t="inlineStr">
        <is>
          <t>淨利 +137.2
經常 +157.3｜營運 +242.1
一次: -27.4 (稅影響 -7.4)</t>
        </is>
      </c>
      <c r="O126" s="17" t="inlineStr">
        <is>
          <t>淨利 +111.6
經常 +151.0｜營運 +237.5
一次: -53.4 (稅影響 -14.0)</t>
        </is>
      </c>
      <c r="P126" s="18" t="inlineStr">
        <is>
          <t>淨利 +158.8
經常 +177.1｜營運 +271.3
一次: -24.7 (稅影響 -6.5)</t>
        </is>
      </c>
      <c r="Q126" s="16" t="inlineStr">
        <is>
          <t>—</t>
        </is>
      </c>
      <c r="R126" s="16" t="inlineStr">
        <is>
          <t>最新季一次性項目 -24.7（支出／減值，令帳面難看），佔帳面淨利 16%。明細性質（資產出售／減值／訴訟／稅務）需查財報原文，本表只取金額，會否重複列「待核實」。</t>
        </is>
      </c>
      <c r="S126" s="16" t="inlineStr">
        <is>
          <t>營運利潤四季：+246.6 → +242.1 → +237.5 → +271.3；按年 -0%；剔除一次性後淨利 +177.1（帳面 +158.8，差 +18.2）；營運利潤率 13.2%。</t>
        </is>
      </c>
      <c r="T126" s="16" t="inlineStr">
        <is>
          <t>營運層面盈利，但帳面淨利含重大一次性項目，經常性口徑要另計。　收入按年 +10.6%　淨利率 7.7%　淨利按年 -15%。</t>
        </is>
      </c>
      <c r="U126" s="19" t="inlineStr">
        <is>
          <t>B</t>
        </is>
      </c>
      <c r="V126" s="10" t="inlineStr">
        <is>
          <t>Q2-26</t>
        </is>
      </c>
    </row>
    <row r="127" ht="62" customHeight="1">
      <c r="A127" s="10" t="n">
        <v>126</v>
      </c>
      <c r="B127" s="11" t="inlineStr">
        <is>
          <t>BMNR</t>
        </is>
      </c>
      <c r="C127" s="10" t="inlineStr">
        <is>
          <t>—</t>
        </is>
      </c>
      <c r="D127" s="12" t="inlineStr">
        <is>
          <t>Bitmine Immersion Technologies, Inc.</t>
        </is>
      </c>
      <c r="E127" s="12" t="inlineStr">
        <is>
          <t>金融／Capital Markets</t>
        </is>
      </c>
      <c r="F127" s="13" t="inlineStr">
        <is>
          <t>USD</t>
        </is>
      </c>
      <c r="G127" s="14" t="inlineStr">
        <is>
          <t>Q3-25(25年8月) / Q4-25(25年11月) / Q1-26(26年2月) / Q2-26(26年5月)</t>
        </is>
      </c>
      <c r="H127" s="15" t="n">
        <v>1.3</v>
      </c>
      <c r="I127" s="15" t="n">
        <v>2.3</v>
      </c>
      <c r="J127" s="15" t="n">
        <v>11</v>
      </c>
      <c r="K127" s="15" t="n">
        <v>46.5</v>
      </c>
      <c r="L127" s="16" t="inlineStr">
        <is>
          <t>95M
按年 +4060%
(1 位分析師)
⚠口徑與財報不同</t>
        </is>
      </c>
      <c r="M127" s="17" t="inlineStr">
        <is>
          <t>淨利 +333.9
經常 +351.1｜營運 -360.3
一次: 無重大</t>
        </is>
      </c>
      <c r="N127" s="17" t="inlineStr">
        <is>
          <t>淨利 -5,204.1
經常 -5,359.4｜營運 -5,454.2
一次: +158.0 (稅影響 +2.7)</t>
        </is>
      </c>
      <c r="O127" s="17" t="inlineStr">
        <is>
          <t>淨利 -3,818.4
經常 -3,857.3｜營運 -3,862.1
一次: 無重大</t>
        </is>
      </c>
      <c r="P127" s="18" t="inlineStr">
        <is>
          <t>淨利 -83.6
經常 -8.0｜營運 -11.9
一次: -75.6</t>
        </is>
      </c>
      <c r="Q127" s="16" t="inlineStr">
        <is>
          <t>EPS +0.10
(1 位分析師)
⚠non-GAAP
(帳面仍虧損)</t>
        </is>
      </c>
      <c r="R127" s="16" t="inlineStr">
        <is>
          <t>最新季一次性項目 -75.6（支出／減值，令帳面難看），佔帳面淨利 90%。明細性質（資產出售／減值／訴訟／稅務）需查財報原文，本表只取金額，會否重複列「待核實」。</t>
        </is>
      </c>
      <c r="S127" s="16" t="inlineStr">
        <is>
          <t>營運利潤四季：-360.3 → -5,454.2 → -3,862.1 → -11.9；按年 -2435%；剔除一次性後淨利 -8.0（帳面 -83.6，差 +75.6）；營運利潤率 -25.5%。</t>
        </is>
      </c>
      <c r="T127" s="16" t="inlineStr">
        <is>
          <t>營運仍虧損，但四季軌跡收窄中。　收入按年 +2167.8%　淨利率 -179.6%　淨利按年 -13315%。</t>
        </is>
      </c>
      <c r="U127" s="22" t="inlineStr">
        <is>
          <t>C</t>
        </is>
      </c>
      <c r="V127" s="10" t="inlineStr">
        <is>
          <t>Q2-26</t>
        </is>
      </c>
    </row>
    <row r="128" ht="62" customHeight="1">
      <c r="A128" s="10" t="n">
        <v>127</v>
      </c>
      <c r="B128" s="11" t="inlineStr">
        <is>
          <t>DG</t>
        </is>
      </c>
      <c r="C128" s="10" t="inlineStr">
        <is>
          <t>—</t>
        </is>
      </c>
      <c r="D128" s="12" t="inlineStr">
        <is>
          <t>Dollar General Corporation</t>
        </is>
      </c>
      <c r="E128" s="12" t="inlineStr">
        <is>
          <t>必需消費／Discount Stores</t>
        </is>
      </c>
      <c r="F128" s="13" t="inlineStr">
        <is>
          <t>USD</t>
        </is>
      </c>
      <c r="G128" s="14" t="inlineStr">
        <is>
          <t>Q4-25(25年10月) / Q1-26(26年1月) / Q2-26(26年4月) / Q3-26(26年7月)</t>
        </is>
      </c>
      <c r="H128" s="15" t="n">
        <v>10649.5</v>
      </c>
      <c r="I128" s="15" t="n">
        <v>10911.2</v>
      </c>
      <c r="J128" s="15" t="n">
        <v>10787</v>
      </c>
      <c r="K128" s="15" t="n">
        <v>11290.4</v>
      </c>
      <c r="L128" s="16" t="inlineStr">
        <is>
          <t>11,325M
按年 +4%
(22 位分析師)</t>
        </is>
      </c>
      <c r="M128" s="17" t="inlineStr">
        <is>
          <t>淨利 +282.7
經常 ≈帳面｜營運 +425.9
一次: 待核實</t>
        </is>
      </c>
      <c r="N128" s="17" t="inlineStr">
        <is>
          <t>淨利 +426.3
經常 ≈帳面｜營運 +606.3
一次: 待核實</t>
        </is>
      </c>
      <c r="O128" s="17" t="inlineStr">
        <is>
          <t>淨利 +444.1
經常 ≈帳面｜營運 +638.5
一次: 待核實</t>
        </is>
      </c>
      <c r="P128" s="18" t="inlineStr">
        <is>
          <t>淨利 +550.3
經常 ≈帳面｜營運 +769.2
一次: 待核實</t>
        </is>
      </c>
      <c r="Q128" s="16" t="inlineStr">
        <is>
          <t>EPS +2.04
按年 +6%
(21 位分析師)</t>
        </is>
      </c>
      <c r="R12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28" s="16" t="inlineStr">
        <is>
          <t>營運利潤四季：+425.9 → +606.3 → +638.5 → +769.2；按年 +29%；剔除一次性後與帳面一致；營運利潤率 6.8%。</t>
        </is>
      </c>
      <c r="T128" s="16" t="inlineStr">
        <is>
          <t>營運利潤為正、帳面≈經常、按年未倒退 —— 盈利乾淨。　收入按年 +5.2%　淨利率 4.9%　淨利按年 +34%。</t>
        </is>
      </c>
      <c r="U128" s="20" t="inlineStr">
        <is>
          <t>A</t>
        </is>
      </c>
      <c r="V128" s="10" t="inlineStr">
        <is>
          <t>Q3-26</t>
        </is>
      </c>
    </row>
    <row r="129" ht="62" customHeight="1">
      <c r="A129" s="10" t="n">
        <v>128</v>
      </c>
      <c r="B129" s="11" t="inlineStr">
        <is>
          <t>ABAT</t>
        </is>
      </c>
      <c r="C129" s="10" t="inlineStr">
        <is>
          <t>—</t>
        </is>
      </c>
      <c r="D129" s="12" t="inlineStr">
        <is>
          <t>American Battery Technology Company</t>
        </is>
      </c>
      <c r="E129" s="12" t="inlineStr">
        <is>
          <t>工業／Waste Management</t>
        </is>
      </c>
      <c r="F129" s="13" t="inlineStr">
        <is>
          <t>USD</t>
        </is>
      </c>
      <c r="G129" s="14" t="inlineStr">
        <is>
          <t>Q2-25(25年6月) / Q3-25(25年9月) / Q4-25(25年12月) / Q1-26(26年3月)</t>
        </is>
      </c>
      <c r="H129" s="15" t="n">
        <v>2.8</v>
      </c>
      <c r="I129" s="15" t="n">
        <v>0.9</v>
      </c>
      <c r="J129" s="15" t="n">
        <v>4.8</v>
      </c>
      <c r="K129" s="15" t="n">
        <v>7.8</v>
      </c>
      <c r="L129" s="16" t="inlineStr">
        <is>
          <t>7M
(2 位分析師)</t>
        </is>
      </c>
      <c r="M129" s="17" t="inlineStr">
        <is>
          <t>淨利 -10.2
經常 -8.8｜營運 -7.8
一次: -1.4</t>
        </is>
      </c>
      <c r="N129" s="17" t="inlineStr">
        <is>
          <t>淨利 -10.3
經常 ≈帳面｜營運 -10.1
一次: 無重大</t>
        </is>
      </c>
      <c r="O129" s="17" t="inlineStr">
        <is>
          <t>淨利 -9.3
經常 ≈帳面｜營運 -9.9
一次: 無重大</t>
        </is>
      </c>
      <c r="P129" s="18" t="inlineStr">
        <is>
          <t>淨利 -33.8
經常 ≈帳面｜營運 -34.4
一次: 無重大</t>
        </is>
      </c>
      <c r="Q129" s="16" t="inlineStr">
        <is>
          <t>EPS -0.05
按年 +44%
(2 位分析師)</t>
        </is>
      </c>
      <c r="R129" s="16" t="inlineStr">
        <is>
          <t>無重大一次性項目（Yahoo「Total Unusual Items」為零或極小）；帳面淨利≈經常性淨利。</t>
        </is>
      </c>
      <c r="S129" s="16" t="inlineStr">
        <is>
          <t>營運利潤四季：-7.8 → -10.1 → -9.9 → -34.4；按年 -223%；剔除一次性後與帳面一致；營運利潤率 -440.5%。</t>
        </is>
      </c>
      <c r="T129" s="16" t="inlineStr">
        <is>
          <t>營運虧損且未見收窄。　收入按年 +697.1%　淨利率 -433.2%　淨利按年 -194%。</t>
        </is>
      </c>
      <c r="U129" s="21" t="inlineStr">
        <is>
          <t>D</t>
        </is>
      </c>
      <c r="V129" s="10" t="inlineStr">
        <is>
          <t>Q1-26</t>
        </is>
      </c>
    </row>
    <row r="130" ht="62" customHeight="1">
      <c r="A130" s="10" t="n">
        <v>129</v>
      </c>
      <c r="B130" s="11" t="inlineStr">
        <is>
          <t>IMMX</t>
        </is>
      </c>
      <c r="C130" s="10" t="inlineStr">
        <is>
          <t>—</t>
        </is>
      </c>
      <c r="D130" s="12" t="inlineStr">
        <is>
          <t>Immix Biopharma, Inc.</t>
        </is>
      </c>
      <c r="E130" s="12" t="inlineStr">
        <is>
          <t>醫療保健／Biotechnology</t>
        </is>
      </c>
      <c r="F130" s="13" t="inlineStr">
        <is>
          <t>USD</t>
        </is>
      </c>
      <c r="G130" s="14" t="inlineStr">
        <is>
          <t>Q3-25(25年9月) / Q4-25(25年12月) / Q1-26(26年3月) / Q2-26(26年6月)</t>
        </is>
      </c>
      <c r="H130" s="15" t="n">
        <v>0</v>
      </c>
      <c r="I130" s="15" t="n">
        <v>0</v>
      </c>
      <c r="J130" s="15" t="n">
        <v>0</v>
      </c>
      <c r="K130" s="15" t="n">
        <v>0</v>
      </c>
      <c r="L130" s="16" t="inlineStr">
        <is>
          <t>無收入
(4 位分析師)</t>
        </is>
      </c>
      <c r="M130" s="17" t="inlineStr">
        <is>
          <t>淨利 -7.6
經常 ≈帳面｜營運 -7.7
一次: 待核實</t>
        </is>
      </c>
      <c r="N130" s="17" t="inlineStr">
        <is>
          <t>淨利 -10.7
經常 ≈帳面｜營運 -10.9
一次: 待核實</t>
        </is>
      </c>
      <c r="O130" s="17" t="inlineStr">
        <is>
          <t>淨利 -10.1
經常 ≈帳面｜營運 -10.8
一次: 待核實</t>
        </is>
      </c>
      <c r="P130" s="18" t="inlineStr">
        <is>
          <t>淨利 -11.6
經常 ≈帳面｜營運 -12.5
一次: 待核實</t>
        </is>
      </c>
      <c r="Q130" s="16" t="inlineStr">
        <is>
          <t>EPS -0.20
按年 +30%
(7 位分析師)</t>
        </is>
      </c>
      <c r="R13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30" s="16" t="inlineStr">
        <is>
          <t>營運利潤四季：-7.7 → -10.9 → -10.8 → -12.5；按年 -85%；剔除一次性後與帳面一致。</t>
        </is>
      </c>
      <c r="T130" s="16" t="inlineStr">
        <is>
          <t>營運虧損且未見收窄。　淨利按年 -75%。</t>
        </is>
      </c>
      <c r="U130" s="21" t="inlineStr">
        <is>
          <t>D</t>
        </is>
      </c>
      <c r="V130" s="10" t="inlineStr">
        <is>
          <t>Q2-26</t>
        </is>
      </c>
    </row>
    <row r="131" ht="62" customHeight="1">
      <c r="A131" s="10" t="n">
        <v>130</v>
      </c>
      <c r="B131" s="11" t="inlineStr">
        <is>
          <t>PAHC</t>
        </is>
      </c>
      <c r="C131" s="10" t="inlineStr">
        <is>
          <t>—</t>
        </is>
      </c>
      <c r="D131" s="12" t="inlineStr">
        <is>
          <t>Phibro Animal Health Corporation</t>
        </is>
      </c>
      <c r="E131" s="12" t="inlineStr">
        <is>
          <t xml:space="preserve">醫療保健／Drug Manufacturers - Specialty &amp; </t>
        </is>
      </c>
      <c r="F131" s="13" t="inlineStr">
        <is>
          <t>USD</t>
        </is>
      </c>
      <c r="G131" s="14" t="inlineStr">
        <is>
          <t>Q3-25(25年9月) / Q4-25(25年12月) / Q1-26(26年3月) / Q2-26(26年6月)</t>
        </is>
      </c>
      <c r="H131" s="15" t="n">
        <v>363.9</v>
      </c>
      <c r="I131" s="15" t="n">
        <v>373.9</v>
      </c>
      <c r="J131" s="15" t="n">
        <v>383.5</v>
      </c>
      <c r="K131" s="15" t="n">
        <v>396.7</v>
      </c>
      <c r="L131" s="16" t="inlineStr">
        <is>
          <t>393M
按年 +5%
(2 位分析師)</t>
        </is>
      </c>
      <c r="M131" s="17" t="inlineStr">
        <is>
          <t>淨利 +26.5
經常 +28.7｜營運 +51.3
一次: -2.9 (稅影響 -0.8)</t>
        </is>
      </c>
      <c r="N131" s="17" t="inlineStr">
        <is>
          <t>淨利 +27.5
經常 +29.1｜營運 +50.3
一次: -2.1 (稅影響 -0.5)</t>
        </is>
      </c>
      <c r="O131" s="17" t="inlineStr">
        <is>
          <t>淨利 +24.0
經常 +25.4｜營運 +44.7
一次: -1.9 (稅影響 -0.5)</t>
        </is>
      </c>
      <c r="P131" s="18" t="inlineStr">
        <is>
          <t>淨利 +21.7
經常 +25.5｜營運 +48.2
一次: -5.6 (稅影響 -1.9)</t>
        </is>
      </c>
      <c r="Q131" s="16" t="inlineStr">
        <is>
          <t>EPS +0.97
按年 +11%
(3 位分析師)</t>
        </is>
      </c>
      <c r="R131" s="16" t="inlineStr">
        <is>
          <t>最新季一次性項目 -5.6（支出／減值，令帳面難看），佔帳面淨利 26%。明細性質（資產出售／減值／訴訟／稅務）需查財報原文，本表只取金額，會否重複列「待核實」。</t>
        </is>
      </c>
      <c r="S131" s="16" t="inlineStr">
        <is>
          <t>營運利潤四季：+51.3 → +50.3 → +44.7 → +48.2；按年 +43%；剔除一次性後淨利 +25.5（帳面 +21.7，差 +3.8）；營運利潤率 12.1%。</t>
        </is>
      </c>
      <c r="T131" s="16" t="inlineStr">
        <is>
          <t>營運層面盈利，但帳面淨利含重大一次性項目，經常性口徑要另計。　收入按年 +4.8%　淨利率 5.5%　淨利按年 +26%。</t>
        </is>
      </c>
      <c r="U131" s="19" t="inlineStr">
        <is>
          <t>B</t>
        </is>
      </c>
      <c r="V131" s="10" t="inlineStr">
        <is>
          <t>Q2-26</t>
        </is>
      </c>
    </row>
    <row r="132" ht="62" customHeight="1">
      <c r="A132" s="10" t="n">
        <v>131</v>
      </c>
      <c r="B132" s="11" t="inlineStr">
        <is>
          <t>OII</t>
        </is>
      </c>
      <c r="C132" s="10" t="inlineStr">
        <is>
          <t>—</t>
        </is>
      </c>
      <c r="D132" s="12" t="inlineStr">
        <is>
          <t>Oceaneering International, Inc.</t>
        </is>
      </c>
      <c r="E132" s="12" t="inlineStr">
        <is>
          <t>能源／Oil &amp; Gas Equipment &amp; Services</t>
        </is>
      </c>
      <c r="F132" s="13" t="inlineStr">
        <is>
          <t>USD</t>
        </is>
      </c>
      <c r="G132" s="14" t="inlineStr">
        <is>
          <t>Q3-25(25年9月) / Q4-25(25年12月) / Q1-26(26年3月) / Q2-26(26年6月)</t>
        </is>
      </c>
      <c r="H132" s="15" t="n">
        <v>742.9</v>
      </c>
      <c r="I132" s="15" t="n">
        <v>668.6</v>
      </c>
      <c r="J132" s="15" t="n">
        <v>692.4</v>
      </c>
      <c r="K132" s="15" t="n">
        <v>768.2</v>
      </c>
      <c r="L132" s="16" t="inlineStr">
        <is>
          <t>718M
按年 +7%
(3 位分析師)</t>
        </is>
      </c>
      <c r="M132" s="17" t="inlineStr">
        <is>
          <t>淨利 +71.3
經常 ≈帳面｜營運 +86.5
一次: 待核實</t>
        </is>
      </c>
      <c r="N132" s="17" t="inlineStr">
        <is>
          <t>淨利 +177.7
經常 ≈帳面｜營運 +65.4
一次: 待核實</t>
        </is>
      </c>
      <c r="O132" s="17" t="inlineStr">
        <is>
          <t>淨利 +36.1
經常 ≈帳面｜營運 +57.8
一次: 待核實</t>
        </is>
      </c>
      <c r="P132" s="18" t="inlineStr">
        <is>
          <t>淨利 +65.0
經常 ≈帳面｜營運 +88.2
一次: 待核實</t>
        </is>
      </c>
      <c r="Q132" s="16" t="inlineStr">
        <is>
          <t>EPS +0.50
按年 +11%
(3 位分析師)</t>
        </is>
      </c>
      <c r="R13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32" s="16" t="inlineStr">
        <is>
          <t>營運利潤四季：+86.5 → +65.4 → +57.8 → +88.2；按年 +11%；剔除一次性後與帳面一致；營運利潤率 11.5%。</t>
        </is>
      </c>
      <c r="T132" s="16" t="inlineStr">
        <is>
          <t>營運利潤為正、帳面≈經常、按年未倒退 —— 盈利乾淨。　收入按年 +10.0%　淨利率 8.5%　淨利按年 +19%。</t>
        </is>
      </c>
      <c r="U132" s="20" t="inlineStr">
        <is>
          <t>A</t>
        </is>
      </c>
      <c r="V132" s="10" t="inlineStr">
        <is>
          <t>Q2-26</t>
        </is>
      </c>
    </row>
    <row r="133" ht="62" customHeight="1">
      <c r="A133" s="10" t="n">
        <v>132</v>
      </c>
      <c r="B133" s="11" t="inlineStr">
        <is>
          <t>NUE</t>
        </is>
      </c>
      <c r="C133" s="10" t="inlineStr">
        <is>
          <t>—</t>
        </is>
      </c>
      <c r="D133" s="12" t="inlineStr">
        <is>
          <t>Nucor Corporation</t>
        </is>
      </c>
      <c r="E133" s="12" t="inlineStr">
        <is>
          <t>原材料／Steel</t>
        </is>
      </c>
      <c r="F133" s="13" t="inlineStr">
        <is>
          <t>USD</t>
        </is>
      </c>
      <c r="G133" s="14" t="inlineStr">
        <is>
          <t>Q3-25(25年9月) / Q4-25(25年12月) / Q1-26(26年3月) / Q2-26(26年6月)</t>
        </is>
      </c>
      <c r="H133" s="15" t="n">
        <v>8521</v>
      </c>
      <c r="I133" s="15" t="n">
        <v>7687</v>
      </c>
      <c r="J133" s="15" t="n">
        <v>9496</v>
      </c>
      <c r="K133" s="15" t="n">
        <v>10397</v>
      </c>
      <c r="L133" s="16" t="inlineStr">
        <is>
          <t>9,624M
按年 +25%
(9 位分析師)</t>
        </is>
      </c>
      <c r="M133" s="17" t="inlineStr">
        <is>
          <t>淨利 +605.0
經常 ≈帳面｜營運 +888.0
一次: 無重大</t>
        </is>
      </c>
      <c r="N133" s="17" t="inlineStr">
        <is>
          <t>淨利 +376.0
經常 +400.8｜營運 +528.0
一次: -27.0 (稅影響 -4.2)</t>
        </is>
      </c>
      <c r="O133" s="17" t="inlineStr">
        <is>
          <t>淨利 +740.0
經常 +754.9｜營運 +1,123.0
一次: -15.0 (稅影響 -3.1)</t>
        </is>
      </c>
      <c r="P133" s="18" t="inlineStr">
        <is>
          <t>淨利 +1,152.0
經常 ≈帳面｜營運 +1,629.0
一次: 無重大</t>
        </is>
      </c>
      <c r="Q133" s="16" t="inlineStr">
        <is>
          <t>EPS +4.92
按年 +185%
(7 位分析師)</t>
        </is>
      </c>
      <c r="R133" s="16" t="inlineStr">
        <is>
          <t>無重大一次性項目（Yahoo「Total Unusual Items」為零或極小）；帳面淨利≈經常性淨利。</t>
        </is>
      </c>
      <c r="S133" s="16" t="inlineStr">
        <is>
          <t>營運利潤四季：+888.0 → +528.0 → +1,123.0 → +1,629.0；按年 +77%；剔除一次性後淨利 +1,156.0（帳面 +1,152.0，差 +4.0）；營運利潤率 15.7%。</t>
        </is>
      </c>
      <c r="T133" s="16" t="inlineStr">
        <is>
          <t>營運利潤為正、帳面≈經常、按年未倒退 —— 盈利乾淨。　收入按年 +23.0%　淨利率 11.1%　淨利按年 +92%。</t>
        </is>
      </c>
      <c r="U133" s="20" t="inlineStr">
        <is>
          <t>A</t>
        </is>
      </c>
      <c r="V133" s="10" t="inlineStr">
        <is>
          <t>Q2-26</t>
        </is>
      </c>
    </row>
    <row r="134" ht="62" customHeight="1">
      <c r="A134" s="10" t="n">
        <v>133</v>
      </c>
      <c r="B134" s="11" t="inlineStr">
        <is>
          <t>TALO</t>
        </is>
      </c>
      <c r="C134" s="10" t="inlineStr">
        <is>
          <t>—</t>
        </is>
      </c>
      <c r="D134" s="12" t="inlineStr">
        <is>
          <t>Talos Energy Inc.</t>
        </is>
      </c>
      <c r="E134" s="12" t="inlineStr">
        <is>
          <t>能源／Oil &amp; Gas E&amp;P</t>
        </is>
      </c>
      <c r="F134" s="13" t="inlineStr">
        <is>
          <t>USD</t>
        </is>
      </c>
      <c r="G134" s="14" t="inlineStr">
        <is>
          <t>Q3-25(25年9月) / Q4-25(25年12月) / Q1-26(26年3月) / Q2-26(26年6月)</t>
        </is>
      </c>
      <c r="H134" s="15" t="n">
        <v>450.1</v>
      </c>
      <c r="I134" s="15" t="n">
        <v>392.2</v>
      </c>
      <c r="J134" s="15" t="n">
        <v>472.3</v>
      </c>
      <c r="K134" s="15" t="n">
        <v>664.8</v>
      </c>
      <c r="L134" s="16" t="inlineStr">
        <is>
          <t>592M
按年 +51%
(7 位分析師)</t>
        </is>
      </c>
      <c r="M134" s="17" t="inlineStr">
        <is>
          <t>淨利 -95.9
經常 -51.2｜營運 -26.0
一次: -56.0 (稅影響 -11.3)</t>
        </is>
      </c>
      <c r="N134" s="17" t="inlineStr">
        <is>
          <t>淨利 -202.6
經常 -89.4｜營運 -73.6
一次: -140.2 (稅影響 -26.9)</t>
        </is>
      </c>
      <c r="O134" s="17" t="inlineStr">
        <is>
          <t>淨利 -256.2
經常 -2.3｜營運 +25.6
一次: -318.6 (稅影響 -64.7)</t>
        </is>
      </c>
      <c r="P134" s="18" t="inlineStr">
        <is>
          <t>淨利 +149.7
經常 +126.1｜營運 +198.2
一次: +30.5 (稅影響 +7.0)</t>
        </is>
      </c>
      <c r="Q134" s="16" t="inlineStr">
        <is>
          <t>EPS +0.48
按年 +208%
(8 位分析師)</t>
        </is>
      </c>
      <c r="R134" s="16" t="inlineStr">
        <is>
          <t>最新季一次性項目 +30.5（收益，令帳面好看），佔帳面淨利 20%。明細性質（資產出售／減值／訴訟／稅務）需查財報原文，本表只取金額，會否重複列「待核實」。</t>
        </is>
      </c>
      <c r="S134" s="16" t="inlineStr">
        <is>
          <t>營運利潤四季：-26.0 → -73.6 → +25.6 → +198.2；按年 +499%；剔除一次性後淨利 +126.1（帳面 +149.7，差 -23.5）；營運利潤率 29.8%。</t>
        </is>
      </c>
      <c r="T134" s="16" t="inlineStr">
        <is>
          <t>營運層面盈利，但帳面淨利含重大一次性項目，經常性口徑要另計。　收入按年 +56.5%　淨利率 22.5%　淨利按年 +180%。</t>
        </is>
      </c>
      <c r="U134" s="19" t="inlineStr">
        <is>
          <t>B</t>
        </is>
      </c>
      <c r="V134" s="10" t="inlineStr">
        <is>
          <t>Q2-26</t>
        </is>
      </c>
    </row>
    <row r="135" ht="62" customHeight="1">
      <c r="A135" s="10" t="n">
        <v>134</v>
      </c>
      <c r="B135" s="11" t="inlineStr">
        <is>
          <t>PESI</t>
        </is>
      </c>
      <c r="C135" s="10" t="inlineStr">
        <is>
          <t>—</t>
        </is>
      </c>
      <c r="D135" s="12" t="inlineStr">
        <is>
          <t>Perma-Fix Environmental Services, Inc.</t>
        </is>
      </c>
      <c r="E135" s="12" t="inlineStr">
        <is>
          <t>工業／Waste Management</t>
        </is>
      </c>
      <c r="F135" s="13" t="inlineStr">
        <is>
          <t>USD</t>
        </is>
      </c>
      <c r="G135" s="14" t="inlineStr">
        <is>
          <t>Q3-25(25年9月) / Q4-25(25年12月) / Q1-26(26年3月) / Q2-26(26年6月)</t>
        </is>
      </c>
      <c r="H135" s="15" t="n">
        <v>17.5</v>
      </c>
      <c r="I135" s="15" t="n">
        <v>15.7</v>
      </c>
      <c r="J135" s="15" t="n">
        <v>11.1</v>
      </c>
      <c r="K135" s="15" t="n">
        <v>12.9</v>
      </c>
      <c r="L135" s="16" t="inlineStr">
        <is>
          <t>19M
按年 +21%
(1 位分析師)
⚠口徑與財報不同</t>
        </is>
      </c>
      <c r="M135" s="17" t="inlineStr">
        <is>
          <t>淨利 -1.8
經常 ≈帳面｜營運 -1.9
一次: 無重大</t>
        </is>
      </c>
      <c r="N135" s="17" t="inlineStr">
        <is>
          <t>淨利 -5.7
經常 -2.8｜營運 -3.2
一次: 無重大</t>
        </is>
      </c>
      <c r="O135" s="17" t="inlineStr">
        <is>
          <t>淨利 -7.5
經常 -7.4｜營運 -7.5
一次: 無重大</t>
        </is>
      </c>
      <c r="P135" s="18" t="inlineStr">
        <is>
          <t>淨利 -6.2
經常 ≈帳面｜營運 -6.5
一次: 無重大</t>
        </is>
      </c>
      <c r="Q135" s="16" t="inlineStr">
        <is>
          <t>EPS -0.07
按年 +53%
(1 位分析師)</t>
        </is>
      </c>
      <c r="R135" s="16" t="inlineStr">
        <is>
          <t>無重大一次性項目（Yahoo「Total Unusual Items」為零或極小）；帳面淨利≈經常性淨利。</t>
        </is>
      </c>
      <c r="S135" s="16" t="inlineStr">
        <is>
          <t>營運利潤四季：-1.9 → -3.2 → -7.5 → -6.5；按年 -125%；剔除一次性後與帳面一致；營運利潤率 -50.5%。</t>
        </is>
      </c>
      <c r="T135" s="16" t="inlineStr">
        <is>
          <t>營運虧損且未見收窄。　收入按年 -11.7%　淨利率 -48.1%　淨利按年 -128%。</t>
        </is>
      </c>
      <c r="U135" s="21" t="inlineStr">
        <is>
          <t>D</t>
        </is>
      </c>
      <c r="V135" s="10" t="inlineStr">
        <is>
          <t>Q2-26</t>
        </is>
      </c>
    </row>
    <row r="136" ht="62" customHeight="1">
      <c r="A136" s="10" t="n">
        <v>135</v>
      </c>
      <c r="B136" s="11" t="inlineStr">
        <is>
          <t>DBX</t>
        </is>
      </c>
      <c r="C136" s="10" t="inlineStr">
        <is>
          <t>—</t>
        </is>
      </c>
      <c r="D136" s="12" t="inlineStr">
        <is>
          <t>Dropbox, Inc.</t>
        </is>
      </c>
      <c r="E136" s="12" t="inlineStr">
        <is>
          <t>科技／Software - Infrastructure</t>
        </is>
      </c>
      <c r="F136" s="13" t="inlineStr">
        <is>
          <t>USD</t>
        </is>
      </c>
      <c r="G136" s="14" t="inlineStr">
        <is>
          <t>Q3-25(25年9月) / Q4-25(25年12月) / Q1-26(26年3月) / Q2-26(26年6月)</t>
        </is>
      </c>
      <c r="H136" s="15" t="n">
        <v>634.4</v>
      </c>
      <c r="I136" s="15" t="n">
        <v>636.2</v>
      </c>
      <c r="J136" s="15" t="n">
        <v>629.5</v>
      </c>
      <c r="K136" s="15" t="n">
        <v>631.5</v>
      </c>
      <c r="L136" s="16" t="inlineStr">
        <is>
          <t>628M
按年 -1%
(6 位分析師)</t>
        </is>
      </c>
      <c r="M136" s="17" t="inlineStr">
        <is>
          <t>淨利 +123.8
經常 ≈帳面｜營運 +174.7
一次: 待核實</t>
        </is>
      </c>
      <c r="N136" s="17" t="inlineStr">
        <is>
          <t>淨利 +108.7
經常 +105.7｜營運 +158.3
一次: +3.9 (稅影響 +0.9)</t>
        </is>
      </c>
      <c r="O136" s="17" t="inlineStr">
        <is>
          <t>淨利 +114.5
經常 ≈帳面｜營運 +172.8
一次: 待核實</t>
        </is>
      </c>
      <c r="P136" s="18" t="inlineStr">
        <is>
          <t>淨利 +95.8
經常 ≈帳面｜營運 +164.8
一次: 待核實</t>
        </is>
      </c>
      <c r="Q136" s="16" t="inlineStr">
        <is>
          <t>EPS +0.82
按年 +21%
(6 位分析師)</t>
        </is>
      </c>
      <c r="R136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36" s="16" t="inlineStr">
        <is>
          <t>營運利潤四季：+174.7 → +158.3 → +172.8 → +164.8；按年 -4%；剔除一次性後與帳面一致；營運利潤率 26.1%。</t>
        </is>
      </c>
      <c r="T136" s="16" t="inlineStr">
        <is>
          <t>營運利潤為正但按年倒退，盈利仍在但動能轉弱。　收入按年 +0.9%　淨利率 15.2%　淨利按年 -24%。</t>
        </is>
      </c>
      <c r="U136" s="19" t="inlineStr">
        <is>
          <t>B</t>
        </is>
      </c>
      <c r="V136" s="10" t="inlineStr">
        <is>
          <t>Q2-26</t>
        </is>
      </c>
    </row>
    <row r="137" ht="62" customHeight="1">
      <c r="A137" s="10" t="n">
        <v>136</v>
      </c>
      <c r="B137" s="11" t="inlineStr">
        <is>
          <t>BILL</t>
        </is>
      </c>
      <c r="C137" s="10" t="inlineStr">
        <is>
          <t>—</t>
        </is>
      </c>
      <c r="D137" s="12" t="inlineStr">
        <is>
          <t>BILL Holdings, Inc.</t>
        </is>
      </c>
      <c r="E137" s="12" t="inlineStr">
        <is>
          <t>科技／Software - Application</t>
        </is>
      </c>
      <c r="F137" s="13" t="inlineStr">
        <is>
          <t>USD</t>
        </is>
      </c>
      <c r="G137" s="14" t="inlineStr">
        <is>
          <t>Q3-25(25年9月) / Q4-25(25年12月) / Q1-26(26年3月) / Q2-26(26年6月)</t>
        </is>
      </c>
      <c r="H137" s="15" t="n">
        <v>395.7</v>
      </c>
      <c r="I137" s="15" t="n">
        <v>414.7</v>
      </c>
      <c r="J137" s="15" t="n">
        <v>406.6</v>
      </c>
      <c r="K137" s="15" t="n">
        <v>436.2</v>
      </c>
      <c r="L137" s="16" t="inlineStr">
        <is>
          <t>453M
按年 +9%
(15 位分析師)</t>
        </is>
      </c>
      <c r="M137" s="17" t="inlineStr">
        <is>
          <t>淨利 -3.0
經常 +4.0｜營運 -11.8
一次: -8.9 (稅影響 -1.9)</t>
        </is>
      </c>
      <c r="N137" s="17" t="inlineStr">
        <is>
          <t>淨利 -2.6
經常 -2.3｜營運 -17.7
一次: 無重大</t>
        </is>
      </c>
      <c r="O137" s="17" t="inlineStr">
        <is>
          <t>淨利 +12.8
經常 +17.2｜營運 +4.6
一次: -5.0 (稅影響 -0.7)</t>
        </is>
      </c>
      <c r="P137" s="18" t="inlineStr">
        <is>
          <t>淨利 -18.5
經常 +52.2｜營運 +42.3
一次: -76.6 (稅影響 -5.9)</t>
        </is>
      </c>
      <c r="Q137" s="16" t="inlineStr">
        <is>
          <t>EPS +0.89
按年 +39%
(18 位分析師)
⚠non-GAAP
(帳面仍虧損)</t>
        </is>
      </c>
      <c r="R137" s="16" t="inlineStr">
        <is>
          <t>最新季一次性項目 -76.6（支出／減值，令帳面難看），佔帳面淨利 414%。明細性質（資產出售／減值／訴訟／稅務）需查財報原文，本表只取金額，會否重複列「待核實」。</t>
        </is>
      </c>
      <c r="S137" s="16" t="inlineStr">
        <is>
          <t>營運利潤四季：-11.8 → -17.7 → +4.6 → +42.3；按年 +290%；剔除一次性後淨利 +52.2（帳面 -18.5，差 +70.6）；營運利潤率 9.7%。</t>
        </is>
      </c>
      <c r="T137" s="16" t="inlineStr">
        <is>
          <t>營運層面盈利，但帳面淨利含重大一次性項目，經常性口徑要另計。　收入按年 +13.8%　淨利率 -4.2%　淨利按年 -161%。</t>
        </is>
      </c>
      <c r="U137" s="19" t="inlineStr">
        <is>
          <t>B</t>
        </is>
      </c>
      <c r="V137" s="10" t="inlineStr">
        <is>
          <t>Q2-26</t>
        </is>
      </c>
    </row>
    <row r="138" ht="62" customHeight="1">
      <c r="A138" s="10" t="n">
        <v>137</v>
      </c>
      <c r="B138" s="11" t="inlineStr">
        <is>
          <t>OSPN</t>
        </is>
      </c>
      <c r="C138" s="10" t="inlineStr">
        <is>
          <t>—</t>
        </is>
      </c>
      <c r="D138" s="12" t="inlineStr">
        <is>
          <t>OneSpan Inc.</t>
        </is>
      </c>
      <c r="E138" s="12" t="inlineStr">
        <is>
          <t>科技／Software - Infrastructure</t>
        </is>
      </c>
      <c r="F138" s="13" t="inlineStr">
        <is>
          <t>USD</t>
        </is>
      </c>
      <c r="G138" s="14" t="inlineStr">
        <is>
          <t>Q3-25(25年9月) / Q4-25(25年12月) / Q1-26(26年3月) / Q2-26(26年6月)</t>
        </is>
      </c>
      <c r="H138" s="15" t="n">
        <v>57.1</v>
      </c>
      <c r="I138" s="15" t="n">
        <v>62.9</v>
      </c>
      <c r="J138" s="15" t="n">
        <v>65.90000000000001</v>
      </c>
      <c r="K138" s="15" t="n">
        <v>60.5</v>
      </c>
      <c r="L138" s="16" t="inlineStr">
        <is>
          <t>66M
按年 +5%
(5 位分析師)</t>
        </is>
      </c>
      <c r="M138" s="17" t="inlineStr">
        <is>
          <t>淨利 +6.5
經常 +7.1｜營運 +8.9
一次: 無重大</t>
        </is>
      </c>
      <c r="N138" s="17" t="inlineStr">
        <is>
          <t>淨利 +43.5
經常 +43.9｜營運 +13.0
一次: 無重大</t>
        </is>
      </c>
      <c r="O138" s="17" t="inlineStr">
        <is>
          <t>淨利 +11.6
經常 +11.8｜營運 +15.1
一次: 無重大</t>
        </is>
      </c>
      <c r="P138" s="18" t="inlineStr">
        <is>
          <t>淨利 +6.8
經常 ≈帳面｜營運 +8.8
一次: 無重大</t>
        </is>
      </c>
      <c r="Q138" s="16" t="inlineStr">
        <is>
          <t>EPS +0.32
按年 -12%
(5 位分析師)</t>
        </is>
      </c>
      <c r="R138" s="16" t="inlineStr">
        <is>
          <t>無重大一次性項目（Yahoo「Total Unusual Items」為零或極小）；帳面淨利≈經常性淨利。</t>
        </is>
      </c>
      <c r="S138" s="16" t="inlineStr">
        <is>
          <t>營運利潤四季：+8.9 → +13.0 → +15.1 → +8.8；按年 -17%；剔除一次性後與帳面一致；營運利潤率 14.5%。</t>
        </is>
      </c>
      <c r="T138" s="16" t="inlineStr">
        <is>
          <t>營運利潤為正但按年倒退，盈利仍在但動能轉弱。　收入按年 +1.0%　淨利率 11.2%　淨利按年 -19%。</t>
        </is>
      </c>
      <c r="U138" s="19" t="inlineStr">
        <is>
          <t>B</t>
        </is>
      </c>
      <c r="V138" s="10" t="inlineStr">
        <is>
          <t>Q2-26</t>
        </is>
      </c>
    </row>
    <row r="139" ht="62" customHeight="1">
      <c r="A139" s="10" t="n">
        <v>138</v>
      </c>
      <c r="B139" s="11" t="inlineStr">
        <is>
          <t>ESTC</t>
        </is>
      </c>
      <c r="C139" s="10" t="inlineStr">
        <is>
          <t>—</t>
        </is>
      </c>
      <c r="D139" s="12" t="inlineStr">
        <is>
          <t>Elastic N.V.</t>
        </is>
      </c>
      <c r="E139" s="12" t="inlineStr">
        <is>
          <t>科技／Software - Application</t>
        </is>
      </c>
      <c r="F139" s="13" t="inlineStr">
        <is>
          <t>USD</t>
        </is>
      </c>
      <c r="G139" s="14" t="inlineStr">
        <is>
          <t>Q4-25(25年10月) / Q1-26(26年1月) / Q2-26(26年4月) / Q3-26(26年7月)</t>
        </is>
      </c>
      <c r="H139" s="15" t="n">
        <v>423.5</v>
      </c>
      <c r="I139" s="15" t="n">
        <v>449.9</v>
      </c>
      <c r="J139" s="15" t="n">
        <v>450.7</v>
      </c>
      <c r="K139" s="15" t="n">
        <v>478.1</v>
      </c>
      <c r="L139" s="16" t="inlineStr">
        <is>
          <t>518M
按年 +15%
(24 位分析師)</t>
        </is>
      </c>
      <c r="M139" s="17" t="inlineStr">
        <is>
          <t>淨利 -51.3
經常 ≈帳面｜營運 -8.2
一次: 無重大</t>
        </is>
      </c>
      <c r="N139" s="17" t="inlineStr">
        <is>
          <t>淨利 +7.8
經常 ≈帳面｜營運 +0.6
一次: 無重大</t>
        </is>
      </c>
      <c r="O139" s="17" t="inlineStr">
        <is>
          <t>淨利 +435.9
經常 ≈帳面｜營運 -16.4
一次: 無重大</t>
        </is>
      </c>
      <c r="P139" s="18" t="inlineStr">
        <is>
          <t>淨利 -16.7
經常 +2.6｜營運 -3.7
一次: -19.9 (稅影響 -0.6)</t>
        </is>
      </c>
      <c r="Q139" s="16" t="inlineStr">
        <is>
          <t>EPS +0.95
按年 +31%
(27 位分析師)
⚠non-GAAP
(帳面仍虧損)</t>
        </is>
      </c>
      <c r="R139" s="16" t="inlineStr">
        <is>
          <t>最新季一次性項目 -19.9（支出／減值，令帳面難看），佔帳面淨利 119%。明細性質（資產出售／減值／訴訟／稅務）需查財報原文，本表只取金額，會否重複列「待核實」。</t>
        </is>
      </c>
      <c r="S139" s="16" t="inlineStr">
        <is>
          <t>營運利潤四季：-8.2 → +0.6 → -16.4 → -3.7；按年 +61%；剔除一次性後淨利 +2.6（帳面 -16.7，差 +19.3）；營運利潤率 -0.8%。</t>
        </is>
      </c>
      <c r="T139" s="16" t="inlineStr">
        <is>
          <t>營運仍虧損，但四季軌跡收窄中。　收入按年 +15.1%　淨利率 -3.5%　淨利按年 +32%。</t>
        </is>
      </c>
      <c r="U139" s="22" t="inlineStr">
        <is>
          <t>C</t>
        </is>
      </c>
      <c r="V139" s="10" t="inlineStr">
        <is>
          <t>Q3-26</t>
        </is>
      </c>
    </row>
    <row r="140" ht="62" customHeight="1">
      <c r="A140" s="10" t="n">
        <v>139</v>
      </c>
      <c r="B140" s="11" t="inlineStr">
        <is>
          <t>ADM</t>
        </is>
      </c>
      <c r="C140" s="10" t="inlineStr">
        <is>
          <t>—</t>
        </is>
      </c>
      <c r="D140" s="12" t="inlineStr">
        <is>
          <t>Archer-Daniels-Midland Company</t>
        </is>
      </c>
      <c r="E140" s="12" t="inlineStr">
        <is>
          <t>必需消費／Farm Products</t>
        </is>
      </c>
      <c r="F140" s="13" t="inlineStr">
        <is>
          <t>USD</t>
        </is>
      </c>
      <c r="G140" s="14" t="inlineStr">
        <is>
          <t>Q3-25(25年9月) / Q4-25(25年12月) / Q1-26(26年3月) / Q2-26(26年6月)</t>
        </is>
      </c>
      <c r="H140" s="15" t="n">
        <v>20372</v>
      </c>
      <c r="I140" s="15" t="n">
        <v>18556</v>
      </c>
      <c r="J140" s="15" t="n">
        <v>20490</v>
      </c>
      <c r="K140" s="15" t="n">
        <v>22681</v>
      </c>
      <c r="L140" s="16" t="inlineStr">
        <is>
          <t>22,511M
按年 +21%
(4 位分析師)</t>
        </is>
      </c>
      <c r="M140" s="17" t="inlineStr">
        <is>
          <t>淨利 +108.0
經常 +256.9｜營運 +397.0
一次: -199.0 (稅影響 -50.1)</t>
        </is>
      </c>
      <c r="N140" s="17" t="inlineStr">
        <is>
          <t>淨利 +456.0
經常 +502.7｜營運 +320.0
一次: -49.0 (稅影響 -2.3)</t>
        </is>
      </c>
      <c r="O140" s="17" t="inlineStr">
        <is>
          <t>淨利 +298.0
經常 +274.3｜營運 +261.0
一次: +30.0 (稅影響 +6.3)</t>
        </is>
      </c>
      <c r="P140" s="18" t="inlineStr">
        <is>
          <t>淨利 +908.0
經常 +896.3｜營運 +909.0
一次: 無重大</t>
        </is>
      </c>
      <c r="Q140" s="16" t="inlineStr">
        <is>
          <t>EPS +1.34
按年 +54%
(7 位分析師)</t>
        </is>
      </c>
      <c r="R140" s="16" t="inlineStr">
        <is>
          <t>無重大一次性項目（Yahoo「Total Unusual Items」為零或極小）；帳面淨利≈經常性淨利。</t>
        </is>
      </c>
      <c r="S140" s="16" t="inlineStr">
        <is>
          <t>營運利潤四季：+397.0 → +320.0 → +261.0 → +909.0；按年 +98%；剔除一次性後淨利 +896.3（帳面 +908.0，差 -11.7）；營運利潤率 4.0%。</t>
        </is>
      </c>
      <c r="T140" s="16" t="inlineStr">
        <is>
          <t>營運利潤為正、帳面≈經常、按年未倒退 —— 盈利乾淨。　收入按年 +7.2%　淨利率 4.0%　淨利按年 +315%。</t>
        </is>
      </c>
      <c r="U140" s="20" t="inlineStr">
        <is>
          <t>A</t>
        </is>
      </c>
      <c r="V140" s="10" t="inlineStr">
        <is>
          <t>Q2-26</t>
        </is>
      </c>
    </row>
    <row r="141" ht="62" customHeight="1">
      <c r="A141" s="10" t="n">
        <v>140</v>
      </c>
      <c r="B141" s="11" t="inlineStr">
        <is>
          <t>SWKS</t>
        </is>
      </c>
      <c r="C141" s="10" t="inlineStr">
        <is>
          <t>—</t>
        </is>
      </c>
      <c r="D141" s="12" t="inlineStr">
        <is>
          <t>Skyworks Solutions, Inc.</t>
        </is>
      </c>
      <c r="E141" s="12" t="inlineStr">
        <is>
          <t>科技／Semiconductors</t>
        </is>
      </c>
      <c r="F141" s="13" t="inlineStr">
        <is>
          <t>USD</t>
        </is>
      </c>
      <c r="G141" s="14" t="inlineStr">
        <is>
          <t>Q3-25(25年9月) / Q4-25(25年12月) / Q1-26(26年3月) / Q2-26(26年6月)</t>
        </is>
      </c>
      <c r="H141" s="15" t="n">
        <v>1100.2</v>
      </c>
      <c r="I141" s="15" t="n">
        <v>1035.4</v>
      </c>
      <c r="J141" s="15" t="n">
        <v>943.7</v>
      </c>
      <c r="K141" s="15" t="n">
        <v>934.8</v>
      </c>
      <c r="L141" s="16" t="inlineStr">
        <is>
          <t>1,053M
按年 +2%
(17 位分析師)</t>
        </is>
      </c>
      <c r="M141" s="17" t="inlineStr">
        <is>
          <t>淨利 +141.4
經常 +142.7｜營運 +112.6
一次: 無重大</t>
        </is>
      </c>
      <c r="N141" s="17" t="inlineStr">
        <is>
          <t>淨利 +79.2
經常 +87.4｜營運 +115.2
一次: -11.4 (稅影響 -3.2)</t>
        </is>
      </c>
      <c r="O141" s="17" t="inlineStr">
        <is>
          <t>淨利 +35.6
經常 +44.1｜營運 +53.0
一次: -10.9 (稅影響 -2.4)</t>
        </is>
      </c>
      <c r="P141" s="18" t="inlineStr">
        <is>
          <t>淨利 +33.9
經常 +47.7｜營運 +68.3
一次: -19.8 (稅影響 -6.0)</t>
        </is>
      </c>
      <c r="Q141" s="16" t="inlineStr">
        <is>
          <t>EPS +1.32
按年 -14%
(20 位分析師)</t>
        </is>
      </c>
      <c r="R141" s="16" t="inlineStr">
        <is>
          <t>最新季一次性項目 -19.8（支出／減值，令帳面難看），佔帳面淨利 58%。明細性質（資產出售／減值／訴訟／稅務）需查財報原文，本表只取金額，會否重複列「待核實」。</t>
        </is>
      </c>
      <c r="S141" s="16" t="inlineStr">
        <is>
          <t>營運利潤四季：+112.6 → +115.2 → +53.0 → +68.3；按年 -39%；剔除一次性後淨利 +47.7（帳面 +33.9，差 +13.8）；營運利潤率 7.3%。</t>
        </is>
      </c>
      <c r="T141" s="16" t="inlineStr">
        <is>
          <t>營運層面盈利，但帳面淨利含重大一次性項目，經常性口徑要另計。　收入按年 -3.1%　淨利率 3.6%　淨利按年 -68%。</t>
        </is>
      </c>
      <c r="U141" s="19" t="inlineStr">
        <is>
          <t>B</t>
        </is>
      </c>
      <c r="V141" s="10" t="inlineStr">
        <is>
          <t>Q2-26</t>
        </is>
      </c>
    </row>
    <row r="142" ht="62" customHeight="1">
      <c r="A142" s="10" t="n">
        <v>141</v>
      </c>
      <c r="B142" s="11" t="inlineStr">
        <is>
          <t>PR</t>
        </is>
      </c>
      <c r="C142" s="10" t="inlineStr">
        <is>
          <t>—</t>
        </is>
      </c>
      <c r="D142" s="12" t="inlineStr">
        <is>
          <t>Permian Resources Corporation</t>
        </is>
      </c>
      <c r="E142" s="12" t="inlineStr">
        <is>
          <t>能源／Oil &amp; Gas E&amp;P</t>
        </is>
      </c>
      <c r="F142" s="13" t="inlineStr">
        <is>
          <t>USD</t>
        </is>
      </c>
      <c r="G142" s="14" t="inlineStr">
        <is>
          <t>Q3-25(25年9月) / Q4-25(25年12月) / Q1-26(26年3月) / Q2-26(26年6月)</t>
        </is>
      </c>
      <c r="H142" s="15" t="n">
        <v>1321.8</v>
      </c>
      <c r="I142" s="15" t="n">
        <v>1169.4</v>
      </c>
      <c r="J142" s="15" t="n">
        <v>1388.1</v>
      </c>
      <c r="K142" s="15" t="n">
        <v>1858</v>
      </c>
      <c r="L142" s="16" t="inlineStr">
        <is>
          <t>1,723M
按年 +47%
(9 位分析師)</t>
        </is>
      </c>
      <c r="M142" s="17" t="inlineStr">
        <is>
          <t>淨利 +59.2
經常 +266.5｜營運 +494.7
一次: -262.3 (稅影響 -55.1)</t>
        </is>
      </c>
      <c r="N142" s="17" t="inlineStr">
        <is>
          <t>淨利 +339.5
經常 +226.5｜營運 +356.1
一次: +123.0 (稅影響 +10.0)</t>
        </is>
      </c>
      <c r="O142" s="17" t="inlineStr">
        <is>
          <t>淨利 +43.6
經常 +393.3｜營運 +570.6
一次: -443.2 (稅影響 -93.6)</t>
        </is>
      </c>
      <c r="P142" s="18" t="inlineStr">
        <is>
          <t>淨利 +792.5
經常 ≈帳面｜營運 +1,073.7
一次: 無重大</t>
        </is>
      </c>
      <c r="Q142" s="16" t="inlineStr">
        <is>
          <t>EPS +0.58
按年 +56%
(16 位分析師)</t>
        </is>
      </c>
      <c r="R142" s="16" t="inlineStr">
        <is>
          <t>無重大一次性項目（Yahoo「Total Unusual Items」為零或極小）；帳面淨利≈經常性淨利。</t>
        </is>
      </c>
      <c r="S142" s="16" t="inlineStr">
        <is>
          <t>營運利潤四季：+494.7 → +356.1 → +570.6 → +1,073.7；按年 +174%；剔除一次性後與帳面一致；營運利潤率 57.8%。</t>
        </is>
      </c>
      <c r="T142" s="16" t="inlineStr">
        <is>
          <t>營運利潤為正、帳面≈經常、按年未倒退 —— 盈利乾淨。　收入按年 +55.1%　淨利率 42.7%　淨利按年 +283%。</t>
        </is>
      </c>
      <c r="U142" s="20" t="inlineStr">
        <is>
          <t>A</t>
        </is>
      </c>
      <c r="V142" s="10" t="inlineStr">
        <is>
          <t>Q2-26</t>
        </is>
      </c>
    </row>
    <row r="143" ht="62" customHeight="1">
      <c r="A143" s="10" t="n">
        <v>142</v>
      </c>
      <c r="B143" s="11" t="inlineStr">
        <is>
          <t>ULTA</t>
        </is>
      </c>
      <c r="C143" s="10" t="inlineStr">
        <is>
          <t>—</t>
        </is>
      </c>
      <c r="D143" s="12" t="inlineStr">
        <is>
          <t>Ulta Beauty, Inc.</t>
        </is>
      </c>
      <c r="E143" s="12" t="inlineStr">
        <is>
          <t>非必需消費／Specialty Retail</t>
        </is>
      </c>
      <c r="F143" s="13" t="inlineStr">
        <is>
          <t>USD</t>
        </is>
      </c>
      <c r="G143" s="14" t="inlineStr">
        <is>
          <t>Q4-25(25年10月) / Q1-26(26年1月) / Q2-26(26年4月) / Q3-26(26年7月)</t>
        </is>
      </c>
      <c r="H143" s="15" t="n">
        <v>2857.6</v>
      </c>
      <c r="I143" s="15" t="n">
        <v>3898.4</v>
      </c>
      <c r="J143" s="15" t="n">
        <v>3163.9</v>
      </c>
      <c r="K143" s="15" t="n">
        <v>3035.7</v>
      </c>
      <c r="L143" s="16" t="inlineStr">
        <is>
          <t>4,085M
按年 +5%
(21 位分析師)</t>
        </is>
      </c>
      <c r="M143" s="17" t="inlineStr">
        <is>
          <t>淨利 +230.9
經常 +234.9｜營運 +314.7
一次: -5.3 (稅影響 -1.3)</t>
        </is>
      </c>
      <c r="N143" s="17" t="inlineStr">
        <is>
          <t>淨利 +356.7
經常 +359.4｜營運 +480.5
一次: 無重大</t>
        </is>
      </c>
      <c r="O143" s="17" t="inlineStr">
        <is>
          <t>淨利 +340.5
經常 +344.0｜營運 +452.9
一次: 無重大</t>
        </is>
      </c>
      <c r="P143" s="18" t="inlineStr">
        <is>
          <t>淨利 +282.0
經常 +285.4｜營運 +384.2
一次: 無重大</t>
        </is>
      </c>
      <c r="Q143" s="16" t="inlineStr">
        <is>
          <t>EPS +9.07
按年 +13%
(15 位分析師)</t>
        </is>
      </c>
      <c r="R143" s="16" t="inlineStr">
        <is>
          <t>無重大一次性項目（Yahoo「Total Unusual Items」為零或極小）；帳面淨利≈經常性淨利。</t>
        </is>
      </c>
      <c r="S143" s="16" t="inlineStr">
        <is>
          <t>營運利潤四季：+314.7 → +480.5 → +452.9 → +384.2；按年 +10%；剔除一次性後淨利 +285.4（帳面 +282.0，差 +3.4）；營運利潤率 12.7%。</t>
        </is>
      </c>
      <c r="T143" s="16" t="inlineStr">
        <is>
          <t>營運利潤為正、帳面≈經常、按年未倒退 —— 盈利乾淨。　收入按年 +8.9%　淨利率 9.3%　淨利按年 +8%。</t>
        </is>
      </c>
      <c r="U143" s="20" t="inlineStr">
        <is>
          <t>A</t>
        </is>
      </c>
      <c r="V143" s="10" t="inlineStr">
        <is>
          <t>Q3-26</t>
        </is>
      </c>
    </row>
    <row r="144" ht="62" customHeight="1">
      <c r="A144" s="10" t="n">
        <v>143</v>
      </c>
      <c r="B144" s="11" t="inlineStr">
        <is>
          <t>APO</t>
        </is>
      </c>
      <c r="C144" s="10" t="inlineStr">
        <is>
          <t>—</t>
        </is>
      </c>
      <c r="D144" s="12" t="inlineStr">
        <is>
          <t>Apollo Global Management, Inc.</t>
        </is>
      </c>
      <c r="E144" s="12" t="inlineStr">
        <is>
          <t>金融／Asset Management</t>
        </is>
      </c>
      <c r="F144" s="13" t="inlineStr">
        <is>
          <t>USD</t>
        </is>
      </c>
      <c r="G144" s="14" t="inlineStr">
        <is>
          <t>Q3-25(25年9月) / Q4-25(25年12月) / Q1-26(26年3月) / Q2-26(26年6月)</t>
        </is>
      </c>
      <c r="H144" s="15" t="n">
        <v>9823</v>
      </c>
      <c r="I144" s="15" t="n">
        <v>9864</v>
      </c>
      <c r="J144" s="15" t="n">
        <v>5057</v>
      </c>
      <c r="K144" s="15" t="n">
        <v>11153</v>
      </c>
      <c r="L144" s="16" t="inlineStr">
        <is>
          <t>1,444M
按年 +16%
(6 位分析師)
⚠口徑與財報不同</t>
        </is>
      </c>
      <c r="M144" s="17" t="inlineStr">
        <is>
          <t>淨利 +1,373.0
經常 +1,945.7｜營運 +3,172.0
一次: -247.0 (稅影響 -37.3)</t>
        </is>
      </c>
      <c r="N144" s="17" t="inlineStr">
        <is>
          <t>淨利 +342.0
經常 +902.5｜營運 +2,105.0
一次: -330.0 (稅影響 -111.5)</t>
        </is>
      </c>
      <c r="O144" s="17" t="inlineStr">
        <is>
          <t>淨利 -2,242.0
經常 -1,606.6｜營運 +794.0
一次: -499.0 (稅影響 -199.6)</t>
        </is>
      </c>
      <c r="P144" s="18" t="inlineStr">
        <is>
          <t>淨利 +965.0
經常 +1,581.3｜營運 +2,850.0
一次: -262.0 (稅影響 -41.7)</t>
        </is>
      </c>
      <c r="Q144" s="16" t="inlineStr">
        <is>
          <t>EPS +2.45
按年 -1%
(15 位分析師)</t>
        </is>
      </c>
      <c r="R144" s="16" t="inlineStr">
        <is>
          <t>最新季一次性項目 -262.0（支出／減值，令帳面難看），佔帳面淨利 27%。明細性質（資產出售／減值／訴訟／稅務）需查財報原文，本表只取金額，會否重複列「待核實」。</t>
        </is>
      </c>
      <c r="S144" s="16" t="inlineStr">
        <is>
          <t>營運利潤四季：+3,172.0 → +2,105.0 → +794.0 → +2,850.0；按年 +97%；剔除一次性後淨利 +1,581.3（帳面 +965.0，差 +616.3）；營運利潤率 25.6%。</t>
        </is>
      </c>
      <c r="T144" s="16" t="inlineStr">
        <is>
          <t>營運層面盈利，但帳面淨利含重大一次性項目，經常性口徑要另計。　收入按年 +63.7%　淨利率 8.7%　淨利按年 +230%。</t>
        </is>
      </c>
      <c r="U144" s="19" t="inlineStr">
        <is>
          <t>B</t>
        </is>
      </c>
      <c r="V144" s="10" t="inlineStr">
        <is>
          <t>Q2-26</t>
        </is>
      </c>
    </row>
    <row r="145" ht="62" customHeight="1">
      <c r="A145" s="10" t="n">
        <v>144</v>
      </c>
      <c r="B145" s="11" t="inlineStr">
        <is>
          <t>TSLA</t>
        </is>
      </c>
      <c r="C145" s="10" t="inlineStr">
        <is>
          <t>—</t>
        </is>
      </c>
      <c r="D145" s="12" t="inlineStr">
        <is>
          <t>Tesla, Inc.</t>
        </is>
      </c>
      <c r="E145" s="12" t="inlineStr">
        <is>
          <t>非必需消費／Auto Manufacturers</t>
        </is>
      </c>
      <c r="F145" s="13" t="inlineStr">
        <is>
          <t>USD</t>
        </is>
      </c>
      <c r="G145" s="14" t="inlineStr">
        <is>
          <t>Q3-25(25年9月) / Q4-25(25年12月) / Q1-26(26年3月) / Q2-26(26年6月)</t>
        </is>
      </c>
      <c r="H145" s="15" t="n">
        <v>28095</v>
      </c>
      <c r="I145" s="15" t="n">
        <v>24901</v>
      </c>
      <c r="J145" s="15" t="n">
        <v>22387</v>
      </c>
      <c r="K145" s="15" t="n">
        <v>28236</v>
      </c>
      <c r="L145" s="16" t="inlineStr">
        <is>
          <t>28,478M
按年 +14%
(28 位分析師)</t>
        </is>
      </c>
      <c r="M145" s="17" t="inlineStr">
        <is>
          <t>淨利 +1,373.0
經常 +1,542.0｜營運 +1,862.0
一次: -238.0 (稅影響 -69.0)</t>
        </is>
      </c>
      <c r="N145" s="17" t="inlineStr">
        <is>
          <t>淨利 +840.0
經常 +957.4｜營運 +1,571.0
一次: -162.0 (稅影響 -44.6)</t>
        </is>
      </c>
      <c r="O145" s="17" t="inlineStr">
        <is>
          <t>淨利 +477.0
經常 ≈帳面｜營運 +941.0
一次: 無重大</t>
        </is>
      </c>
      <c r="P145" s="18" t="inlineStr">
        <is>
          <t>淨利 +1,116.0
經常 ≈帳面｜營運 +398.0
一次: 無重大</t>
        </is>
      </c>
      <c r="Q145" s="16" t="inlineStr">
        <is>
          <t>EPS +0.49
按年 -2%
(26 位分析師)</t>
        </is>
      </c>
      <c r="R145" s="16" t="inlineStr">
        <is>
          <t>無重大一次性項目（Yahoo「Total Unusual Items」為零或極小）；帳面淨利≈經常性淨利。</t>
        </is>
      </c>
      <c r="S145" s="16" t="inlineStr">
        <is>
          <t>營運利潤四季：+1,862.0 → +1,571.0 → +941.0 → +398.0；按年 -57%；剔除一次性後淨利 +1,114.0（帳面 +1,116.0，差 -2.0）；營運利潤率 1.4%。</t>
        </is>
      </c>
      <c r="T145" s="16" t="inlineStr">
        <is>
          <t>營運利潤為正但按年倒退，盈利仍在但動能轉弱。　收入按年 +25.5%　淨利率 4.0%　淨利按年 -5%。</t>
        </is>
      </c>
      <c r="U145" s="19" t="inlineStr">
        <is>
          <t>B</t>
        </is>
      </c>
      <c r="V145" s="10" t="inlineStr">
        <is>
          <t>Q2-26</t>
        </is>
      </c>
    </row>
    <row r="146" ht="62" customHeight="1">
      <c r="A146" s="10" t="n">
        <v>145</v>
      </c>
      <c r="B146" s="11" t="inlineStr">
        <is>
          <t>OOMA</t>
        </is>
      </c>
      <c r="C146" s="10" t="inlineStr">
        <is>
          <t>—</t>
        </is>
      </c>
      <c r="D146" s="12" t="inlineStr">
        <is>
          <t>Ooma, Inc.</t>
        </is>
      </c>
      <c r="E146" s="12" t="inlineStr">
        <is>
          <t>科技／Software - Application</t>
        </is>
      </c>
      <c r="F146" s="13" t="inlineStr">
        <is>
          <t>USD</t>
        </is>
      </c>
      <c r="G146" s="14" t="inlineStr">
        <is>
          <t>Q3-25(25年7月) / Q4-25(25年10月) / Q1-26(26年1月) / Q2-26(26年4月)</t>
        </is>
      </c>
      <c r="H146" s="15" t="n">
        <v>66.40000000000001</v>
      </c>
      <c r="I146" s="15" t="n">
        <v>67.59999999999999</v>
      </c>
      <c r="J146" s="15" t="n">
        <v>74.59999999999999</v>
      </c>
      <c r="K146" s="15" t="n">
        <v>81.09999999999999</v>
      </c>
      <c r="L146" s="16" t="inlineStr">
        <is>
          <t>85M
按年 +13%
(7 位分析師)</t>
        </is>
      </c>
      <c r="M146" s="17" t="inlineStr">
        <is>
          <t>淨利 +1.3
經常 ≈帳面｜營運 +0.9
一次: 待核實</t>
        </is>
      </c>
      <c r="N146" s="17" t="inlineStr">
        <is>
          <t>淨利 +1.4
經常 ≈帳面｜營運 +1.3
一次: 待核實</t>
        </is>
      </c>
      <c r="O146" s="17" t="inlineStr">
        <is>
          <t>淨利 +4.0
經常 ≈帳面｜營運 +2.1
一次: 待核實</t>
        </is>
      </c>
      <c r="P146" s="18" t="inlineStr">
        <is>
          <t>淨利 +2.6
經常 ≈帳面｜營運 +3.5
一次: 待核實</t>
        </is>
      </c>
      <c r="Q146" s="16" t="inlineStr">
        <is>
          <t>EPS +0.33
按年 -3%
(7 位分析師)</t>
        </is>
      </c>
      <c r="R146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46" s="16" t="inlineStr">
        <is>
          <t>營運利潤四季：+0.9 → +1.3 → +2.1 → +3.5；按年 +6254%；剔除一次性後與帳面一致；營運利潤率 4.3%。</t>
        </is>
      </c>
      <c r="T146" s="16" t="inlineStr">
        <is>
          <t>營運利潤為正、帳面≈經常、按年未倒退 —— 盈利乾淨。　收入按年 +24.8%　淨利率 3.2%　淨利按年 +1931%。</t>
        </is>
      </c>
      <c r="U146" s="20" t="inlineStr">
        <is>
          <t>A</t>
        </is>
      </c>
      <c r="V146" s="10" t="inlineStr">
        <is>
          <t>Q2-26</t>
        </is>
      </c>
    </row>
    <row r="147" ht="62" customHeight="1">
      <c r="A147" s="10" t="n">
        <v>146</v>
      </c>
      <c r="B147" s="11" t="inlineStr">
        <is>
          <t>TDW</t>
        </is>
      </c>
      <c r="C147" s="10" t="inlineStr">
        <is>
          <t>—</t>
        </is>
      </c>
      <c r="D147" s="12" t="inlineStr">
        <is>
          <t>Tidewater Inc.</t>
        </is>
      </c>
      <c r="E147" s="12" t="inlineStr">
        <is>
          <t>非必需消費／Oil &amp; Gas Equipment &amp; Services</t>
        </is>
      </c>
      <c r="F147" s="13" t="inlineStr">
        <is>
          <t>USD</t>
        </is>
      </c>
      <c r="G147" s="14" t="inlineStr">
        <is>
          <t>Q3-25(25年9月) / Q4-25(25年12月) / Q1-26(26年3月) / Q2-26(26年6月)</t>
        </is>
      </c>
      <c r="H147" s="15" t="n">
        <v>341.1</v>
      </c>
      <c r="I147" s="15" t="n">
        <v>336.8</v>
      </c>
      <c r="J147" s="15" t="n">
        <v>326.2</v>
      </c>
      <c r="K147" s="15" t="n">
        <v>342.3</v>
      </c>
      <c r="L147" s="16" t="inlineStr">
        <is>
          <t>422M
按年 +25%
(5 位分析師)</t>
        </is>
      </c>
      <c r="M147" s="17" t="inlineStr">
        <is>
          <t>淨利 -0.8
經常 +19.1｜營運 +62.1
一次: -25.2 (稅影響 -5.3)</t>
        </is>
      </c>
      <c r="N147" s="17" t="inlineStr">
        <is>
          <t>淨利 +219.9
經常 ≈帳面｜營運 +67.2
一次: 無重大</t>
        </is>
      </c>
      <c r="O147" s="17" t="inlineStr">
        <is>
          <t>淨利 +6.1
經常 +8.2｜營運 +59.1
一次: -3.5 (稅影響 -1.4)</t>
        </is>
      </c>
      <c r="P147" s="18" t="inlineStr">
        <is>
          <t>淨利 +21.7
經常 +20.1｜營運 +59.2
一次: +2.6 (稅影響 +1.1)</t>
        </is>
      </c>
      <c r="Q147" s="16" t="inlineStr">
        <is>
          <t>EPS +1.50
按年 +234%
(5 位分析師)</t>
        </is>
      </c>
      <c r="R147" s="16" t="inlineStr">
        <is>
          <t>最新季一次性項目 +2.6（收益，令帳面好看），佔帳面淨利 12%。明細性質（資產出售／減值／訴訟／稅務）需查財報原文，本表只取金額，會否重複列「待核實」。</t>
        </is>
      </c>
      <c r="S147" s="16" t="inlineStr">
        <is>
          <t>營運利潤四季：+62.1 → +67.2 → +59.1 → +59.2；按年 -22%；剔除一次性後淨利 +20.1（帳面 +21.7，差 -1.6）；營運利潤率 17.3%。</t>
        </is>
      </c>
      <c r="T147" s="16" t="inlineStr">
        <is>
          <t>營運層面盈利，但帳面淨利含重大一次性項目，經常性口徑要另計。　收入按年 +0.3%　淨利率 6.3%　淨利按年 -70%。</t>
        </is>
      </c>
      <c r="U147" s="19" t="inlineStr">
        <is>
          <t>B</t>
        </is>
      </c>
      <c r="V147" s="10" t="inlineStr">
        <is>
          <t>Q2-26</t>
        </is>
      </c>
    </row>
    <row r="148" ht="62" customHeight="1">
      <c r="A148" s="10" t="n">
        <v>147</v>
      </c>
      <c r="B148" s="11" t="inlineStr">
        <is>
          <t>CENX</t>
        </is>
      </c>
      <c r="C148" s="10" t="inlineStr">
        <is>
          <t>—</t>
        </is>
      </c>
      <c r="D148" s="12" t="inlineStr">
        <is>
          <t>Century Aluminum Company</t>
        </is>
      </c>
      <c r="E148" s="12" t="inlineStr">
        <is>
          <t>工業／Aluminum</t>
        </is>
      </c>
      <c r="F148" s="13" t="inlineStr">
        <is>
          <t>USD</t>
        </is>
      </c>
      <c r="G148" s="14" t="inlineStr">
        <is>
          <t>Q3-25(25年9月) / Q4-25(25年12月) / Q1-26(26年3月) / Q2-26(26年6月)</t>
        </is>
      </c>
      <c r="H148" s="15" t="n">
        <v>632.2</v>
      </c>
      <c r="I148" s="15" t="n">
        <v>633.7</v>
      </c>
      <c r="J148" s="15" t="n">
        <v>649.2</v>
      </c>
      <c r="K148" s="15" t="n">
        <v>752.1</v>
      </c>
      <c r="L148" s="16" t="inlineStr">
        <is>
          <t>1,037M
按年 +64%
(3 位分析師)</t>
        </is>
      </c>
      <c r="M148" s="17" t="inlineStr">
        <is>
          <t>淨利 +14.1
經常 +43.7｜營運 +58.3
一次: -36.4 (稅影響 -7.6)</t>
        </is>
      </c>
      <c r="N148" s="17" t="inlineStr">
        <is>
          <t>淨利 +2.0
經常 +37.4｜營運 +33.0
一次: -45.0 (稅影響 -9.4)</t>
        </is>
      </c>
      <c r="O148" s="17" t="inlineStr">
        <is>
          <t>淨利 +337.5
經常 +83.3｜營運 +86.1
一次: +255.6 (稅影響 +1.4)</t>
        </is>
      </c>
      <c r="P148" s="18" t="inlineStr">
        <is>
          <t>淨利 0.0
經常 +204.3｜營運 +211.6
一次: +47.2 (稅影響 +2.2)</t>
        </is>
      </c>
      <c r="Q148" s="16" t="inlineStr">
        <is>
          <t>EPS +3.45
按年 +176%
(2 位分析師)</t>
        </is>
      </c>
      <c r="R148" s="16" t="inlineStr">
        <is>
          <t>最新季一次性項目 +47.2（收益，令帳面好看）（該季淨利為零或缺失，佔比無法計）。明細性質（資產出售／減值／訴訟／稅務）需查財報原文，本表只取金額，會否重複列「待核實」。</t>
        </is>
      </c>
      <c r="S148" s="16" t="inlineStr">
        <is>
          <t>營運利潤四季：+58.3 → +33.0 → +86.1 → +211.6；按年 +1069%；剔除一次性後淨利 +204.3（帳面 0.0，差 +204.3）；營運利潤率 28.1%。</t>
        </is>
      </c>
      <c r="T148" s="16" t="inlineStr">
        <is>
          <t>營運利潤為正、帳面≈經常、按年未倒退 —— 盈利乾淨。　收入按年 +19.7%　淨利率 0.0%　淨利按年 +100%。</t>
        </is>
      </c>
      <c r="U148" s="20" t="inlineStr">
        <is>
          <t>A</t>
        </is>
      </c>
      <c r="V148" s="10" t="inlineStr">
        <is>
          <t>Q2-26</t>
        </is>
      </c>
    </row>
    <row r="149" ht="62" customHeight="1">
      <c r="A149" s="10" t="n">
        <v>148</v>
      </c>
      <c r="B149" s="11" t="inlineStr">
        <is>
          <t>FET</t>
        </is>
      </c>
      <c r="C149" s="10" t="inlineStr">
        <is>
          <t>—</t>
        </is>
      </c>
      <c r="D149" s="12" t="inlineStr">
        <is>
          <t>Forum Energy Technologies, Inc.</t>
        </is>
      </c>
      <c r="E149" s="12" t="inlineStr">
        <is>
          <t>非必需消費／Oil &amp; Gas Equipment &amp; Services</t>
        </is>
      </c>
      <c r="F149" s="13" t="inlineStr">
        <is>
          <t>USD</t>
        </is>
      </c>
      <c r="G149" s="14" t="inlineStr">
        <is>
          <t>Q3-25(25年9月) / Q4-25(25年12月) / Q1-26(26年3月) / Q2-26(26年6月)</t>
        </is>
      </c>
      <c r="H149" s="15" t="n">
        <v>196.2</v>
      </c>
      <c r="I149" s="15" t="n">
        <v>202.2</v>
      </c>
      <c r="J149" s="15" t="n">
        <v>208.7</v>
      </c>
      <c r="K149" s="15" t="n">
        <v>226.2</v>
      </c>
      <c r="L149" s="16" t="inlineStr">
        <is>
          <t>221M
按年 +9%
(2 位分析師)</t>
        </is>
      </c>
      <c r="M149" s="17" t="inlineStr">
        <is>
          <t>淨利 -20.6
經常 -23.8｜營運 -10.2
一次: +4.1 (稅影響 +0.9)</t>
        </is>
      </c>
      <c r="N149" s="17" t="inlineStr">
        <is>
          <t>淨利 +2.1
經常 +1.8｜營運 +12.2
一次: 無重大</t>
        </is>
      </c>
      <c r="O149" s="17" t="inlineStr">
        <is>
          <t>淨利 +4.5
經常 +4.2｜營運 +11.0
一次: 無重大</t>
        </is>
      </c>
      <c r="P149" s="18" t="inlineStr">
        <is>
          <t>淨利 +12.4
經常 +13.0｜營運 +21.1
一次: 無重大</t>
        </is>
      </c>
      <c r="Q149" s="16" t="inlineStr">
        <is>
          <t>EPS +1.15
按年 +180%
(2 位分析師)</t>
        </is>
      </c>
      <c r="R149" s="16" t="inlineStr">
        <is>
          <t>無重大一次性項目（Yahoo「Total Unusual Items」為零或極小）；帳面淨利≈經常性淨利。</t>
        </is>
      </c>
      <c r="S149" s="16" t="inlineStr">
        <is>
          <t>營運利潤四季：-10.2 → +12.2 → +11.0 → +21.1；按年 +158%；剔除一次性後與帳面一致；營運利潤率 9.3%。</t>
        </is>
      </c>
      <c r="T149" s="16" t="inlineStr">
        <is>
          <t>營運利潤為正、帳面≈經常、按年未倒退 —— 盈利乾淨。　收入按年 +13.2%　淨利率 5.5%　淨利按年 +61%。</t>
        </is>
      </c>
      <c r="U149" s="20" t="inlineStr">
        <is>
          <t>A</t>
        </is>
      </c>
      <c r="V149" s="10" t="inlineStr">
        <is>
          <t>Q2-26</t>
        </is>
      </c>
    </row>
    <row r="150" ht="62" customHeight="1">
      <c r="A150" s="10" t="n">
        <v>149</v>
      </c>
      <c r="B150" s="11" t="inlineStr">
        <is>
          <t>SAIL</t>
        </is>
      </c>
      <c r="C150" s="10" t="inlineStr">
        <is>
          <t>—</t>
        </is>
      </c>
      <c r="D150" s="12" t="inlineStr">
        <is>
          <t>SailPoint, Inc.</t>
        </is>
      </c>
      <c r="E150" s="12" t="inlineStr">
        <is>
          <t>科技／Software - Infrastructure</t>
        </is>
      </c>
      <c r="F150" s="13" t="inlineStr">
        <is>
          <t>USD</t>
        </is>
      </c>
      <c r="G150" s="14" t="inlineStr">
        <is>
          <t>Q3-25(25年7月) / Q4-25(25年10月) / Q1-26(26年1月) / Q2-26(26年4月)</t>
        </is>
      </c>
      <c r="H150" s="15" t="n">
        <v>264.4</v>
      </c>
      <c r="I150" s="15" t="n">
        <v>281.9</v>
      </c>
      <c r="J150" s="15" t="n">
        <v>294.6</v>
      </c>
      <c r="K150" s="15" t="n">
        <v>280.1</v>
      </c>
      <c r="L150" s="16" t="inlineStr">
        <is>
          <t>329M
按年 +17%
(22 位分析師)</t>
        </is>
      </c>
      <c r="M150" s="17" t="inlineStr">
        <is>
          <t>淨利 -10.6
經常 ≈帳面｜營運 -40.8
一次: 待核實</t>
        </is>
      </c>
      <c r="N150" s="17" t="inlineStr">
        <is>
          <t>淨利 -36.0
經常 ≈帳面｜營運 -41.6
一次: 待核實</t>
        </is>
      </c>
      <c r="O150" s="17" t="inlineStr">
        <is>
          <t>淨利 -36.2
經常 ≈帳面｜營運 -40.1
一次: 待核實</t>
        </is>
      </c>
      <c r="P150" s="18" t="inlineStr">
        <is>
          <t>淨利 -74.7
經常 ≈帳面｜營運 -79.8
一次: 待核實</t>
        </is>
      </c>
      <c r="Q150" s="16" t="inlineStr">
        <is>
          <t>EPS +0.08
按年 +3%
(23 位分析師)
⚠non-GAAP
(帳面仍虧損)</t>
        </is>
      </c>
      <c r="R15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50" s="16" t="inlineStr">
        <is>
          <t>營運利潤四季：-40.8 → -41.6 → -40.1 → -79.8；按年 +57%；剔除一次性後與帳面一致；營運利潤率 -28.5%。</t>
        </is>
      </c>
      <c r="T150" s="16" t="inlineStr">
        <is>
          <t>營運虧損且未見收窄。　收入按年 +21.6%　淨利率 -26.7%　淨利按年 +65%。</t>
        </is>
      </c>
      <c r="U150" s="21" t="inlineStr">
        <is>
          <t>D</t>
        </is>
      </c>
      <c r="V150" s="10" t="inlineStr">
        <is>
          <t>Q2-26</t>
        </is>
      </c>
    </row>
    <row r="151" ht="62" customHeight="1">
      <c r="A151" s="10" t="n">
        <v>150</v>
      </c>
      <c r="B151" s="11" t="inlineStr">
        <is>
          <t>ANF</t>
        </is>
      </c>
      <c r="C151" s="10" t="inlineStr">
        <is>
          <t>—</t>
        </is>
      </c>
      <c r="D151" s="12" t="inlineStr">
        <is>
          <t>Abercrombie &amp; Fitch Co.</t>
        </is>
      </c>
      <c r="E151" s="12" t="inlineStr">
        <is>
          <t>非必需消費／Apparel Retail</t>
        </is>
      </c>
      <c r="F151" s="13" t="inlineStr">
        <is>
          <t>USD</t>
        </is>
      </c>
      <c r="G151" s="14" t="inlineStr">
        <is>
          <t>Q3-25(25年7月) / Q4-25(25年10月) / Q1-26(26年1月) / Q2-26(26年4月)</t>
        </is>
      </c>
      <c r="H151" s="15" t="n">
        <v>1208.6</v>
      </c>
      <c r="I151" s="15" t="n">
        <v>1290.6</v>
      </c>
      <c r="J151" s="15" t="n">
        <v>1669.8</v>
      </c>
      <c r="K151" s="15" t="n">
        <v>1113.8</v>
      </c>
      <c r="L151" s="16" t="inlineStr">
        <is>
          <t>1,783M
按年 +7%
(10 位分析師)
⚠口徑與財報不同</t>
        </is>
      </c>
      <c r="M151" s="17" t="inlineStr">
        <is>
          <t>淨利 +141.4
經常 ≈帳面｜營運 +206.7
一次: 待核實</t>
        </is>
      </c>
      <c r="N151" s="17" t="inlineStr">
        <is>
          <t>淨利 +113.0
經常 ≈帳面｜營運 +155.0
一次: 待核實</t>
        </is>
      </c>
      <c r="O151" s="17" t="inlineStr">
        <is>
          <t>淨利 +172.1
經常 ≈帳面｜營運 +235.9
一次: 待核實</t>
        </is>
      </c>
      <c r="P151" s="18" t="inlineStr">
        <is>
          <t>淨利 +67.1
經常 ≈帳面｜營運 +88.8
一次: 待核實</t>
        </is>
      </c>
      <c r="Q151" s="16" t="inlineStr">
        <is>
          <t>EPS +4.86
按年 +32%
(5 位分析師)</t>
        </is>
      </c>
      <c r="R15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51" s="16" t="inlineStr">
        <is>
          <t>營運利潤四季：+206.7 → +155.0 → +235.9 → +88.8；按年 -13%；剔除一次性後與帳面一致；營運利潤率 8.0%。</t>
        </is>
      </c>
      <c r="T151" s="16" t="inlineStr">
        <is>
          <t>營運利潤為正但按年倒退，盈利仍在但動能轉弱。　收入按年 +1.5%　淨利率 6.0%　淨利按年 -17%。</t>
        </is>
      </c>
      <c r="U151" s="19" t="inlineStr">
        <is>
          <t>B</t>
        </is>
      </c>
      <c r="V151" s="10" t="inlineStr">
        <is>
          <t>Q2-26</t>
        </is>
      </c>
    </row>
    <row r="152" ht="62" customHeight="1">
      <c r="A152" s="10" t="n">
        <v>151</v>
      </c>
      <c r="B152" s="11" t="inlineStr">
        <is>
          <t>DAN</t>
        </is>
      </c>
      <c r="C152" s="10" t="inlineStr">
        <is>
          <t>—</t>
        </is>
      </c>
      <c r="D152" s="12" t="inlineStr">
        <is>
          <t>Dana Incorporated</t>
        </is>
      </c>
      <c r="E152" s="12" t="inlineStr">
        <is>
          <t>非必需消費／Auto Parts</t>
        </is>
      </c>
      <c r="F152" s="13" t="inlineStr">
        <is>
          <t>USD</t>
        </is>
      </c>
      <c r="G152" s="14" t="inlineStr">
        <is>
          <t>Q3-25(25年9月) / Q4-25(25年12月) / Q1-26(26年3月) / Q2-26(26年6月)</t>
        </is>
      </c>
      <c r="H152" s="15" t="n">
        <v>1917</v>
      </c>
      <c r="I152" s="15" t="n">
        <v>1867</v>
      </c>
      <c r="J152" s="15" t="n">
        <v>1868</v>
      </c>
      <c r="K152" s="15" t="n">
        <v>2010</v>
      </c>
      <c r="L152" s="16" t="inlineStr">
        <is>
          <t>1,926M
按年 +3%
(6 位分析師)</t>
        </is>
      </c>
      <c r="M152" s="17" t="inlineStr">
        <is>
          <t>淨利 +83.0
經常 +21.6｜營運 +78.0
一次: -16.0 (稅影響 -3.4)</t>
        </is>
      </c>
      <c r="N152" s="17" t="inlineStr">
        <is>
          <t>淨利 -50.0
經常 -24.4｜營運 +83.0
一次: -21.0 (稅影響 -4.4)</t>
        </is>
      </c>
      <c r="O152" s="17" t="inlineStr">
        <is>
          <t>淨利 +1,087.0
經常 +17.6｜營運 +65.0
一次: -61.0 (稅影響 -24.4)</t>
        </is>
      </c>
      <c r="P152" s="18" t="inlineStr">
        <is>
          <t>淨利 -5.0
經常 +28.2｜營運 +106.0
一次: -37.0 (稅影響 -14.8)</t>
        </is>
      </c>
      <c r="Q152" s="16" t="inlineStr">
        <is>
          <t>EPS +0.87
按年 +619%
(7 位分析師)
⚠non-GAAP
(帳面仍虧損)</t>
        </is>
      </c>
      <c r="R152" s="16" t="inlineStr">
        <is>
          <t>最新季一次性項目 -37.0（支出／減值，令帳面難看），佔帳面淨利 740%。明細性質（資產出售／減值／訴訟／稅務）需查財報原文，本表只取金額，會否重複列「待核實」。</t>
        </is>
      </c>
      <c r="S152" s="16" t="inlineStr">
        <is>
          <t>營運利潤四季：+78.0 → +83.0 → +65.0 → +106.0；按年 +172%；剔除一次性後淨利 +28.2（帳面 -5.0，差 +33.2）；營運利潤率 5.3%。</t>
        </is>
      </c>
      <c r="T152" s="16" t="inlineStr">
        <is>
          <t>營運層面盈利，但帳面淨利含重大一次性項目，經常性口徑要另計。　收入按年 +3.9%　淨利率 -0.2%　淨利按年 -119%。</t>
        </is>
      </c>
      <c r="U152" s="19" t="inlineStr">
        <is>
          <t>B</t>
        </is>
      </c>
      <c r="V152" s="10" t="inlineStr">
        <is>
          <t>Q2-26</t>
        </is>
      </c>
    </row>
    <row r="153" ht="62" customHeight="1">
      <c r="A153" s="10" t="n">
        <v>152</v>
      </c>
      <c r="B153" s="11" t="inlineStr">
        <is>
          <t>KURA</t>
        </is>
      </c>
      <c r="C153" s="10" t="inlineStr">
        <is>
          <t>—</t>
        </is>
      </c>
      <c r="D153" s="12" t="inlineStr">
        <is>
          <t>Kura Oncology, Inc.</t>
        </is>
      </c>
      <c r="E153" s="12" t="inlineStr">
        <is>
          <t>醫療保健／Biotechnology</t>
        </is>
      </c>
      <c r="F153" s="13" t="inlineStr">
        <is>
          <t>USD</t>
        </is>
      </c>
      <c r="G153" s="14" t="inlineStr">
        <is>
          <t>Q3-25(25年9月) / Q4-25(25年12月) / Q1-26(26年3月) / Q2-26(26年6月)</t>
        </is>
      </c>
      <c r="H153" s="15" t="n">
        <v>20.8</v>
      </c>
      <c r="I153" s="15" t="n">
        <v>17.3</v>
      </c>
      <c r="J153" s="15" t="n">
        <v>18.3</v>
      </c>
      <c r="K153" s="15" t="n">
        <v>20.9</v>
      </c>
      <c r="L153" s="16" t="inlineStr">
        <is>
          <t>34M
按年 +93%
(14 位分析師)
⚠口徑與財報不同</t>
        </is>
      </c>
      <c r="M153" s="17" t="inlineStr">
        <is>
          <t>淨利 -74.1
經常 ≈帳面｜營運 -80.0
一次: 待核實</t>
        </is>
      </c>
      <c r="N153" s="17" t="inlineStr">
        <is>
          <t>淨利 -81.0
經常 ≈帳面｜營運 -86.3
一次: 待核實</t>
        </is>
      </c>
      <c r="O153" s="17" t="inlineStr">
        <is>
          <t>淨利 -73.3
經常 ≈帳面｜營運 -78.8
一次: 待核實</t>
        </is>
      </c>
      <c r="P153" s="18" t="inlineStr">
        <is>
          <t>淨利 -68.3
經常 ≈帳面｜營運 -73.0
一次: 待核實</t>
        </is>
      </c>
      <c r="Q153" s="16" t="inlineStr">
        <is>
          <t>EPS -0.78
按年 +15%
(9 位分析師)</t>
        </is>
      </c>
      <c r="R15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53" s="16" t="inlineStr">
        <is>
          <t>營運利潤四季：-80.0 → -86.3 → -78.8 → -73.0；按年 -0%；剔除一次性後與帳面一致；營運利潤率 -349.8%。</t>
        </is>
      </c>
      <c r="T153" s="16" t="inlineStr">
        <is>
          <t>營運仍虧損，但四季軌跡收窄中。　收入按年 +36.5%　淨利率 -327.3%　淨利按年 -3%。</t>
        </is>
      </c>
      <c r="U153" s="22" t="inlineStr">
        <is>
          <t>C</t>
        </is>
      </c>
      <c r="V153" s="10" t="inlineStr">
        <is>
          <t>Q2-26</t>
        </is>
      </c>
    </row>
    <row r="154" ht="62" customHeight="1">
      <c r="A154" s="10" t="n">
        <v>153</v>
      </c>
      <c r="B154" s="11" t="inlineStr">
        <is>
          <t>FIVE</t>
        </is>
      </c>
      <c r="C154" s="10" t="inlineStr">
        <is>
          <t>—</t>
        </is>
      </c>
      <c r="D154" s="12" t="inlineStr">
        <is>
          <t>Five Below, Inc.</t>
        </is>
      </c>
      <c r="E154" s="12" t="inlineStr">
        <is>
          <t>非必需消費／Specialty Retail</t>
        </is>
      </c>
      <c r="F154" s="13" t="inlineStr">
        <is>
          <t>USD</t>
        </is>
      </c>
      <c r="G154" s="14" t="inlineStr">
        <is>
          <t>Q3-25(25年7月) / Q4-25(25年10月) / Q1-26(26年1月) / Q2-26(26年4月)</t>
        </is>
      </c>
      <c r="H154" s="15" t="n">
        <v>1026.8</v>
      </c>
      <c r="I154" s="15" t="n">
        <v>1038.3</v>
      </c>
      <c r="J154" s="15" t="n">
        <v>1728.5</v>
      </c>
      <c r="K154" s="15" t="n">
        <v>1285.6</v>
      </c>
      <c r="L154" s="16" t="inlineStr">
        <is>
          <t>1,936M
按年 +12%
(19 位分析師)
⚠口徑與財報不同</t>
        </is>
      </c>
      <c r="M154" s="17" t="inlineStr">
        <is>
          <t>淨利 +42.8
經常 ≈帳面｜營運 +52.4
一次: 待核實</t>
        </is>
      </c>
      <c r="N154" s="17" t="inlineStr">
        <is>
          <t>淨利 +36.5
經常 ≈帳面｜營運 +43.3
一次: 待核實</t>
        </is>
      </c>
      <c r="O154" s="17" t="inlineStr">
        <is>
          <t>淨利 +238.2
經常 ≈帳面｜營運 +310.9
一次: 待核實</t>
        </is>
      </c>
      <c r="P154" s="18" t="inlineStr">
        <is>
          <t>淨利 +123.1
經常 ≈帳面｜營運 +154.2
一次: 待核實</t>
        </is>
      </c>
      <c r="Q154" s="16" t="inlineStr">
        <is>
          <t>EPS +5.21
按年 +21%
(22 位分析師)</t>
        </is>
      </c>
      <c r="R154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54" s="16" t="inlineStr">
        <is>
          <t>營運利潤四季：+52.4 → +43.3 → +310.9 → +154.2；按年 +203%；剔除一次性後與帳面一致；營運利潤率 12.0%。</t>
        </is>
      </c>
      <c r="T154" s="16" t="inlineStr">
        <is>
          <t>營運利潤為正、帳面≈經常、按年未倒退 —— 盈利乾淨。　收入按年 +32.5%　淨利率 9.6%　淨利按年 +199%。</t>
        </is>
      </c>
      <c r="U154" s="20" t="inlineStr">
        <is>
          <t>A</t>
        </is>
      </c>
      <c r="V154" s="10" t="inlineStr">
        <is>
          <t>Q2-26</t>
        </is>
      </c>
    </row>
    <row r="155" ht="62" customHeight="1">
      <c r="A155" s="10" t="n">
        <v>154</v>
      </c>
      <c r="B155" s="11" t="inlineStr">
        <is>
          <t>RXST</t>
        </is>
      </c>
      <c r="C155" s="10" t="inlineStr">
        <is>
          <t>—</t>
        </is>
      </c>
      <c r="D155" s="12" t="inlineStr">
        <is>
          <t>RxSight, Inc.</t>
        </is>
      </c>
      <c r="E155" s="12" t="inlineStr">
        <is>
          <t>醫療保健／Medical Devices</t>
        </is>
      </c>
      <c r="F155" s="13" t="inlineStr">
        <is>
          <t>USD</t>
        </is>
      </c>
      <c r="G155" s="14" t="inlineStr">
        <is>
          <t>Q3-25(25年9月) / Q4-25(25年12月) / Q1-26(26年3月) / Q2-26(26年6月)</t>
        </is>
      </c>
      <c r="H155" s="15" t="n">
        <v>30.3</v>
      </c>
      <c r="I155" s="15" t="n">
        <v>32.6</v>
      </c>
      <c r="J155" s="15" t="n">
        <v>30.9</v>
      </c>
      <c r="K155" s="15" t="n">
        <v>33.7</v>
      </c>
      <c r="L155" s="16" t="inlineStr">
        <is>
          <t>55M
按年 +70%
(10 位分析師)
⚠口徑與財報不同</t>
        </is>
      </c>
      <c r="M155" s="17" t="inlineStr">
        <is>
          <t>淨利 -9.8
經常 ≈帳面｜營運 -12.2
一次: 待核實</t>
        </is>
      </c>
      <c r="N155" s="17" t="inlineStr">
        <is>
          <t>淨利 -9.2
經常 ≈帳面｜營運 -11.3
一次: 待核實</t>
        </is>
      </c>
      <c r="O155" s="17" t="inlineStr">
        <is>
          <t>淨利 -15.9
經常 ≈帳面｜營運 -17.8
一次: 待核實</t>
        </is>
      </c>
      <c r="P155" s="18" t="inlineStr">
        <is>
          <t>淨利 -12.1
經常 ≈帳面｜營運 -13.8
一次: 待核實</t>
        </is>
      </c>
      <c r="Q155" s="16" t="inlineStr">
        <is>
          <t>EPS +0.18
按年 +711%
(5 位分析師)
⚠non-GAAP
(帳面仍虧損)</t>
        </is>
      </c>
      <c r="R15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55" s="16" t="inlineStr">
        <is>
          <t>營運利潤四季：-12.2 → -11.3 → -17.8 → -13.8；按年 +2%；剔除一次性後與帳面一致；營運利潤率 -40.8%。</t>
        </is>
      </c>
      <c r="T155" s="16" t="inlineStr">
        <is>
          <t>營運虧損且未見收窄。　收入按年 +0.3%　淨利率 -35.9%　淨利按年 -3%。</t>
        </is>
      </c>
      <c r="U155" s="21" t="inlineStr">
        <is>
          <t>D</t>
        </is>
      </c>
      <c r="V155" s="10" t="inlineStr">
        <is>
          <t>Q2-26</t>
        </is>
      </c>
    </row>
    <row r="156" ht="62" customHeight="1">
      <c r="A156" s="10" t="n">
        <v>155</v>
      </c>
      <c r="B156" s="11" t="inlineStr">
        <is>
          <t>AMT</t>
        </is>
      </c>
      <c r="C156" s="10" t="inlineStr">
        <is>
          <t>—</t>
        </is>
      </c>
      <c r="D156" s="12" t="inlineStr">
        <is>
          <t>American Tower Corporation</t>
        </is>
      </c>
      <c r="E156" s="12" t="inlineStr">
        <is>
          <t>房地產／REIT - Specialty</t>
        </is>
      </c>
      <c r="F156" s="13" t="inlineStr">
        <is>
          <t>USD</t>
        </is>
      </c>
      <c r="G156" s="14" t="inlineStr">
        <is>
          <t>Q3-25(25年9月) / Q4-25(25年12月) / Q1-26(26年3月) / Q2-26(26年6月)</t>
        </is>
      </c>
      <c r="H156" s="15" t="n">
        <v>2717.4</v>
      </c>
      <c r="I156" s="15" t="n">
        <v>2737.5</v>
      </c>
      <c r="J156" s="15" t="n">
        <v>2737.5</v>
      </c>
      <c r="K156" s="15" t="n">
        <v>2749.1</v>
      </c>
      <c r="L156" s="16" t="inlineStr">
        <is>
          <t>2,781M
按年 +2%
(16 位分析師)</t>
        </is>
      </c>
      <c r="M156" s="17" t="inlineStr">
        <is>
          <t>淨利 +853.3
經常 +836.0｜營運 +1,233.3
一次: +18.0 (稅影響 +0.7)</t>
        </is>
      </c>
      <c r="N156" s="17" t="inlineStr">
        <is>
          <t>淨利 +820.7
經常 +891.0｜營運 +1,244.1
一次: -81.1 (稅影響 -10.8)</t>
        </is>
      </c>
      <c r="O156" s="17" t="inlineStr">
        <is>
          <t>淨利 +859.5
經常 +800.7｜營運 +1,239.2
一次: +68.1 (稅影響 +9.3)</t>
        </is>
      </c>
      <c r="P156" s="18" t="inlineStr">
        <is>
          <t>淨利 +867.5
經常 +833.3｜營運 +1,268.8
一次: +38.9 (稅影響 +4.7)</t>
        </is>
      </c>
      <c r="Q156" s="16" t="inlineStr">
        <is>
          <t>EPS +1.66
按年 -5%
(7 位分析師)</t>
        </is>
      </c>
      <c r="R156" s="16" t="inlineStr">
        <is>
          <t>最新季一次性項目 +38.9（收益，令帳面好看），佔帳面淨利 4%。明細性質（資產出售／減值／訴訟／稅務）需查財報原文，本表只取金額，會否重複列「待核實」。</t>
        </is>
      </c>
      <c r="S156" s="16" t="inlineStr">
        <is>
          <t>營運利潤四季：+1,233.3 → +1,244.1 → +1,239.2 → +1,268.8；按年 +6%；剔除一次性後淨利 +833.3（帳面 +867.5，差 -34.2）；營運利潤率 46.2%。</t>
        </is>
      </c>
      <c r="T156" s="16" t="inlineStr">
        <is>
          <t>營運利潤為正、帳面≈經常、按年未倒退 —— 盈利乾淨。　收入按年 +4.7%　淨利率 31.6%　淨利按年 +137%。</t>
        </is>
      </c>
      <c r="U156" s="20" t="inlineStr">
        <is>
          <t>A</t>
        </is>
      </c>
      <c r="V156" s="10" t="inlineStr">
        <is>
          <t>Q2-26</t>
        </is>
      </c>
    </row>
    <row r="157" ht="62" customHeight="1">
      <c r="A157" s="10" t="n">
        <v>156</v>
      </c>
      <c r="B157" s="11" t="inlineStr">
        <is>
          <t>SNOW</t>
        </is>
      </c>
      <c r="C157" s="10" t="inlineStr">
        <is>
          <t>—</t>
        </is>
      </c>
      <c r="D157" s="12" t="inlineStr">
        <is>
          <t>Snowflake Inc.</t>
        </is>
      </c>
      <c r="E157" s="12" t="inlineStr">
        <is>
          <t>科技／Software - Application</t>
        </is>
      </c>
      <c r="F157" s="13" t="inlineStr">
        <is>
          <t>USD</t>
        </is>
      </c>
      <c r="G157" s="14" t="inlineStr">
        <is>
          <t>Q3-25(25年7月) / Q4-25(25年10月) / Q1-26(26年1月) / Q2-26(26年4月)</t>
        </is>
      </c>
      <c r="H157" s="15" t="n">
        <v>1145</v>
      </c>
      <c r="I157" s="15" t="n">
        <v>1212.9</v>
      </c>
      <c r="J157" s="15" t="n">
        <v>1284</v>
      </c>
      <c r="K157" s="15" t="n">
        <v>1391</v>
      </c>
      <c r="L157" s="16" t="inlineStr">
        <is>
          <t>1,721M
按年 +34%
(38 位分析師)</t>
        </is>
      </c>
      <c r="M157" s="17" t="inlineStr">
        <is>
          <t>淨利 -298.0
經常 -292.4｜營運 -340.3
一次: 無重大</t>
        </is>
      </c>
      <c r="N157" s="17" t="inlineStr">
        <is>
          <t>淨利 -294.0
經常 ≈帳面｜營運 -329.5
一次: 無重大</t>
        </is>
      </c>
      <c r="O157" s="17" t="inlineStr">
        <is>
          <t>淨利 -309.6
經常 -294.9｜營運 -318.2
一次: -24.4 (稅影響 -9.8)</t>
        </is>
      </c>
      <c r="P157" s="18" t="inlineStr">
        <is>
          <t>淨利 -295.6
經常 -286.1｜營運 -326.2
一次: -9.5 (稅影響 -0.0)</t>
        </is>
      </c>
      <c r="Q157" s="16" t="inlineStr">
        <is>
          <t>EPS +0.60
按年 +87%
(40 位分析師)
⚠non-GAAP
(帳面仍虧損)</t>
        </is>
      </c>
      <c r="R157" s="16" t="inlineStr">
        <is>
          <t>最新季一次性項目 -9.5（支出／減值，令帳面難看），佔帳面淨利 3%。明細性質（資產出售／減值／訴訟／稅務）需查財報原文，本表只取金額，會否重複列「待核實」。</t>
        </is>
      </c>
      <c r="S157" s="16" t="inlineStr">
        <is>
          <t>營運利潤四季：-340.3 → -329.5 → -318.2 → -326.2；按年 +27%；剔除一次性後淨利 -286.1（帳面 -295.6，差 +9.5）；營運利潤率 -23.4%。</t>
        </is>
      </c>
      <c r="T157" s="16" t="inlineStr">
        <is>
          <t>營運仍虧損，但四季軌跡收窄中。　收入按年 +33.5%　淨利率 -21.2%　淨利按年 +31%。</t>
        </is>
      </c>
      <c r="U157" s="22" t="inlineStr">
        <is>
          <t>C</t>
        </is>
      </c>
      <c r="V157" s="10" t="inlineStr">
        <is>
          <t>Q2-26</t>
        </is>
      </c>
    </row>
    <row r="158" ht="62" customHeight="1">
      <c r="A158" s="10" t="n">
        <v>157</v>
      </c>
      <c r="B158" s="11" t="inlineStr">
        <is>
          <t>CNXN</t>
        </is>
      </c>
      <c r="C158" s="10" t="inlineStr">
        <is>
          <t>—</t>
        </is>
      </c>
      <c r="D158" s="12" t="inlineStr">
        <is>
          <t>PC Connection, Inc.</t>
        </is>
      </c>
      <c r="E158" s="12" t="inlineStr">
        <is>
          <t>非必需消費／Electronics &amp; Computer Distribut</t>
        </is>
      </c>
      <c r="F158" s="13" t="inlineStr">
        <is>
          <t>USD</t>
        </is>
      </c>
      <c r="G158" s="14" t="inlineStr">
        <is>
          <t>Q3-25(25年9月) / Q4-25(25年12月) / Q1-26(26年3月) / Q2-26(26年6月)</t>
        </is>
      </c>
      <c r="H158" s="15" t="n">
        <v>709.1</v>
      </c>
      <c r="I158" s="15" t="n">
        <v>702.9</v>
      </c>
      <c r="J158" s="15" t="n">
        <v>721.9</v>
      </c>
      <c r="K158" s="15" t="n">
        <v>854</v>
      </c>
      <c r="L158" s="16" t="inlineStr">
        <is>
          <t>761M
按年 +8%
(2 位分析師)</t>
        </is>
      </c>
      <c r="M158" s="17" t="inlineStr">
        <is>
          <t>淨利 +24.7
經常 ≈帳面｜營運 +31.9
一次: 無重大</t>
        </is>
      </c>
      <c r="N158" s="17" t="inlineStr">
        <is>
          <t>淨利 +20.7
經常 +23.1｜營運 +28.1
一次: -3.1 (稅影響 -0.7)</t>
        </is>
      </c>
      <c r="O158" s="17" t="inlineStr">
        <is>
          <t>淨利 +17.2
經常 +19.5｜營運 +24.6
一次: -3.1 (稅影響 -0.8)</t>
        </is>
      </c>
      <c r="P158" s="18" t="inlineStr">
        <is>
          <t>淨利 +33.2
經常 ≈帳面｜營運 +44.6
一次: 無重大</t>
        </is>
      </c>
      <c r="Q158" s="16" t="inlineStr">
        <is>
          <t>EPS +1.05
按年 +16%
(2 位分析師)</t>
        </is>
      </c>
      <c r="R158" s="16" t="inlineStr">
        <is>
          <t>無重大一次性項目（Yahoo「Total Unusual Items」為零或極小）；帳面淨利≈經常性淨利。</t>
        </is>
      </c>
      <c r="S158" s="16" t="inlineStr">
        <is>
          <t>營運利潤四季：+31.9 → +28.1 → +24.6 → +44.6；按年 +37%；剔除一次性後與帳面一致；營運利潤率 5.2%。</t>
        </is>
      </c>
      <c r="T158" s="16" t="inlineStr">
        <is>
          <t>營運利潤為正、帳面≈經常、按年未倒退 —— 盈利乾淨。　收入按年 +12.4%　淨利率 3.9%　淨利按年 +34%。</t>
        </is>
      </c>
      <c r="U158" s="20" t="inlineStr">
        <is>
          <t>A</t>
        </is>
      </c>
      <c r="V158" s="10" t="inlineStr">
        <is>
          <t>Q2-26</t>
        </is>
      </c>
    </row>
    <row r="159" ht="62" customHeight="1">
      <c r="A159" s="10" t="n">
        <v>158</v>
      </c>
      <c r="B159" s="11" t="inlineStr">
        <is>
          <t>OWL</t>
        </is>
      </c>
      <c r="C159" s="10" t="inlineStr">
        <is>
          <t>—</t>
        </is>
      </c>
      <c r="D159" s="12" t="inlineStr">
        <is>
          <t>Blue Owl Capital Inc.</t>
        </is>
      </c>
      <c r="E159" s="12" t="inlineStr">
        <is>
          <t>金融／Asset Management</t>
        </is>
      </c>
      <c r="F159" s="13" t="inlineStr">
        <is>
          <t>USD</t>
        </is>
      </c>
      <c r="G159" s="14" t="inlineStr">
        <is>
          <t>Q3-25(25年9月) / Q4-25(25年12月) / Q1-26(26年3月) / Q2-26(26年6月)</t>
        </is>
      </c>
      <c r="H159" s="15" t="n">
        <v>728</v>
      </c>
      <c r="I159" s="15" t="n">
        <v>755.6</v>
      </c>
      <c r="J159" s="15" t="n">
        <v>753.8</v>
      </c>
      <c r="K159" s="15" t="n">
        <v>753.1</v>
      </c>
      <c r="L159" s="16" t="inlineStr">
        <is>
          <t>745M
按年 +6%
(10 位分析師)</t>
        </is>
      </c>
      <c r="M159" s="17" t="inlineStr">
        <is>
          <t>淨利 +6.3
經常 -2.0｜營運 +112.7
一次: +9.7 (稅影響 +1.4)</t>
        </is>
      </c>
      <c r="N159" s="17" t="inlineStr">
        <is>
          <t>淨利 +47.7
經常 +53.7｜營運 +167.0
一次: -6.7 (稅影響 -0.7)</t>
        </is>
      </c>
      <c r="O159" s="17" t="inlineStr">
        <is>
          <t>淨利 +15.5
經常 +11.6｜營運 +109.5
一次: +4.8 (稅影響 +0.8)</t>
        </is>
      </c>
      <c r="P159" s="18" t="inlineStr">
        <is>
          <t>淨利 +11.4
經常 +12.7｜營運 +116.4
一次: -1.5 (稅影響 -0.2)</t>
        </is>
      </c>
      <c r="Q159" s="16" t="inlineStr">
        <is>
          <t>EPS +0.25
按年 +3%
(15 位分析師)</t>
        </is>
      </c>
      <c r="R159" s="16" t="inlineStr">
        <is>
          <t>最新季一次性項目 -1.5（支出／減值，令帳面難看），佔帳面淨利 13%。明細性質（資產出售／減值／訴訟／稅務）需查財報原文，本表只取金額，會否重複列「待核實」。</t>
        </is>
      </c>
      <c r="S159" s="16" t="inlineStr">
        <is>
          <t>營運利潤四季：+112.7 → +167.0 → +109.5 → +116.4；按年 +17%；剔除一次性後淨利 +12.7（帳面 +11.4，差 +1.3）；營運利潤率 15.5%。</t>
        </is>
      </c>
      <c r="T159" s="16" t="inlineStr">
        <is>
          <t>營運層面盈利，但帳面淨利含重大一次性項目，經常性口徑要另計。　收入按年 +7.1%　淨利率 1.5%　淨利按年 -35%。</t>
        </is>
      </c>
      <c r="U159" s="19" t="inlineStr">
        <is>
          <t>B</t>
        </is>
      </c>
      <c r="V159" s="10" t="inlineStr">
        <is>
          <t>Q2-26</t>
        </is>
      </c>
    </row>
  </sheetData>
  <autoFilter ref="A1:V15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13" customWidth="1" min="4" max="4"/>
    <col width="5" customWidth="1" min="5" max="5"/>
    <col width="62" customWidth="1" min="6" max="6"/>
  </cols>
  <sheetData>
    <row r="1">
      <c r="A1" s="23" t="inlineStr">
        <is>
          <t>158 隻 TradingView 圖表連結一覽 — 點 B 欄開圖; F 欄為純文字 URL, 方便複製</t>
        </is>
      </c>
    </row>
    <row r="2">
      <c r="A2" s="24" t="inlineStr">
        <is>
          <t>連結格式沿用你的 layout: https://www.tradingview.com/chart/Q1c5VWwD/</t>
        </is>
      </c>
    </row>
    <row r="4">
      <c r="A4" s="25" t="inlineStr">
        <is>
          <t>#</t>
        </is>
      </c>
      <c r="B4" s="25" t="inlineStr">
        <is>
          <t>美股</t>
        </is>
      </c>
      <c r="C4" s="25" t="inlineStr">
        <is>
          <t>公司</t>
        </is>
      </c>
      <c r="D4" s="25" t="inlineStr">
        <is>
          <t>港股</t>
        </is>
      </c>
      <c r="E4" s="25" t="inlineStr">
        <is>
          <t>級</t>
        </is>
      </c>
      <c r="F4" s="25" t="inlineStr">
        <is>
          <t>純文字 URL</t>
        </is>
      </c>
    </row>
    <row r="5">
      <c r="A5" s="26" t="n">
        <v>1</v>
      </c>
      <c r="B5" s="27" t="inlineStr">
        <is>
          <t>ITGR</t>
        </is>
      </c>
      <c r="C5" s="28" t="inlineStr">
        <is>
          <t>Integer Holdings Corporation</t>
        </is>
      </c>
      <c r="D5" s="26" t="inlineStr">
        <is>
          <t>—</t>
        </is>
      </c>
      <c r="E5" s="29" t="inlineStr">
        <is>
          <t>B</t>
        </is>
      </c>
      <c r="F5" s="28" t="inlineStr">
        <is>
          <t>https://www.tradingview.com/chart/Q1c5VWwD/?symbol=nyse%3Aitgr</t>
        </is>
      </c>
    </row>
    <row r="6">
      <c r="A6" s="26" t="n">
        <v>2</v>
      </c>
      <c r="B6" s="27" t="inlineStr">
        <is>
          <t>DMLP</t>
        </is>
      </c>
      <c r="C6" s="28" t="inlineStr">
        <is>
          <t>Dorchester Minerals, L.P.</t>
        </is>
      </c>
      <c r="D6" s="26" t="inlineStr">
        <is>
          <t>—</t>
        </is>
      </c>
      <c r="E6" s="30" t="inlineStr">
        <is>
          <t>A</t>
        </is>
      </c>
      <c r="F6" s="28" t="inlineStr">
        <is>
          <t>https://www.tradingview.com/chart/Q1c5VWwD/?symbol=nasdaq%3Admlp</t>
        </is>
      </c>
    </row>
    <row r="7">
      <c r="A7" s="26" t="n">
        <v>3</v>
      </c>
      <c r="B7" s="27" t="inlineStr">
        <is>
          <t>MAN</t>
        </is>
      </c>
      <c r="C7" s="28" t="inlineStr">
        <is>
          <t>ManpowerGroup Inc.</t>
        </is>
      </c>
      <c r="D7" s="26" t="inlineStr">
        <is>
          <t>—</t>
        </is>
      </c>
      <c r="E7" s="30" t="inlineStr">
        <is>
          <t>A</t>
        </is>
      </c>
      <c r="F7" s="28" t="inlineStr">
        <is>
          <t>https://www.tradingview.com/chart/Q1c5VWwD/?symbol=nyse%3Aman</t>
        </is>
      </c>
    </row>
    <row r="8">
      <c r="A8" s="26" t="n">
        <v>4</v>
      </c>
      <c r="B8" s="27" t="inlineStr">
        <is>
          <t>SMTI</t>
        </is>
      </c>
      <c r="C8" s="28" t="inlineStr">
        <is>
          <t>Sanara MedTech Inc.</t>
        </is>
      </c>
      <c r="D8" s="26" t="inlineStr">
        <is>
          <t>—</t>
        </is>
      </c>
      <c r="E8" s="29" t="inlineStr">
        <is>
          <t>B</t>
        </is>
      </c>
      <c r="F8" s="28" t="inlineStr">
        <is>
          <t>https://www.tradingview.com/chart/Q1c5VWwD/?symbol=nasdaq%3Asmti</t>
        </is>
      </c>
    </row>
    <row r="9">
      <c r="A9" s="26" t="n">
        <v>5</v>
      </c>
      <c r="B9" s="27" t="inlineStr">
        <is>
          <t>INSP</t>
        </is>
      </c>
      <c r="C9" s="28" t="inlineStr">
        <is>
          <t>Inspire Medical Systems, Inc.</t>
        </is>
      </c>
      <c r="D9" s="26" t="inlineStr">
        <is>
          <t>—</t>
        </is>
      </c>
      <c r="E9" s="31" t="inlineStr">
        <is>
          <t>D</t>
        </is>
      </c>
      <c r="F9" s="28" t="inlineStr">
        <is>
          <t>https://www.tradingview.com/chart/Q1c5VWwD/?symbol=nyse%3Ainsp</t>
        </is>
      </c>
    </row>
    <row r="10">
      <c r="A10" s="26" t="n">
        <v>6</v>
      </c>
      <c r="B10" s="27" t="inlineStr">
        <is>
          <t>EXPD</t>
        </is>
      </c>
      <c r="C10" s="28" t="inlineStr">
        <is>
          <t>Expeditors International of Washington, Inc.</t>
        </is>
      </c>
      <c r="D10" s="26" t="inlineStr">
        <is>
          <t>—</t>
        </is>
      </c>
      <c r="E10" s="30" t="inlineStr">
        <is>
          <t>A</t>
        </is>
      </c>
      <c r="F10" s="28" t="inlineStr">
        <is>
          <t>https://www.tradingview.com/chart/Q1c5VWwD/?symbol=nyse%3Aexpd</t>
        </is>
      </c>
    </row>
    <row r="11">
      <c r="A11" s="26" t="n">
        <v>7</v>
      </c>
      <c r="B11" s="27" t="inlineStr">
        <is>
          <t>ARCC</t>
        </is>
      </c>
      <c r="C11" s="28" t="inlineStr">
        <is>
          <t>Ares Capital Corporation</t>
        </is>
      </c>
      <c r="D11" s="26" t="inlineStr">
        <is>
          <t>—</t>
        </is>
      </c>
      <c r="E11" s="29" t="inlineStr">
        <is>
          <t>B</t>
        </is>
      </c>
      <c r="F11" s="28" t="inlineStr">
        <is>
          <t>https://www.tradingview.com/chart/Q1c5VWwD/?symbol=nasdaq%3Aarcc</t>
        </is>
      </c>
    </row>
    <row r="12">
      <c r="A12" s="26" t="n">
        <v>8</v>
      </c>
      <c r="B12" s="27" t="inlineStr">
        <is>
          <t>VZ</t>
        </is>
      </c>
      <c r="C12" s="28" t="inlineStr">
        <is>
          <t>Verizon Communications Inc.</t>
        </is>
      </c>
      <c r="D12" s="26" t="inlineStr">
        <is>
          <t>—</t>
        </is>
      </c>
      <c r="E12" s="29" t="inlineStr">
        <is>
          <t>B</t>
        </is>
      </c>
      <c r="F12" s="28" t="inlineStr">
        <is>
          <t>https://www.tradingview.com/chart/Q1c5VWwD/?symbol=nyse%3Avz</t>
        </is>
      </c>
    </row>
    <row r="13">
      <c r="A13" s="26" t="n">
        <v>9</v>
      </c>
      <c r="B13" s="27" t="inlineStr">
        <is>
          <t>RRC</t>
        </is>
      </c>
      <c r="C13" s="28" t="inlineStr">
        <is>
          <t>Range Resources Corporation</t>
        </is>
      </c>
      <c r="D13" s="26" t="inlineStr">
        <is>
          <t>—</t>
        </is>
      </c>
      <c r="E13" s="29" t="inlineStr">
        <is>
          <t>B</t>
        </is>
      </c>
      <c r="F13" s="28" t="inlineStr">
        <is>
          <t>https://www.tradingview.com/chart/Q1c5VWwD/?symbol=nyse%3Arrc</t>
        </is>
      </c>
    </row>
    <row r="14">
      <c r="A14" s="26" t="n">
        <v>10</v>
      </c>
      <c r="B14" s="27" t="inlineStr">
        <is>
          <t>RCEL</t>
        </is>
      </c>
      <c r="C14" s="28" t="inlineStr">
        <is>
          <t>AVITA Medical, Inc.</t>
        </is>
      </c>
      <c r="D14" s="26" t="inlineStr">
        <is>
          <t>—</t>
        </is>
      </c>
      <c r="E14" s="32" t="inlineStr">
        <is>
          <t>C</t>
        </is>
      </c>
      <c r="F14" s="28" t="inlineStr">
        <is>
          <t>https://www.tradingview.com/chart/Q1c5VWwD/?symbol=nasdaq%3Arcel</t>
        </is>
      </c>
    </row>
    <row r="15">
      <c r="A15" s="26" t="n">
        <v>11</v>
      </c>
      <c r="B15" s="27" t="inlineStr">
        <is>
          <t>OGN</t>
        </is>
      </c>
      <c r="C15" s="28" t="inlineStr">
        <is>
          <t>Organon &amp; Co.</t>
        </is>
      </c>
      <c r="D15" s="26" t="inlineStr">
        <is>
          <t>—</t>
        </is>
      </c>
      <c r="E15" s="29" t="inlineStr">
        <is>
          <t>B</t>
        </is>
      </c>
      <c r="F15" s="28" t="inlineStr">
        <is>
          <t>https://www.tradingview.com/chart/Q1c5VWwD/?symbol=nyse%3Aogn</t>
        </is>
      </c>
    </row>
    <row r="16">
      <c r="A16" s="26" t="n">
        <v>12</v>
      </c>
      <c r="B16" s="27" t="inlineStr">
        <is>
          <t>FORR</t>
        </is>
      </c>
      <c r="C16" s="28" t="inlineStr">
        <is>
          <t>Forrester Research, Inc.</t>
        </is>
      </c>
      <c r="D16" s="26" t="inlineStr">
        <is>
          <t>—</t>
        </is>
      </c>
      <c r="E16" s="29" t="inlineStr">
        <is>
          <t>B</t>
        </is>
      </c>
      <c r="F16" s="28" t="inlineStr">
        <is>
          <t>https://www.tradingview.com/chart/Q1c5VWwD/?symbol=nasdaq%3Aforr</t>
        </is>
      </c>
    </row>
    <row r="17">
      <c r="A17" s="26" t="n">
        <v>13</v>
      </c>
      <c r="B17" s="27" t="inlineStr">
        <is>
          <t>AVTR</t>
        </is>
      </c>
      <c r="C17" s="28" t="inlineStr">
        <is>
          <t>Avantor, Inc.</t>
        </is>
      </c>
      <c r="D17" s="26" t="inlineStr">
        <is>
          <t>—</t>
        </is>
      </c>
      <c r="E17" s="29" t="inlineStr">
        <is>
          <t>B</t>
        </is>
      </c>
      <c r="F17" s="28" t="inlineStr">
        <is>
          <t>https://www.tradingview.com/chart/Q1c5VWwD/?symbol=nyse%3Aavtr</t>
        </is>
      </c>
    </row>
    <row r="18">
      <c r="A18" s="26" t="n">
        <v>14</v>
      </c>
      <c r="B18" s="27" t="inlineStr">
        <is>
          <t>ET</t>
        </is>
      </c>
      <c r="C18" s="28" t="inlineStr">
        <is>
          <t>Energy Transfer LP</t>
        </is>
      </c>
      <c r="D18" s="26" t="inlineStr">
        <is>
          <t>—</t>
        </is>
      </c>
      <c r="E18" s="30" t="inlineStr">
        <is>
          <t>A</t>
        </is>
      </c>
      <c r="F18" s="28" t="inlineStr">
        <is>
          <t>https://www.tradingview.com/chart/Q1c5VWwD/?symbol=nyse%3Aet</t>
        </is>
      </c>
    </row>
    <row r="19">
      <c r="A19" s="26" t="n">
        <v>15</v>
      </c>
      <c r="B19" s="27" t="inlineStr">
        <is>
          <t>HALO</t>
        </is>
      </c>
      <c r="C19" s="28" t="inlineStr">
        <is>
          <t>Halozyme Therapeutics, Inc.</t>
        </is>
      </c>
      <c r="D19" s="26" t="inlineStr">
        <is>
          <t>—</t>
        </is>
      </c>
      <c r="E19" s="30" t="inlineStr">
        <is>
          <t>A</t>
        </is>
      </c>
      <c r="F19" s="28" t="inlineStr">
        <is>
          <t>https://www.tradingview.com/chart/Q1c5VWwD/?symbol=nasdaq%3Ahalo</t>
        </is>
      </c>
    </row>
    <row r="20">
      <c r="A20" s="26" t="n">
        <v>16</v>
      </c>
      <c r="B20" s="27" t="inlineStr">
        <is>
          <t>SSNC</t>
        </is>
      </c>
      <c r="C20" s="28" t="inlineStr">
        <is>
          <t>SS&amp;C Technologies Holdings, Inc.</t>
        </is>
      </c>
      <c r="D20" s="26" t="inlineStr">
        <is>
          <t>—</t>
        </is>
      </c>
      <c r="E20" s="30" t="inlineStr">
        <is>
          <t>A</t>
        </is>
      </c>
      <c r="F20" s="28" t="inlineStr">
        <is>
          <t>https://www.tradingview.com/chart/Q1c5VWwD/?symbol=nasdaq%3Assnc</t>
        </is>
      </c>
    </row>
    <row r="21">
      <c r="A21" s="26" t="n">
        <v>17</v>
      </c>
      <c r="B21" s="27" t="inlineStr">
        <is>
          <t>EOLS</t>
        </is>
      </c>
      <c r="C21" s="28" t="inlineStr">
        <is>
          <t>Evolus, Inc.</t>
        </is>
      </c>
      <c r="D21" s="26" t="inlineStr">
        <is>
          <t>—</t>
        </is>
      </c>
      <c r="E21" s="32" t="inlineStr">
        <is>
          <t>C</t>
        </is>
      </c>
      <c r="F21" s="28" t="inlineStr">
        <is>
          <t>https://www.tradingview.com/chart/Q1c5VWwD/?symbol=nasdaq%3Aeols</t>
        </is>
      </c>
    </row>
    <row r="22">
      <c r="A22" s="26" t="n">
        <v>18</v>
      </c>
      <c r="B22" s="27" t="inlineStr">
        <is>
          <t>PAYC</t>
        </is>
      </c>
      <c r="C22" s="28" t="inlineStr">
        <is>
          <t>Paycom Software, Inc.</t>
        </is>
      </c>
      <c r="D22" s="26" t="inlineStr">
        <is>
          <t>—</t>
        </is>
      </c>
      <c r="E22" s="30" t="inlineStr">
        <is>
          <t>A</t>
        </is>
      </c>
      <c r="F22" s="28" t="inlineStr">
        <is>
          <t>https://www.tradingview.com/chart/Q1c5VWwD/?symbol=nyse%3Apayc</t>
        </is>
      </c>
    </row>
    <row r="23">
      <c r="A23" s="26" t="n">
        <v>19</v>
      </c>
      <c r="B23" s="27" t="inlineStr">
        <is>
          <t>GLIBK</t>
        </is>
      </c>
      <c r="C23" s="28" t="inlineStr">
        <is>
          <t>Liberty Capital Corporation</t>
        </is>
      </c>
      <c r="D23" s="26" t="inlineStr">
        <is>
          <t>—</t>
        </is>
      </c>
      <c r="E23" s="29" t="inlineStr">
        <is>
          <t>B</t>
        </is>
      </c>
      <c r="F23" s="28" t="inlineStr">
        <is>
          <t>https://www.tradingview.com/chart/Q1c5VWwD/?symbol=nasdaq%3Aglibk</t>
        </is>
      </c>
    </row>
    <row r="24">
      <c r="A24" s="26" t="n">
        <v>20</v>
      </c>
      <c r="B24" s="27" t="inlineStr">
        <is>
          <t>PNRG</t>
        </is>
      </c>
      <c r="C24" s="28" t="inlineStr">
        <is>
          <t>PrimeEnergy Resources Corporation</t>
        </is>
      </c>
      <c r="D24" s="26" t="inlineStr">
        <is>
          <t>—</t>
        </is>
      </c>
      <c r="E24" s="29" t="inlineStr">
        <is>
          <t>B</t>
        </is>
      </c>
      <c r="F24" s="28" t="inlineStr">
        <is>
          <t>https://www.tradingview.com/chart/Q1c5VWwD/?symbol=nasdaq%3Apnrg</t>
        </is>
      </c>
    </row>
    <row r="25">
      <c r="A25" s="26" t="n">
        <v>21</v>
      </c>
      <c r="B25" s="27" t="inlineStr">
        <is>
          <t>MATX</t>
        </is>
      </c>
      <c r="C25" s="28" t="inlineStr">
        <is>
          <t>Matson, Inc.</t>
        </is>
      </c>
      <c r="D25" s="26" t="inlineStr">
        <is>
          <t>—</t>
        </is>
      </c>
      <c r="E25" s="29" t="inlineStr">
        <is>
          <t>B</t>
        </is>
      </c>
      <c r="F25" s="28" t="inlineStr">
        <is>
          <t>https://www.tradingview.com/chart/Q1c5VWwD/?symbol=nyse%3Amatx</t>
        </is>
      </c>
    </row>
    <row r="26">
      <c r="A26" s="26" t="n">
        <v>22</v>
      </c>
      <c r="B26" s="27" t="inlineStr">
        <is>
          <t>CTSH</t>
        </is>
      </c>
      <c r="C26" s="28" t="inlineStr">
        <is>
          <t>Cognizant Technology Solutions Corporation</t>
        </is>
      </c>
      <c r="D26" s="26" t="inlineStr">
        <is>
          <t>—</t>
        </is>
      </c>
      <c r="E26" s="29" t="inlineStr">
        <is>
          <t>B</t>
        </is>
      </c>
      <c r="F26" s="28" t="inlineStr">
        <is>
          <t>https://www.tradingview.com/chart/Q1c5VWwD/?symbol=nasdaq%3Actsh</t>
        </is>
      </c>
    </row>
    <row r="27">
      <c r="A27" s="26" t="n">
        <v>23</v>
      </c>
      <c r="B27" s="27" t="inlineStr">
        <is>
          <t>QMCO</t>
        </is>
      </c>
      <c r="C27" s="28" t="inlineStr">
        <is>
          <t>Quantum Corporation</t>
        </is>
      </c>
      <c r="D27" s="26" t="inlineStr">
        <is>
          <t>—</t>
        </is>
      </c>
      <c r="E27" s="29" t="inlineStr">
        <is>
          <t>B</t>
        </is>
      </c>
      <c r="F27" s="28" t="inlineStr">
        <is>
          <t>https://www.tradingview.com/chart/Q1c5VWwD/?symbol=nasdaq%3Aqmco</t>
        </is>
      </c>
    </row>
    <row r="28">
      <c r="A28" s="26" t="n">
        <v>24</v>
      </c>
      <c r="B28" s="27" t="inlineStr">
        <is>
          <t>GIC</t>
        </is>
      </c>
      <c r="C28" s="28" t="inlineStr">
        <is>
          <t>Global Industrial Company</t>
        </is>
      </c>
      <c r="D28" s="26" t="inlineStr">
        <is>
          <t>—</t>
        </is>
      </c>
      <c r="E28" s="30" t="inlineStr">
        <is>
          <t>A</t>
        </is>
      </c>
      <c r="F28" s="28" t="inlineStr">
        <is>
          <t>https://www.tradingview.com/chart/Q1c5VWwD/?symbol=nyse%3Agic</t>
        </is>
      </c>
    </row>
    <row r="29">
      <c r="A29" s="26" t="n">
        <v>25</v>
      </c>
      <c r="B29" s="27" t="inlineStr">
        <is>
          <t>LBRX</t>
        </is>
      </c>
      <c r="C29" s="28" t="inlineStr">
        <is>
          <t>LB Pharmaceuticals Inc</t>
        </is>
      </c>
      <c r="D29" s="26" t="inlineStr">
        <is>
          <t>—</t>
        </is>
      </c>
      <c r="E29" s="31" t="inlineStr">
        <is>
          <t>D</t>
        </is>
      </c>
      <c r="F29" s="28" t="inlineStr">
        <is>
          <t>https://www.tradingview.com/chart/Q1c5VWwD/?symbol=nasdaq%3Albrx</t>
        </is>
      </c>
    </row>
    <row r="30">
      <c r="A30" s="26" t="n">
        <v>26</v>
      </c>
      <c r="B30" s="27" t="inlineStr">
        <is>
          <t>SPSC</t>
        </is>
      </c>
      <c r="C30" s="28" t="inlineStr">
        <is>
          <t>SPS Commerce, Inc.</t>
        </is>
      </c>
      <c r="D30" s="26" t="inlineStr">
        <is>
          <t>—</t>
        </is>
      </c>
      <c r="E30" s="29" t="inlineStr">
        <is>
          <t>B</t>
        </is>
      </c>
      <c r="F30" s="28" t="inlineStr">
        <is>
          <t>https://www.tradingview.com/chart/Q1c5VWwD/?symbol=nasdaq%3Aspsc</t>
        </is>
      </c>
    </row>
    <row r="31">
      <c r="A31" s="26" t="n">
        <v>27</v>
      </c>
      <c r="B31" s="27" t="inlineStr">
        <is>
          <t>ARLP</t>
        </is>
      </c>
      <c r="C31" s="28" t="inlineStr">
        <is>
          <t>Alliance Resource Partners, L.P.</t>
        </is>
      </c>
      <c r="D31" s="26" t="inlineStr">
        <is>
          <t>—</t>
        </is>
      </c>
      <c r="E31" s="30" t="inlineStr">
        <is>
          <t>A</t>
        </is>
      </c>
      <c r="F31" s="28" t="inlineStr">
        <is>
          <t>https://www.tradingview.com/chart/Q1c5VWwD/?symbol=nasdaq%3Aarlp</t>
        </is>
      </c>
    </row>
    <row r="32">
      <c r="A32" s="26" t="n">
        <v>28</v>
      </c>
      <c r="B32" s="27" t="inlineStr">
        <is>
          <t>AGEN</t>
        </is>
      </c>
      <c r="C32" s="28" t="inlineStr">
        <is>
          <t>Agenus Inc.</t>
        </is>
      </c>
      <c r="D32" s="26" t="inlineStr">
        <is>
          <t>—</t>
        </is>
      </c>
      <c r="E32" s="30" t="inlineStr">
        <is>
          <t>A</t>
        </is>
      </c>
      <c r="F32" s="28" t="inlineStr">
        <is>
          <t>https://www.tradingview.com/chart/Q1c5VWwD/?symbol=nasdaq%3Aagen</t>
        </is>
      </c>
    </row>
    <row r="33">
      <c r="A33" s="26" t="n">
        <v>29</v>
      </c>
      <c r="B33" s="27" t="inlineStr">
        <is>
          <t>NWSA</t>
        </is>
      </c>
      <c r="C33" s="28" t="inlineStr">
        <is>
          <t>News Corporation</t>
        </is>
      </c>
      <c r="D33" s="26" t="inlineStr">
        <is>
          <t>—</t>
        </is>
      </c>
      <c r="E33" s="29" t="inlineStr">
        <is>
          <t>B</t>
        </is>
      </c>
      <c r="F33" s="28" t="inlineStr">
        <is>
          <t>https://www.tradingview.com/chart/Q1c5VWwD/?symbol=nasdaq%3Anwsa</t>
        </is>
      </c>
    </row>
    <row r="34">
      <c r="A34" s="26" t="n">
        <v>30</v>
      </c>
      <c r="B34" s="27" t="inlineStr">
        <is>
          <t>HSIC</t>
        </is>
      </c>
      <c r="C34" s="28" t="inlineStr">
        <is>
          <t>Henry Schein, Inc.</t>
        </is>
      </c>
      <c r="D34" s="26" t="inlineStr">
        <is>
          <t>—</t>
        </is>
      </c>
      <c r="E34" s="29" t="inlineStr">
        <is>
          <t>B</t>
        </is>
      </c>
      <c r="F34" s="28" t="inlineStr">
        <is>
          <t>https://www.tradingview.com/chart/Q1c5VWwD/?symbol=nasdaq%3Ahsic</t>
        </is>
      </c>
    </row>
    <row r="35">
      <c r="A35" s="26" t="n">
        <v>31</v>
      </c>
      <c r="B35" s="27" t="inlineStr">
        <is>
          <t>CART</t>
        </is>
      </c>
      <c r="C35" s="28" t="inlineStr">
        <is>
          <t>Maplebear Inc.</t>
        </is>
      </c>
      <c r="D35" s="26" t="inlineStr">
        <is>
          <t>—</t>
        </is>
      </c>
      <c r="E35" s="30" t="inlineStr">
        <is>
          <t>A</t>
        </is>
      </c>
      <c r="F35" s="28" t="inlineStr">
        <is>
          <t>https://www.tradingview.com/chart/Q1c5VWwD/?symbol=nasdaq%3Acart</t>
        </is>
      </c>
    </row>
    <row r="36">
      <c r="A36" s="26" t="n">
        <v>32</v>
      </c>
      <c r="B36" s="27" t="inlineStr">
        <is>
          <t>BIIB</t>
        </is>
      </c>
      <c r="C36" s="28" t="inlineStr">
        <is>
          <t>Biogen Inc.</t>
        </is>
      </c>
      <c r="D36" s="26" t="inlineStr">
        <is>
          <t>—</t>
        </is>
      </c>
      <c r="E36" s="29" t="inlineStr">
        <is>
          <t>B</t>
        </is>
      </c>
      <c r="F36" s="28" t="inlineStr">
        <is>
          <t>https://www.tradingview.com/chart/Q1c5VWwD/?symbol=nasdaq%3Abiib</t>
        </is>
      </c>
    </row>
    <row r="37">
      <c r="A37" s="26" t="n">
        <v>33</v>
      </c>
      <c r="B37" s="27" t="inlineStr">
        <is>
          <t>EPAM</t>
        </is>
      </c>
      <c r="C37" s="28" t="inlineStr">
        <is>
          <t>EPAM Systems, Inc.</t>
        </is>
      </c>
      <c r="D37" s="26" t="inlineStr">
        <is>
          <t>—</t>
        </is>
      </c>
      <c r="E37" s="30" t="inlineStr">
        <is>
          <t>A</t>
        </is>
      </c>
      <c r="F37" s="28" t="inlineStr">
        <is>
          <t>https://www.tradingview.com/chart/Q1c5VWwD/?symbol=nyse%3Aepam</t>
        </is>
      </c>
    </row>
    <row r="38">
      <c r="A38" s="26" t="n">
        <v>34</v>
      </c>
      <c r="B38" s="27" t="inlineStr">
        <is>
          <t>RGA</t>
        </is>
      </c>
      <c r="C38" s="28" t="inlineStr">
        <is>
          <t>Reinsurance Group of America, Incorporated</t>
        </is>
      </c>
      <c r="D38" s="26" t="inlineStr">
        <is>
          <t>—</t>
        </is>
      </c>
      <c r="E38" s="30" t="inlineStr">
        <is>
          <t>A</t>
        </is>
      </c>
      <c r="F38" s="28" t="inlineStr">
        <is>
          <t>https://www.tradingview.com/chart/Q1c5VWwD/?symbol=nyse%3Arga</t>
        </is>
      </c>
    </row>
    <row r="39">
      <c r="A39" s="26" t="n">
        <v>35</v>
      </c>
      <c r="B39" s="27" t="inlineStr">
        <is>
          <t>PAG</t>
        </is>
      </c>
      <c r="C39" s="28" t="inlineStr">
        <is>
          <t>Penske Automotive Group, Inc.</t>
        </is>
      </c>
      <c r="D39" s="26" t="inlineStr">
        <is>
          <t>—</t>
        </is>
      </c>
      <c r="E39" s="29" t="inlineStr">
        <is>
          <t>B</t>
        </is>
      </c>
      <c r="F39" s="28" t="inlineStr">
        <is>
          <t>https://www.tradingview.com/chart/Q1c5VWwD/?symbol=nyse%3Apag</t>
        </is>
      </c>
    </row>
    <row r="40">
      <c r="A40" s="26" t="n">
        <v>36</v>
      </c>
      <c r="B40" s="27" t="inlineStr">
        <is>
          <t>SXT</t>
        </is>
      </c>
      <c r="C40" s="28" t="inlineStr">
        <is>
          <t>Sensient Technologies Corporation</t>
        </is>
      </c>
      <c r="D40" s="26" t="inlineStr">
        <is>
          <t>—</t>
        </is>
      </c>
      <c r="E40" s="30" t="inlineStr">
        <is>
          <t>A</t>
        </is>
      </c>
      <c r="F40" s="28" t="inlineStr">
        <is>
          <t>https://www.tradingview.com/chart/Q1c5VWwD/?symbol=nyse%3Asxt</t>
        </is>
      </c>
    </row>
    <row r="41">
      <c r="A41" s="26" t="n">
        <v>37</v>
      </c>
      <c r="B41" s="27" t="inlineStr">
        <is>
          <t>SBH</t>
        </is>
      </c>
      <c r="C41" s="28" t="inlineStr">
        <is>
          <t>Sally Beauty Holdings, Inc.</t>
        </is>
      </c>
      <c r="D41" s="26" t="inlineStr">
        <is>
          <t>—</t>
        </is>
      </c>
      <c r="E41" s="30" t="inlineStr">
        <is>
          <t>A</t>
        </is>
      </c>
      <c r="F41" s="28" t="inlineStr">
        <is>
          <t>https://www.tradingview.com/chart/Q1c5VWwD/?symbol=nyse%3Asbh</t>
        </is>
      </c>
    </row>
    <row r="42">
      <c r="A42" s="26" t="n">
        <v>38</v>
      </c>
      <c r="B42" s="27" t="inlineStr">
        <is>
          <t>VSTM</t>
        </is>
      </c>
      <c r="C42" s="28" t="inlineStr">
        <is>
          <t>Verastem, Inc.</t>
        </is>
      </c>
      <c r="D42" s="26" t="inlineStr">
        <is>
          <t>—</t>
        </is>
      </c>
      <c r="E42" s="32" t="inlineStr">
        <is>
          <t>C</t>
        </is>
      </c>
      <c r="F42" s="28" t="inlineStr">
        <is>
          <t>https://www.tradingview.com/chart/Q1c5VWwD/?symbol=nasdaq%3Avstm</t>
        </is>
      </c>
    </row>
    <row r="43">
      <c r="A43" s="26" t="n">
        <v>39</v>
      </c>
      <c r="B43" s="27" t="inlineStr">
        <is>
          <t>SEIC</t>
        </is>
      </c>
      <c r="C43" s="28" t="inlineStr">
        <is>
          <t>SEI Investments Company</t>
        </is>
      </c>
      <c r="D43" s="26" t="inlineStr">
        <is>
          <t>—</t>
        </is>
      </c>
      <c r="E43" s="30" t="inlineStr">
        <is>
          <t>A</t>
        </is>
      </c>
      <c r="F43" s="28" t="inlineStr">
        <is>
          <t>https://www.tradingview.com/chart/Q1c5VWwD/?symbol=nasdaq%3Aseic</t>
        </is>
      </c>
    </row>
    <row r="44">
      <c r="A44" s="26" t="n">
        <v>40</v>
      </c>
      <c r="B44" s="27" t="inlineStr">
        <is>
          <t>OVBC</t>
        </is>
      </c>
      <c r="C44" s="28" t="inlineStr">
        <is>
          <t>Ohio Valley Banc Corp.</t>
        </is>
      </c>
      <c r="D44" s="26" t="inlineStr">
        <is>
          <t>—</t>
        </is>
      </c>
      <c r="E44" s="29" t="inlineStr">
        <is>
          <t>B</t>
        </is>
      </c>
      <c r="F44" s="28" t="inlineStr">
        <is>
          <t>https://www.tradingview.com/chart/Q1c5VWwD/?symbol=nasdaq%3Aovbc</t>
        </is>
      </c>
    </row>
    <row r="45">
      <c r="A45" s="26" t="n">
        <v>41</v>
      </c>
      <c r="B45" s="27" t="inlineStr">
        <is>
          <t>NAVI</t>
        </is>
      </c>
      <c r="C45" s="28" t="inlineStr">
        <is>
          <t>Navient Corporation</t>
        </is>
      </c>
      <c r="D45" s="26" t="inlineStr">
        <is>
          <t>—</t>
        </is>
      </c>
      <c r="E45" s="29" t="inlineStr">
        <is>
          <t>B</t>
        </is>
      </c>
      <c r="F45" s="28" t="inlineStr">
        <is>
          <t>https://www.tradingview.com/chart/Q1c5VWwD/?symbol=nasdaq%3Anavi</t>
        </is>
      </c>
    </row>
    <row r="46">
      <c r="A46" s="26" t="n">
        <v>42</v>
      </c>
      <c r="B46" s="27" t="inlineStr">
        <is>
          <t>NATH</t>
        </is>
      </c>
      <c r="C46" s="28" t="inlineStr">
        <is>
          <t>Nathan's Famous, Inc.</t>
        </is>
      </c>
      <c r="D46" s="26" t="inlineStr">
        <is>
          <t>—</t>
        </is>
      </c>
      <c r="E46" s="29" t="inlineStr">
        <is>
          <t>B</t>
        </is>
      </c>
      <c r="F46" s="28" t="inlineStr">
        <is>
          <t>https://www.tradingview.com/chart/Q1c5VWwD/?symbol=nasdaq%3Anath</t>
        </is>
      </c>
    </row>
    <row r="47">
      <c r="A47" s="26" t="n">
        <v>43</v>
      </c>
      <c r="B47" s="27" t="inlineStr">
        <is>
          <t>SGHT</t>
        </is>
      </c>
      <c r="C47" s="28" t="inlineStr">
        <is>
          <t>Sight Sciences, Inc.</t>
        </is>
      </c>
      <c r="D47" s="26" t="inlineStr">
        <is>
          <t>—</t>
        </is>
      </c>
      <c r="E47" s="32" t="inlineStr">
        <is>
          <t>C</t>
        </is>
      </c>
      <c r="F47" s="28" t="inlineStr">
        <is>
          <t>https://www.tradingview.com/chart/Q1c5VWwD/?symbol=nasdaq%3Asght</t>
        </is>
      </c>
    </row>
    <row r="48">
      <c r="A48" s="26" t="n">
        <v>44</v>
      </c>
      <c r="B48" s="27" t="inlineStr">
        <is>
          <t>NUTX</t>
        </is>
      </c>
      <c r="C48" s="28" t="inlineStr">
        <is>
          <t>Nutex Health Inc.</t>
        </is>
      </c>
      <c r="D48" s="26" t="inlineStr">
        <is>
          <t>—</t>
        </is>
      </c>
      <c r="E48" s="30" t="inlineStr">
        <is>
          <t>A</t>
        </is>
      </c>
      <c r="F48" s="28" t="inlineStr">
        <is>
          <t>https://www.tradingview.com/chart/Q1c5VWwD/?symbol=nasdaq%3Anutx</t>
        </is>
      </c>
    </row>
    <row r="49">
      <c r="A49" s="26" t="n">
        <v>45</v>
      </c>
      <c r="B49" s="27" t="inlineStr">
        <is>
          <t>FMAO</t>
        </is>
      </c>
      <c r="C49" s="28" t="inlineStr">
        <is>
          <t>Farmers &amp; Merchants Bancorp, Inc.</t>
        </is>
      </c>
      <c r="D49" s="26" t="inlineStr">
        <is>
          <t>—</t>
        </is>
      </c>
      <c r="E49" s="30" t="inlineStr">
        <is>
          <t>A</t>
        </is>
      </c>
      <c r="F49" s="28" t="inlineStr">
        <is>
          <t>https://www.tradingview.com/chart/Q1c5VWwD/?symbol=nasdaq%3Afmao</t>
        </is>
      </c>
    </row>
    <row r="50">
      <c r="A50" s="26" t="n">
        <v>46</v>
      </c>
      <c r="B50" s="27" t="inlineStr">
        <is>
          <t>CNX</t>
        </is>
      </c>
      <c r="C50" s="28" t="inlineStr">
        <is>
          <t>CNX Resources Corporation</t>
        </is>
      </c>
      <c r="D50" s="26" t="inlineStr">
        <is>
          <t>—</t>
        </is>
      </c>
      <c r="E50" s="29" t="inlineStr">
        <is>
          <t>B</t>
        </is>
      </c>
      <c r="F50" s="28" t="inlineStr">
        <is>
          <t>https://www.tradingview.com/chart/Q1c5VWwD/?symbol=nyse%3Acnx</t>
        </is>
      </c>
    </row>
    <row r="51">
      <c r="A51" s="26" t="n">
        <v>47</v>
      </c>
      <c r="B51" s="27" t="inlineStr">
        <is>
          <t>MLAB</t>
        </is>
      </c>
      <c r="C51" s="28" t="inlineStr">
        <is>
          <t>Mesa Laboratories, Inc.</t>
        </is>
      </c>
      <c r="D51" s="26" t="inlineStr">
        <is>
          <t>—</t>
        </is>
      </c>
      <c r="E51" s="30" t="inlineStr">
        <is>
          <t>A</t>
        </is>
      </c>
      <c r="F51" s="28" t="inlineStr">
        <is>
          <t>https://www.tradingview.com/chart/Q1c5VWwD/?symbol=nasdaq%3Amlab</t>
        </is>
      </c>
    </row>
    <row r="52">
      <c r="A52" s="26" t="n">
        <v>48</v>
      </c>
      <c r="B52" s="27" t="inlineStr">
        <is>
          <t>HUBS</t>
        </is>
      </c>
      <c r="C52" s="28" t="inlineStr">
        <is>
          <t>HubSpot, Inc.</t>
        </is>
      </c>
      <c r="D52" s="26" t="inlineStr">
        <is>
          <t>—</t>
        </is>
      </c>
      <c r="E52" s="30" t="inlineStr">
        <is>
          <t>A</t>
        </is>
      </c>
      <c r="F52" s="28" t="inlineStr">
        <is>
          <t>https://www.tradingview.com/chart/Q1c5VWwD/?symbol=nyse%3Ahubs</t>
        </is>
      </c>
    </row>
    <row r="53">
      <c r="A53" s="26" t="n">
        <v>49</v>
      </c>
      <c r="B53" s="27" t="inlineStr">
        <is>
          <t>RIGL</t>
        </is>
      </c>
      <c r="C53" s="28" t="inlineStr">
        <is>
          <t>Rigel Pharmaceuticals, Inc.</t>
        </is>
      </c>
      <c r="D53" s="26" t="inlineStr">
        <is>
          <t>—</t>
        </is>
      </c>
      <c r="E53" s="29" t="inlineStr">
        <is>
          <t>B</t>
        </is>
      </c>
      <c r="F53" s="28" t="inlineStr">
        <is>
          <t>https://www.tradingview.com/chart/Q1c5VWwD/?symbol=nasdaq%3Arigl</t>
        </is>
      </c>
    </row>
    <row r="54">
      <c r="A54" s="26" t="n">
        <v>50</v>
      </c>
      <c r="B54" s="27" t="inlineStr">
        <is>
          <t>TECH</t>
        </is>
      </c>
      <c r="C54" s="28" t="inlineStr">
        <is>
          <t>Bio-Techne Corporation</t>
        </is>
      </c>
      <c r="D54" s="26" t="inlineStr">
        <is>
          <t>—</t>
        </is>
      </c>
      <c r="E54" s="29" t="inlineStr">
        <is>
          <t>B</t>
        </is>
      </c>
      <c r="F54" s="28" t="inlineStr">
        <is>
          <t>https://www.tradingview.com/chart/Q1c5VWwD/?symbol=nasdaq%3Atech</t>
        </is>
      </c>
    </row>
    <row r="55">
      <c r="A55" s="26" t="n">
        <v>51</v>
      </c>
      <c r="B55" s="27" t="inlineStr">
        <is>
          <t>ACN</t>
        </is>
      </c>
      <c r="C55" s="28" t="inlineStr">
        <is>
          <t>Accenture plc</t>
        </is>
      </c>
      <c r="D55" s="26" t="inlineStr">
        <is>
          <t>—</t>
        </is>
      </c>
      <c r="E55" s="30" t="inlineStr">
        <is>
          <t>A</t>
        </is>
      </c>
      <c r="F55" s="28" t="inlineStr">
        <is>
          <t>https://www.tradingview.com/chart/Q1c5VWwD/?symbol=nyse%3Aacn</t>
        </is>
      </c>
    </row>
    <row r="56">
      <c r="A56" s="26" t="n">
        <v>52</v>
      </c>
      <c r="B56" s="27" t="inlineStr">
        <is>
          <t>PLSE</t>
        </is>
      </c>
      <c r="C56" s="28" t="inlineStr">
        <is>
          <t>Pulse Biosciences, Inc.</t>
        </is>
      </c>
      <c r="D56" s="26" t="inlineStr">
        <is>
          <t>—</t>
        </is>
      </c>
      <c r="E56" s="31" t="inlineStr">
        <is>
          <t>D</t>
        </is>
      </c>
      <c r="F56" s="28" t="inlineStr">
        <is>
          <t>https://www.tradingview.com/chart/Q1c5VWwD/?symbol=nasdaq%3Aplse</t>
        </is>
      </c>
    </row>
    <row r="57">
      <c r="A57" s="26" t="n">
        <v>53</v>
      </c>
      <c r="B57" s="27" t="inlineStr">
        <is>
          <t>EPD</t>
        </is>
      </c>
      <c r="C57" s="28" t="inlineStr">
        <is>
          <t>Enterprise Products Partners L.P.</t>
        </is>
      </c>
      <c r="D57" s="26" t="inlineStr">
        <is>
          <t>—</t>
        </is>
      </c>
      <c r="E57" s="30" t="inlineStr">
        <is>
          <t>A</t>
        </is>
      </c>
      <c r="F57" s="28" t="inlineStr">
        <is>
          <t>https://www.tradingview.com/chart/Q1c5VWwD/?symbol=nyse%3Aepd</t>
        </is>
      </c>
    </row>
    <row r="58">
      <c r="A58" s="26" t="n">
        <v>54</v>
      </c>
      <c r="B58" s="27" t="inlineStr">
        <is>
          <t>MIRM</t>
        </is>
      </c>
      <c r="C58" s="28" t="inlineStr">
        <is>
          <t>Mirum Pharmaceuticals, Inc.</t>
        </is>
      </c>
      <c r="D58" s="26" t="inlineStr">
        <is>
          <t>—</t>
        </is>
      </c>
      <c r="E58" s="31" t="inlineStr">
        <is>
          <t>D</t>
        </is>
      </c>
      <c r="F58" s="28" t="inlineStr">
        <is>
          <t>https://www.tradingview.com/chart/Q1c5VWwD/?symbol=nasdaq%3Amirm</t>
        </is>
      </c>
    </row>
    <row r="59">
      <c r="A59" s="26" t="n">
        <v>55</v>
      </c>
      <c r="B59" s="27" t="inlineStr">
        <is>
          <t>RWAY</t>
        </is>
      </c>
      <c r="C59" s="28" t="inlineStr">
        <is>
          <t>Runway Growth Finance Corp.</t>
        </is>
      </c>
      <c r="D59" s="26" t="inlineStr">
        <is>
          <t>—</t>
        </is>
      </c>
      <c r="E59" s="30" t="inlineStr">
        <is>
          <t>A</t>
        </is>
      </c>
      <c r="F59" s="28" t="inlineStr">
        <is>
          <t>https://www.tradingview.com/chart/Q1c5VWwD/?symbol=nasdaq%3Arway</t>
        </is>
      </c>
    </row>
    <row r="60">
      <c r="A60" s="26" t="n">
        <v>56</v>
      </c>
      <c r="B60" s="27" t="inlineStr">
        <is>
          <t>QUAD</t>
        </is>
      </c>
      <c r="C60" s="28" t="inlineStr">
        <is>
          <t>Quad/Graphics, Inc.</t>
        </is>
      </c>
      <c r="D60" s="26" t="inlineStr">
        <is>
          <t>—</t>
        </is>
      </c>
      <c r="E60" s="29" t="inlineStr">
        <is>
          <t>B</t>
        </is>
      </c>
      <c r="F60" s="28" t="inlineStr">
        <is>
          <t>https://www.tradingview.com/chart/Q1c5VWwD/?symbol=nyse%3Aquad</t>
        </is>
      </c>
    </row>
    <row r="61">
      <c r="A61" s="26" t="n">
        <v>57</v>
      </c>
      <c r="B61" s="27" t="inlineStr">
        <is>
          <t>TRI</t>
        </is>
      </c>
      <c r="C61" s="28" t="inlineStr">
        <is>
          <t>Thomson Reuters Corporation</t>
        </is>
      </c>
      <c r="D61" s="26" t="inlineStr">
        <is>
          <t>—</t>
        </is>
      </c>
      <c r="E61" s="30" t="inlineStr">
        <is>
          <t>A</t>
        </is>
      </c>
      <c r="F61" s="28" t="inlineStr">
        <is>
          <t>https://www.tradingview.com/chart/Q1c5VWwD/?symbol=nasdaq%3Atri</t>
        </is>
      </c>
    </row>
    <row r="62">
      <c r="A62" s="26" t="n">
        <v>58</v>
      </c>
      <c r="B62" s="27" t="inlineStr">
        <is>
          <t>SBAC</t>
        </is>
      </c>
      <c r="C62" s="28" t="inlineStr">
        <is>
          <t>SBA Communications Corporation</t>
        </is>
      </c>
      <c r="D62" s="26" t="inlineStr">
        <is>
          <t>—</t>
        </is>
      </c>
      <c r="E62" s="29" t="inlineStr">
        <is>
          <t>B</t>
        </is>
      </c>
      <c r="F62" s="28" t="inlineStr">
        <is>
          <t>https://www.tradingview.com/chart/Q1c5VWwD/?symbol=nasdaq%3Asbac</t>
        </is>
      </c>
    </row>
    <row r="63">
      <c r="A63" s="26" t="n">
        <v>59</v>
      </c>
      <c r="B63" s="27" t="inlineStr">
        <is>
          <t>WK</t>
        </is>
      </c>
      <c r="C63" s="28" t="inlineStr">
        <is>
          <t>Workiva Inc.</t>
        </is>
      </c>
      <c r="D63" s="26" t="inlineStr">
        <is>
          <t>—</t>
        </is>
      </c>
      <c r="E63" s="30" t="inlineStr">
        <is>
          <t>A</t>
        </is>
      </c>
      <c r="F63" s="28" t="inlineStr">
        <is>
          <t>https://www.tradingview.com/chart/Q1c5VWwD/?symbol=nyse%3Awk</t>
        </is>
      </c>
    </row>
    <row r="64">
      <c r="A64" s="26" t="n">
        <v>60</v>
      </c>
      <c r="B64" s="27" t="inlineStr">
        <is>
          <t>ICE</t>
        </is>
      </c>
      <c r="C64" s="28" t="inlineStr">
        <is>
          <t>Intercontinental Exchange, Inc.</t>
        </is>
      </c>
      <c r="D64" s="26" t="inlineStr">
        <is>
          <t>—</t>
        </is>
      </c>
      <c r="E64" s="30" t="inlineStr">
        <is>
          <t>A</t>
        </is>
      </c>
      <c r="F64" s="28" t="inlineStr">
        <is>
          <t>https://www.tradingview.com/chart/Q1c5VWwD/?symbol=nyse%3Aice</t>
        </is>
      </c>
    </row>
    <row r="65">
      <c r="A65" s="26" t="n">
        <v>61</v>
      </c>
      <c r="B65" s="27" t="inlineStr">
        <is>
          <t>RDVT</t>
        </is>
      </c>
      <c r="C65" s="28" t="inlineStr">
        <is>
          <t>Red Violet, Inc.</t>
        </is>
      </c>
      <c r="D65" s="26" t="inlineStr">
        <is>
          <t>—</t>
        </is>
      </c>
      <c r="E65" s="30" t="inlineStr">
        <is>
          <t>A</t>
        </is>
      </c>
      <c r="F65" s="28" t="inlineStr">
        <is>
          <t>https://www.tradingview.com/chart/Q1c5VWwD/?symbol=nasdaq%3Ardvt</t>
        </is>
      </c>
    </row>
    <row r="66">
      <c r="A66" s="26" t="n">
        <v>62</v>
      </c>
      <c r="B66" s="27" t="inlineStr">
        <is>
          <t>TPG</t>
        </is>
      </c>
      <c r="C66" s="28" t="inlineStr">
        <is>
          <t>TPG Inc.</t>
        </is>
      </c>
      <c r="D66" s="26" t="inlineStr">
        <is>
          <t>—</t>
        </is>
      </c>
      <c r="E66" s="30" t="inlineStr">
        <is>
          <t>A</t>
        </is>
      </c>
      <c r="F66" s="28" t="inlineStr">
        <is>
          <t>https://www.tradingview.com/chart/Q1c5VWwD/?symbol=nasdaq%3Atpg</t>
        </is>
      </c>
    </row>
    <row r="67">
      <c r="A67" s="26" t="n">
        <v>63</v>
      </c>
      <c r="B67" s="27" t="inlineStr">
        <is>
          <t>ANRO</t>
        </is>
      </c>
      <c r="C67" s="28" t="inlineStr">
        <is>
          <t>Alto Neuroscience Inc.</t>
        </is>
      </c>
      <c r="D67" s="26" t="inlineStr">
        <is>
          <t>—</t>
        </is>
      </c>
      <c r="E67" s="31" t="inlineStr">
        <is>
          <t>D</t>
        </is>
      </c>
      <c r="F67" s="28" t="inlineStr">
        <is>
          <t>https://www.tradingview.com/chart/Q1c5VWwD/?symbol=nyse%3Aanro</t>
        </is>
      </c>
    </row>
    <row r="68">
      <c r="A68" s="26" t="n">
        <v>64</v>
      </c>
      <c r="B68" s="27" t="inlineStr">
        <is>
          <t>KFY</t>
        </is>
      </c>
      <c r="C68" s="28" t="inlineStr">
        <is>
          <t>Korn Ferry</t>
        </is>
      </c>
      <c r="D68" s="26" t="inlineStr">
        <is>
          <t>—</t>
        </is>
      </c>
      <c r="E68" s="29" t="inlineStr">
        <is>
          <t>B</t>
        </is>
      </c>
      <c r="F68" s="28" t="inlineStr">
        <is>
          <t>https://www.tradingview.com/chart/Q1c5VWwD/?symbol=nyse%3Akfy</t>
        </is>
      </c>
    </row>
    <row r="69">
      <c r="A69" s="26" t="n">
        <v>65</v>
      </c>
      <c r="B69" s="27" t="inlineStr">
        <is>
          <t>WT</t>
        </is>
      </c>
      <c r="C69" s="28" t="inlineStr">
        <is>
          <t>WisdomTree, Inc.</t>
        </is>
      </c>
      <c r="D69" s="26" t="inlineStr">
        <is>
          <t>—</t>
        </is>
      </c>
      <c r="E69" s="29" t="inlineStr">
        <is>
          <t>B</t>
        </is>
      </c>
      <c r="F69" s="28" t="inlineStr">
        <is>
          <t>https://www.tradingview.com/chart/Q1c5VWwD/?symbol=nyse%3Awt</t>
        </is>
      </c>
    </row>
    <row r="70">
      <c r="A70" s="26" t="n">
        <v>66</v>
      </c>
      <c r="B70" s="27" t="inlineStr">
        <is>
          <t>PJT</t>
        </is>
      </c>
      <c r="C70" s="28" t="inlineStr">
        <is>
          <t>PJT Partners Inc.</t>
        </is>
      </c>
      <c r="D70" s="26" t="inlineStr">
        <is>
          <t>—</t>
        </is>
      </c>
      <c r="E70" s="30" t="inlineStr">
        <is>
          <t>A</t>
        </is>
      </c>
      <c r="F70" s="28" t="inlineStr">
        <is>
          <t>https://www.tradingview.com/chart/Q1c5VWwD/?symbol=nyse%3Apjt</t>
        </is>
      </c>
    </row>
    <row r="71">
      <c r="A71" s="26" t="n">
        <v>67</v>
      </c>
      <c r="B71" s="27" t="inlineStr">
        <is>
          <t>JNJ</t>
        </is>
      </c>
      <c r="C71" s="28" t="inlineStr">
        <is>
          <t>Johnson &amp; Johnson</t>
        </is>
      </c>
      <c r="D71" s="26" t="inlineStr">
        <is>
          <t>—</t>
        </is>
      </c>
      <c r="E71" s="30" t="inlineStr">
        <is>
          <t>A</t>
        </is>
      </c>
      <c r="F71" s="28" t="inlineStr">
        <is>
          <t>https://www.tradingview.com/chart/Q1c5VWwD/?symbol=nyse%3Ajnj</t>
        </is>
      </c>
    </row>
    <row r="72">
      <c r="A72" s="26" t="n">
        <v>68</v>
      </c>
      <c r="B72" s="27" t="inlineStr">
        <is>
          <t>BIO</t>
        </is>
      </c>
      <c r="C72" s="28" t="inlineStr">
        <is>
          <t>Bio-Rad Laboratories, Inc.</t>
        </is>
      </c>
      <c r="D72" s="26" t="inlineStr">
        <is>
          <t>—</t>
        </is>
      </c>
      <c r="E72" s="29" t="inlineStr">
        <is>
          <t>B</t>
        </is>
      </c>
      <c r="F72" s="28" t="inlineStr">
        <is>
          <t>https://www.tradingview.com/chart/Q1c5VWwD/?symbol=nyse%3Abio</t>
        </is>
      </c>
    </row>
    <row r="73">
      <c r="A73" s="26" t="n">
        <v>69</v>
      </c>
      <c r="B73" s="27" t="inlineStr">
        <is>
          <t>CDZI</t>
        </is>
      </c>
      <c r="C73" s="28" t="inlineStr">
        <is>
          <t>Cadiz Inc.</t>
        </is>
      </c>
      <c r="D73" s="26" t="inlineStr">
        <is>
          <t>—</t>
        </is>
      </c>
      <c r="E73" s="31" t="inlineStr">
        <is>
          <t>D</t>
        </is>
      </c>
      <c r="F73" s="28" t="inlineStr">
        <is>
          <t>https://www.tradingview.com/chart/Q1c5VWwD/?symbol=nasdaq%3Acdzi</t>
        </is>
      </c>
    </row>
    <row r="74">
      <c r="A74" s="26" t="n">
        <v>70</v>
      </c>
      <c r="B74" s="27" t="inlineStr">
        <is>
          <t>NKTX</t>
        </is>
      </c>
      <c r="C74" s="28" t="inlineStr">
        <is>
          <t>Nkarta, Inc.</t>
        </is>
      </c>
      <c r="D74" s="26" t="inlineStr">
        <is>
          <t>—</t>
        </is>
      </c>
      <c r="E74" s="31" t="inlineStr">
        <is>
          <t>D</t>
        </is>
      </c>
      <c r="F74" s="28" t="inlineStr">
        <is>
          <t>https://www.tradingview.com/chart/Q1c5VWwD/?symbol=nasdaq%3Anktx</t>
        </is>
      </c>
    </row>
    <row r="75">
      <c r="A75" s="26" t="n">
        <v>71</v>
      </c>
      <c r="B75" s="27" t="inlineStr">
        <is>
          <t>COR</t>
        </is>
      </c>
      <c r="C75" s="28" t="inlineStr">
        <is>
          <t>Cencora, Inc.</t>
        </is>
      </c>
      <c r="D75" s="26" t="inlineStr">
        <is>
          <t>—</t>
        </is>
      </c>
      <c r="E75" s="29" t="inlineStr">
        <is>
          <t>B</t>
        </is>
      </c>
      <c r="F75" s="28" t="inlineStr">
        <is>
          <t>https://www.tradingview.com/chart/Q1c5VWwD/?symbol=nyse%3Acor</t>
        </is>
      </c>
    </row>
    <row r="76">
      <c r="A76" s="26" t="n">
        <v>72</v>
      </c>
      <c r="B76" s="27" t="inlineStr">
        <is>
          <t>KMX</t>
        </is>
      </c>
      <c r="C76" s="28" t="inlineStr">
        <is>
          <t>CarMax, Inc.</t>
        </is>
      </c>
      <c r="D76" s="26" t="inlineStr">
        <is>
          <t>—</t>
        </is>
      </c>
      <c r="E76" s="29" t="inlineStr">
        <is>
          <t>B</t>
        </is>
      </c>
      <c r="F76" s="28" t="inlineStr">
        <is>
          <t>https://www.tradingview.com/chart/Q1c5VWwD/?symbol=nyse%3Akmx</t>
        </is>
      </c>
    </row>
    <row r="77">
      <c r="A77" s="26" t="n">
        <v>73</v>
      </c>
      <c r="B77" s="27" t="inlineStr">
        <is>
          <t>LXU</t>
        </is>
      </c>
      <c r="C77" s="28" t="inlineStr">
        <is>
          <t>LSB Industries, Inc.</t>
        </is>
      </c>
      <c r="D77" s="26" t="inlineStr">
        <is>
          <t>—</t>
        </is>
      </c>
      <c r="E77" s="31" t="inlineStr">
        <is>
          <t>D</t>
        </is>
      </c>
      <c r="F77" s="28" t="inlineStr">
        <is>
          <t>https://www.tradingview.com/chart/Q1c5VWwD/?symbol=nyse%3Alxu</t>
        </is>
      </c>
    </row>
    <row r="78">
      <c r="A78" s="26" t="n">
        <v>74</v>
      </c>
      <c r="B78" s="27" t="inlineStr">
        <is>
          <t>STEP</t>
        </is>
      </c>
      <c r="C78" s="28" t="inlineStr">
        <is>
          <t>StepStone Group Inc.</t>
        </is>
      </c>
      <c r="D78" s="26" t="inlineStr">
        <is>
          <t>—</t>
        </is>
      </c>
      <c r="E78" s="32" t="inlineStr">
        <is>
          <t>C</t>
        </is>
      </c>
      <c r="F78" s="28" t="inlineStr">
        <is>
          <t>https://www.tradingview.com/chart/Q1c5VWwD/?symbol=nasdaq%3Astep</t>
        </is>
      </c>
    </row>
    <row r="79">
      <c r="A79" s="26" t="n">
        <v>75</v>
      </c>
      <c r="B79" s="27" t="inlineStr">
        <is>
          <t>ALEC</t>
        </is>
      </c>
      <c r="C79" s="28" t="inlineStr">
        <is>
          <t>Alector, Inc.</t>
        </is>
      </c>
      <c r="D79" s="26" t="inlineStr">
        <is>
          <t>—</t>
        </is>
      </c>
      <c r="E79" s="32" t="inlineStr">
        <is>
          <t>C</t>
        </is>
      </c>
      <c r="F79" s="28" t="inlineStr">
        <is>
          <t>https://www.tradingview.com/chart/Q1c5VWwD/?symbol=nasdaq%3Aalec</t>
        </is>
      </c>
    </row>
    <row r="80">
      <c r="A80" s="26" t="n">
        <v>76</v>
      </c>
      <c r="B80" s="27" t="inlineStr">
        <is>
          <t>MNTN</t>
        </is>
      </c>
      <c r="C80" s="28" t="inlineStr">
        <is>
          <t>MNTN, Inc.</t>
        </is>
      </c>
      <c r="D80" s="26" t="inlineStr">
        <is>
          <t>—</t>
        </is>
      </c>
      <c r="E80" s="30" t="inlineStr">
        <is>
          <t>A</t>
        </is>
      </c>
      <c r="F80" s="28" t="inlineStr">
        <is>
          <t>https://www.tradingview.com/chart/Q1c5VWwD/?symbol=nyse%3Amntn</t>
        </is>
      </c>
    </row>
    <row r="81">
      <c r="A81" s="26" t="n">
        <v>77</v>
      </c>
      <c r="B81" s="27" t="inlineStr">
        <is>
          <t>SLDB</t>
        </is>
      </c>
      <c r="C81" s="28" t="inlineStr">
        <is>
          <t>Solid Biosciences Inc.</t>
        </is>
      </c>
      <c r="D81" s="26" t="inlineStr">
        <is>
          <t>—</t>
        </is>
      </c>
      <c r="E81" s="31" t="inlineStr">
        <is>
          <t>D</t>
        </is>
      </c>
      <c r="F81" s="28" t="inlineStr">
        <is>
          <t>https://www.tradingview.com/chart/Q1c5VWwD/?symbol=nasdaq%3Asldb</t>
        </is>
      </c>
    </row>
    <row r="82">
      <c r="A82" s="26" t="n">
        <v>78</v>
      </c>
      <c r="B82" s="27" t="inlineStr">
        <is>
          <t>NEXT</t>
        </is>
      </c>
      <c r="C82" s="28" t="inlineStr">
        <is>
          <t>NextDecade Corporation</t>
        </is>
      </c>
      <c r="D82" s="26" t="inlineStr">
        <is>
          <t>—</t>
        </is>
      </c>
      <c r="E82" s="32" t="inlineStr">
        <is>
          <t>C</t>
        </is>
      </c>
      <c r="F82" s="28" t="inlineStr">
        <is>
          <t>https://www.tradingview.com/chart/Q1c5VWwD/?symbol=nasdaq%3Anext</t>
        </is>
      </c>
    </row>
    <row r="83">
      <c r="A83" s="26" t="n">
        <v>79</v>
      </c>
      <c r="B83" s="27" t="inlineStr">
        <is>
          <t>GBTG</t>
        </is>
      </c>
      <c r="C83" s="28" t="inlineStr">
        <is>
          <t>Global Business Travel Group, Inc.</t>
        </is>
      </c>
      <c r="D83" s="26" t="inlineStr">
        <is>
          <t>—</t>
        </is>
      </c>
      <c r="E83" s="29" t="inlineStr">
        <is>
          <t>B</t>
        </is>
      </c>
      <c r="F83" s="28" t="inlineStr">
        <is>
          <t>https://www.tradingview.com/chart/Q1c5VWwD/?symbol=nyse%3Agbtg</t>
        </is>
      </c>
    </row>
    <row r="84">
      <c r="A84" s="26" t="n">
        <v>80</v>
      </c>
      <c r="B84" s="27" t="inlineStr">
        <is>
          <t>JPM</t>
        </is>
      </c>
      <c r="C84" s="28" t="inlineStr">
        <is>
          <t>JPMorgan Chase &amp; Co.</t>
        </is>
      </c>
      <c r="D84" s="26" t="inlineStr">
        <is>
          <t>—</t>
        </is>
      </c>
      <c r="E84" s="29" t="inlineStr">
        <is>
          <t>B</t>
        </is>
      </c>
      <c r="F84" s="28" t="inlineStr">
        <is>
          <t>https://www.tradingview.com/chart/Q1c5VWwD/?symbol=nyse%3Ajpm</t>
        </is>
      </c>
    </row>
    <row r="85">
      <c r="A85" s="26" t="n">
        <v>81</v>
      </c>
      <c r="B85" s="27" t="inlineStr">
        <is>
          <t>DGICA</t>
        </is>
      </c>
      <c r="C85" s="28" t="inlineStr">
        <is>
          <t>Donegal Group Inc.</t>
        </is>
      </c>
      <c r="D85" s="26" t="inlineStr">
        <is>
          <t>—</t>
        </is>
      </c>
      <c r="E85" s="30" t="inlineStr">
        <is>
          <t>A</t>
        </is>
      </c>
      <c r="F85" s="28" t="inlineStr">
        <is>
          <t>https://www.tradingview.com/chart/Q1c5VWwD/?symbol=nasdaq%3Adgica</t>
        </is>
      </c>
    </row>
    <row r="86">
      <c r="A86" s="26" t="n">
        <v>82</v>
      </c>
      <c r="B86" s="27" t="inlineStr">
        <is>
          <t>PBF</t>
        </is>
      </c>
      <c r="C86" s="28" t="inlineStr">
        <is>
          <t>PBF Energy Inc.</t>
        </is>
      </c>
      <c r="D86" s="26" t="inlineStr">
        <is>
          <t>—</t>
        </is>
      </c>
      <c r="E86" s="29" t="inlineStr">
        <is>
          <t>B</t>
        </is>
      </c>
      <c r="F86" s="28" t="inlineStr">
        <is>
          <t>https://www.tradingview.com/chart/Q1c5VWwD/?symbol=nyse%3Apbf</t>
        </is>
      </c>
    </row>
    <row r="87">
      <c r="A87" s="26" t="n">
        <v>83</v>
      </c>
      <c r="B87" s="27" t="inlineStr">
        <is>
          <t>SHEN</t>
        </is>
      </c>
      <c r="C87" s="28" t="inlineStr">
        <is>
          <t>Shenandoah Telecommunications Company</t>
        </is>
      </c>
      <c r="D87" s="26" t="inlineStr">
        <is>
          <t>—</t>
        </is>
      </c>
      <c r="E87" s="32" t="inlineStr">
        <is>
          <t>C</t>
        </is>
      </c>
      <c r="F87" s="28" t="inlineStr">
        <is>
          <t>https://www.tradingview.com/chart/Q1c5VWwD/?symbol=nasdaq%3Ashen</t>
        </is>
      </c>
    </row>
    <row r="88">
      <c r="A88" s="26" t="n">
        <v>84</v>
      </c>
      <c r="B88" s="27" t="inlineStr">
        <is>
          <t>ATRC</t>
        </is>
      </c>
      <c r="C88" s="28" t="inlineStr">
        <is>
          <t>AtriCure, Inc.</t>
        </is>
      </c>
      <c r="D88" s="26" t="inlineStr">
        <is>
          <t>—</t>
        </is>
      </c>
      <c r="E88" s="30" t="inlineStr">
        <is>
          <t>A</t>
        </is>
      </c>
      <c r="F88" s="28" t="inlineStr">
        <is>
          <t>https://www.tradingview.com/chart/Q1c5VWwD/?symbol=nasdaq%3Aatrc</t>
        </is>
      </c>
    </row>
    <row r="89">
      <c r="A89" s="26" t="n">
        <v>85</v>
      </c>
      <c r="B89" s="27" t="inlineStr">
        <is>
          <t>SLB</t>
        </is>
      </c>
      <c r="C89" s="28" t="inlineStr">
        <is>
          <t>SLB N.V.</t>
        </is>
      </c>
      <c r="D89" s="26" t="inlineStr">
        <is>
          <t>—</t>
        </is>
      </c>
      <c r="E89" s="29" t="inlineStr">
        <is>
          <t>B</t>
        </is>
      </c>
      <c r="F89" s="28" t="inlineStr">
        <is>
          <t>https://www.tradingview.com/chart/Q1c5VWwD/?symbol=nyse%3Aslb</t>
        </is>
      </c>
    </row>
    <row r="90">
      <c r="A90" s="26" t="n">
        <v>86</v>
      </c>
      <c r="B90" s="27" t="inlineStr">
        <is>
          <t>DOCU</t>
        </is>
      </c>
      <c r="C90" s="28" t="inlineStr">
        <is>
          <t>DocuSign, Inc.</t>
        </is>
      </c>
      <c r="D90" s="26" t="inlineStr">
        <is>
          <t>—</t>
        </is>
      </c>
      <c r="E90" s="30" t="inlineStr">
        <is>
          <t>A</t>
        </is>
      </c>
      <c r="F90" s="28" t="inlineStr">
        <is>
          <t>https://www.tradingview.com/chart/Q1c5VWwD/?symbol=nasdaq%3Adocu</t>
        </is>
      </c>
    </row>
    <row r="91">
      <c r="A91" s="26" t="n">
        <v>87</v>
      </c>
      <c r="B91" s="27" t="inlineStr">
        <is>
          <t>CDNA</t>
        </is>
      </c>
      <c r="C91" s="28" t="inlineStr">
        <is>
          <t>CareDx, Inc.</t>
        </is>
      </c>
      <c r="D91" s="26" t="inlineStr">
        <is>
          <t>—</t>
        </is>
      </c>
      <c r="E91" s="29" t="inlineStr">
        <is>
          <t>B</t>
        </is>
      </c>
      <c r="F91" s="28" t="inlineStr">
        <is>
          <t>https://www.tradingview.com/chart/Q1c5VWwD/?symbol=nasdaq%3Acdna</t>
        </is>
      </c>
    </row>
    <row r="92">
      <c r="A92" s="26" t="n">
        <v>88</v>
      </c>
      <c r="B92" s="27" t="inlineStr">
        <is>
          <t>TARS</t>
        </is>
      </c>
      <c r="C92" s="28" t="inlineStr">
        <is>
          <t>Tarsus Pharmaceuticals, Inc.</t>
        </is>
      </c>
      <c r="D92" s="26" t="inlineStr">
        <is>
          <t>—</t>
        </is>
      </c>
      <c r="E92" s="31" t="inlineStr">
        <is>
          <t>D</t>
        </is>
      </c>
      <c r="F92" s="28" t="inlineStr">
        <is>
          <t>https://www.tradingview.com/chart/Q1c5VWwD/?symbol=nasdaq%3Atars</t>
        </is>
      </c>
    </row>
    <row r="93">
      <c r="A93" s="26" t="n">
        <v>89</v>
      </c>
      <c r="B93" s="27" t="inlineStr">
        <is>
          <t>HTO</t>
        </is>
      </c>
      <c r="C93" s="28" t="inlineStr">
        <is>
          <t>H2O America</t>
        </is>
      </c>
      <c r="D93" s="26" t="inlineStr">
        <is>
          <t>—</t>
        </is>
      </c>
      <c r="E93" s="30" t="inlineStr">
        <is>
          <t>A</t>
        </is>
      </c>
      <c r="F93" s="28" t="inlineStr">
        <is>
          <t>https://www.tradingview.com/chart/Q1c5VWwD/?symbol=nasdaq%3Ahto</t>
        </is>
      </c>
    </row>
    <row r="94">
      <c r="A94" s="26" t="n">
        <v>90</v>
      </c>
      <c r="B94" s="27" t="inlineStr">
        <is>
          <t>CRSR</t>
        </is>
      </c>
      <c r="C94" s="28" t="inlineStr">
        <is>
          <t>Corsair Gaming, Inc.</t>
        </is>
      </c>
      <c r="D94" s="26" t="inlineStr">
        <is>
          <t>—</t>
        </is>
      </c>
      <c r="E94" s="30" t="inlineStr">
        <is>
          <t>A</t>
        </is>
      </c>
      <c r="F94" s="28" t="inlineStr">
        <is>
          <t>https://www.tradingview.com/chart/Q1c5VWwD/?symbol=nasdaq%3Acrsr</t>
        </is>
      </c>
    </row>
    <row r="95">
      <c r="A95" s="26" t="n">
        <v>91</v>
      </c>
      <c r="B95" s="27" t="inlineStr">
        <is>
          <t>CEG</t>
        </is>
      </c>
      <c r="C95" s="28" t="inlineStr">
        <is>
          <t>Constellation Energy Corporation</t>
        </is>
      </c>
      <c r="D95" s="26" t="inlineStr">
        <is>
          <t>—</t>
        </is>
      </c>
      <c r="E95" s="31" t="inlineStr">
        <is>
          <t>D</t>
        </is>
      </c>
      <c r="F95" s="28" t="inlineStr">
        <is>
          <t>https://www.tradingview.com/chart/Q1c5VWwD/?symbol=nasdaq%3Aceg</t>
        </is>
      </c>
    </row>
    <row r="96">
      <c r="A96" s="26" t="n">
        <v>92</v>
      </c>
      <c r="B96" s="27" t="inlineStr">
        <is>
          <t>PSKY</t>
        </is>
      </c>
      <c r="C96" s="28" t="inlineStr">
        <is>
          <t>Paramount Skydance Corporation</t>
        </is>
      </c>
      <c r="D96" s="26" t="inlineStr">
        <is>
          <t>—</t>
        </is>
      </c>
      <c r="E96" s="29" t="inlineStr">
        <is>
          <t>B</t>
        </is>
      </c>
      <c r="F96" s="28" t="inlineStr">
        <is>
          <t>https://www.tradingview.com/chart/Q1c5VWwD/?symbol=nasdaq%3Apsky</t>
        </is>
      </c>
    </row>
    <row r="97">
      <c r="A97" s="26" t="n">
        <v>93</v>
      </c>
      <c r="B97" s="27" t="inlineStr">
        <is>
          <t>BG</t>
        </is>
      </c>
      <c r="C97" s="28" t="inlineStr">
        <is>
          <t>Bunge Global SA</t>
        </is>
      </c>
      <c r="D97" s="26" t="inlineStr">
        <is>
          <t>—</t>
        </is>
      </c>
      <c r="E97" s="30" t="inlineStr">
        <is>
          <t>A</t>
        </is>
      </c>
      <c r="F97" s="28" t="inlineStr">
        <is>
          <t>https://www.tradingview.com/chart/Q1c5VWwD/?symbol=nyse%3Abg</t>
        </is>
      </c>
    </row>
    <row r="98">
      <c r="A98" s="26" t="n">
        <v>94</v>
      </c>
      <c r="B98" s="27" t="inlineStr">
        <is>
          <t>CRGY</t>
        </is>
      </c>
      <c r="C98" s="28" t="inlineStr">
        <is>
          <t>Crescent Energy Company</t>
        </is>
      </c>
      <c r="D98" s="26" t="inlineStr">
        <is>
          <t>—</t>
        </is>
      </c>
      <c r="E98" s="29" t="inlineStr">
        <is>
          <t>B</t>
        </is>
      </c>
      <c r="F98" s="28" t="inlineStr">
        <is>
          <t>https://www.tradingview.com/chart/Q1c5VWwD/?symbol=nyse%3Acrgy</t>
        </is>
      </c>
    </row>
    <row r="99">
      <c r="A99" s="26" t="n">
        <v>95</v>
      </c>
      <c r="B99" s="27" t="inlineStr">
        <is>
          <t>FBLA</t>
        </is>
      </c>
      <c r="C99" s="28" t="inlineStr">
        <is>
          <t>FB Bancorp, Inc.</t>
        </is>
      </c>
      <c r="D99" s="26" t="inlineStr">
        <is>
          <t>—</t>
        </is>
      </c>
      <c r="E99" s="29" t="inlineStr">
        <is>
          <t>B</t>
        </is>
      </c>
      <c r="F99" s="28" t="inlineStr">
        <is>
          <t>https://www.tradingview.com/chart/Q1c5VWwD/?symbol=nasdaq%3Afbla</t>
        </is>
      </c>
    </row>
    <row r="100">
      <c r="A100" s="26" t="n">
        <v>96</v>
      </c>
      <c r="B100" s="27" t="inlineStr">
        <is>
          <t>RBCAA</t>
        </is>
      </c>
      <c r="C100" s="28" t="inlineStr">
        <is>
          <t>Republic Bancorp, Inc.</t>
        </is>
      </c>
      <c r="D100" s="26" t="inlineStr">
        <is>
          <t>—</t>
        </is>
      </c>
      <c r="E100" s="30" t="inlineStr">
        <is>
          <t>A</t>
        </is>
      </c>
      <c r="F100" s="28" t="inlineStr">
        <is>
          <t>https://www.tradingview.com/chart/Q1c5VWwD/?symbol=nasdaq%3Arbcaa</t>
        </is>
      </c>
    </row>
    <row r="101">
      <c r="A101" s="26" t="n">
        <v>97</v>
      </c>
      <c r="B101" s="27" t="inlineStr">
        <is>
          <t>DFIN</t>
        </is>
      </c>
      <c r="C101" s="28" t="inlineStr">
        <is>
          <t>Donnelley Financial Solutions, Inc.</t>
        </is>
      </c>
      <c r="D101" s="26" t="inlineStr">
        <is>
          <t>—</t>
        </is>
      </c>
      <c r="E101" s="30" t="inlineStr">
        <is>
          <t>A</t>
        </is>
      </c>
      <c r="F101" s="28" t="inlineStr">
        <is>
          <t>https://www.tradingview.com/chart/Q1c5VWwD/?symbol=nyse%3Adfin</t>
        </is>
      </c>
    </row>
    <row r="102">
      <c r="A102" s="26" t="n">
        <v>98</v>
      </c>
      <c r="B102" s="27" t="inlineStr">
        <is>
          <t>PD</t>
        </is>
      </c>
      <c r="C102" s="28" t="inlineStr">
        <is>
          <t>PagerDuty, Inc.</t>
        </is>
      </c>
      <c r="D102" s="26" t="inlineStr">
        <is>
          <t>—</t>
        </is>
      </c>
      <c r="E102" s="30" t="inlineStr">
        <is>
          <t>A</t>
        </is>
      </c>
      <c r="F102" s="28" t="inlineStr">
        <is>
          <t>https://www.tradingview.com/chart/Q1c5VWwD/?symbol=nyse%3Apd</t>
        </is>
      </c>
    </row>
    <row r="103">
      <c r="A103" s="26" t="n">
        <v>99</v>
      </c>
      <c r="B103" s="27" t="inlineStr">
        <is>
          <t>PMTS</t>
        </is>
      </c>
      <c r="C103" s="28" t="inlineStr">
        <is>
          <t>CPI Card Group Inc.</t>
        </is>
      </c>
      <c r="D103" s="26" t="inlineStr">
        <is>
          <t>—</t>
        </is>
      </c>
      <c r="E103" s="30" t="inlineStr">
        <is>
          <t>A</t>
        </is>
      </c>
      <c r="F103" s="28" t="inlineStr">
        <is>
          <t>https://www.tradingview.com/chart/Q1c5VWwD/?symbol=nasdaq%3Apmts</t>
        </is>
      </c>
    </row>
    <row r="104">
      <c r="A104" s="26" t="n">
        <v>100</v>
      </c>
      <c r="B104" s="27" t="inlineStr">
        <is>
          <t>NOW</t>
        </is>
      </c>
      <c r="C104" s="28" t="inlineStr">
        <is>
          <t>ServiceNow, Inc.</t>
        </is>
      </c>
      <c r="D104" s="26" t="inlineStr">
        <is>
          <t>—</t>
        </is>
      </c>
      <c r="E104" s="29" t="inlineStr">
        <is>
          <t>B</t>
        </is>
      </c>
      <c r="F104" s="28" t="inlineStr">
        <is>
          <t>https://www.tradingview.com/chart/Q1c5VWwD/?symbol=nyse%3Anow</t>
        </is>
      </c>
    </row>
    <row r="105">
      <c r="A105" s="26" t="n">
        <v>101</v>
      </c>
      <c r="B105" s="27" t="inlineStr">
        <is>
          <t>IDYA</t>
        </is>
      </c>
      <c r="C105" s="28" t="inlineStr">
        <is>
          <t>IDEAYA Biosciences, Inc.</t>
        </is>
      </c>
      <c r="D105" s="26" t="inlineStr">
        <is>
          <t>—</t>
        </is>
      </c>
      <c r="E105" s="31" t="inlineStr">
        <is>
          <t>D</t>
        </is>
      </c>
      <c r="F105" s="28" t="inlineStr">
        <is>
          <t>https://www.tradingview.com/chart/Q1c5VWwD/?symbol=nasdaq%3Aidya</t>
        </is>
      </c>
    </row>
    <row r="106">
      <c r="A106" s="26" t="n">
        <v>102</v>
      </c>
      <c r="B106" s="27" t="inlineStr">
        <is>
          <t>IOVA</t>
        </is>
      </c>
      <c r="C106" s="28" t="inlineStr">
        <is>
          <t>Iovance Biotherapeutics, Inc.</t>
        </is>
      </c>
      <c r="D106" s="26" t="inlineStr">
        <is>
          <t>—</t>
        </is>
      </c>
      <c r="E106" s="32" t="inlineStr">
        <is>
          <t>C</t>
        </is>
      </c>
      <c r="F106" s="28" t="inlineStr">
        <is>
          <t>https://www.tradingview.com/chart/Q1c5VWwD/?symbol=nasdaq%3Aiova</t>
        </is>
      </c>
    </row>
    <row r="107">
      <c r="A107" s="26" t="n">
        <v>103</v>
      </c>
      <c r="B107" s="27" t="inlineStr">
        <is>
          <t>ASMB</t>
        </is>
      </c>
      <c r="C107" s="28" t="inlineStr">
        <is>
          <t>Assembly Biosciences, Inc.</t>
        </is>
      </c>
      <c r="D107" s="26" t="inlineStr">
        <is>
          <t>—</t>
        </is>
      </c>
      <c r="E107" s="32" t="inlineStr">
        <is>
          <t>C</t>
        </is>
      </c>
      <c r="F107" s="28" t="inlineStr">
        <is>
          <t>https://www.tradingview.com/chart/Q1c5VWwD/?symbol=nasdaq%3Aasmb</t>
        </is>
      </c>
    </row>
    <row r="108">
      <c r="A108" s="26" t="n">
        <v>104</v>
      </c>
      <c r="B108" s="27" t="inlineStr">
        <is>
          <t>CHRD</t>
        </is>
      </c>
      <c r="C108" s="28" t="inlineStr">
        <is>
          <t>Chord Energy Corporation</t>
        </is>
      </c>
      <c r="D108" s="26" t="inlineStr">
        <is>
          <t>—</t>
        </is>
      </c>
      <c r="E108" s="29" t="inlineStr">
        <is>
          <t>B</t>
        </is>
      </c>
      <c r="F108" s="28" t="inlineStr">
        <is>
          <t>https://www.tradingview.com/chart/Q1c5VWwD/?symbol=nasdaq%3Achrd</t>
        </is>
      </c>
    </row>
    <row r="109">
      <c r="A109" s="26" t="n">
        <v>105</v>
      </c>
      <c r="B109" s="27" t="inlineStr">
        <is>
          <t>YORW</t>
        </is>
      </c>
      <c r="C109" s="28" t="inlineStr">
        <is>
          <t>The York Water Company</t>
        </is>
      </c>
      <c r="D109" s="26" t="inlineStr">
        <is>
          <t>—</t>
        </is>
      </c>
      <c r="E109" s="30" t="inlineStr">
        <is>
          <t>A</t>
        </is>
      </c>
      <c r="F109" s="28" t="inlineStr">
        <is>
          <t>https://www.tradingview.com/chart/Q1c5VWwD/?symbol=nasdaq%3Ayorw</t>
        </is>
      </c>
    </row>
    <row r="110">
      <c r="A110" s="26" t="n">
        <v>106</v>
      </c>
      <c r="B110" s="27" t="inlineStr">
        <is>
          <t>NSIT</t>
        </is>
      </c>
      <c r="C110" s="28" t="inlineStr">
        <is>
          <t>Insight Enterprises, Inc.</t>
        </is>
      </c>
      <c r="D110" s="26" t="inlineStr">
        <is>
          <t>—</t>
        </is>
      </c>
      <c r="E110" s="30" t="inlineStr">
        <is>
          <t>A</t>
        </is>
      </c>
      <c r="F110" s="28" t="inlineStr">
        <is>
          <t>https://www.tradingview.com/chart/Q1c5VWwD/?symbol=nasdaq%3Ansit</t>
        </is>
      </c>
    </row>
    <row r="111">
      <c r="A111" s="26" t="n">
        <v>107</v>
      </c>
      <c r="B111" s="27" t="inlineStr">
        <is>
          <t>WFRD</t>
        </is>
      </c>
      <c r="C111" s="28" t="inlineStr">
        <is>
          <t>Weatherford International plc</t>
        </is>
      </c>
      <c r="D111" s="26" t="inlineStr">
        <is>
          <t>—</t>
        </is>
      </c>
      <c r="E111" s="29" t="inlineStr">
        <is>
          <t>B</t>
        </is>
      </c>
      <c r="F111" s="28" t="inlineStr">
        <is>
          <t>https://www.tradingview.com/chart/Q1c5VWwD/?symbol=nasdaq%3Awfrd</t>
        </is>
      </c>
    </row>
    <row r="112">
      <c r="A112" s="26" t="n">
        <v>108</v>
      </c>
      <c r="B112" s="27" t="inlineStr">
        <is>
          <t>RXRX</t>
        </is>
      </c>
      <c r="C112" s="28" t="inlineStr">
        <is>
          <t>Recursion Pharmaceuticals, Inc.</t>
        </is>
      </c>
      <c r="D112" s="26" t="inlineStr">
        <is>
          <t>—</t>
        </is>
      </c>
      <c r="E112" s="32" t="inlineStr">
        <is>
          <t>C</t>
        </is>
      </c>
      <c r="F112" s="28" t="inlineStr">
        <is>
          <t>https://www.tradingview.com/chart/Q1c5VWwD/?symbol=nasdaq%3Arxrx</t>
        </is>
      </c>
    </row>
    <row r="113">
      <c r="A113" s="26" t="n">
        <v>109</v>
      </c>
      <c r="B113" s="27" t="inlineStr">
        <is>
          <t>SBET</t>
        </is>
      </c>
      <c r="C113" s="28" t="inlineStr">
        <is>
          <t>Sharplink, Inc.</t>
        </is>
      </c>
      <c r="D113" s="26" t="inlineStr">
        <is>
          <t>—</t>
        </is>
      </c>
      <c r="E113" s="29" t="inlineStr">
        <is>
          <t>B</t>
        </is>
      </c>
      <c r="F113" s="28" t="inlineStr">
        <is>
          <t>https://www.tradingview.com/chart/Q1c5VWwD/?symbol=nasdaq%3Asbet</t>
        </is>
      </c>
    </row>
    <row r="114">
      <c r="A114" s="26" t="n">
        <v>110</v>
      </c>
      <c r="B114" s="27" t="inlineStr">
        <is>
          <t>GO</t>
        </is>
      </c>
      <c r="C114" s="28" t="inlineStr">
        <is>
          <t>Grocery Outlet Holding Corp.</t>
        </is>
      </c>
      <c r="D114" s="26" t="inlineStr">
        <is>
          <t>—</t>
        </is>
      </c>
      <c r="E114" s="29" t="inlineStr">
        <is>
          <t>B</t>
        </is>
      </c>
      <c r="F114" s="28" t="inlineStr">
        <is>
          <t>https://www.tradingview.com/chart/Q1c5VWwD/?symbol=nasdaq%3Ago</t>
        </is>
      </c>
    </row>
    <row r="115">
      <c r="A115" s="26" t="n">
        <v>111</v>
      </c>
      <c r="B115" s="27" t="inlineStr">
        <is>
          <t>INSW</t>
        </is>
      </c>
      <c r="C115" s="28" t="inlineStr">
        <is>
          <t>International Seaways, Inc.</t>
        </is>
      </c>
      <c r="D115" s="26" t="inlineStr">
        <is>
          <t>—</t>
        </is>
      </c>
      <c r="E115" s="30" t="inlineStr">
        <is>
          <t>A</t>
        </is>
      </c>
      <c r="F115" s="28" t="inlineStr">
        <is>
          <t>https://www.tradingview.com/chart/Q1c5VWwD/?symbol=nyse%3Ainsw</t>
        </is>
      </c>
    </row>
    <row r="116">
      <c r="A116" s="26" t="n">
        <v>112</v>
      </c>
      <c r="B116" s="27" t="inlineStr">
        <is>
          <t>HPQ</t>
        </is>
      </c>
      <c r="C116" s="28" t="inlineStr">
        <is>
          <t>HP Inc.</t>
        </is>
      </c>
      <c r="D116" s="26" t="inlineStr">
        <is>
          <t>—</t>
        </is>
      </c>
      <c r="E116" s="30" t="inlineStr">
        <is>
          <t>A</t>
        </is>
      </c>
      <c r="F116" s="28" t="inlineStr">
        <is>
          <t>https://www.tradingview.com/chart/Q1c5VWwD/?symbol=nyse%3Ahpq</t>
        </is>
      </c>
    </row>
    <row r="117">
      <c r="A117" s="26" t="n">
        <v>113</v>
      </c>
      <c r="B117" s="27" t="inlineStr">
        <is>
          <t>FRD</t>
        </is>
      </c>
      <c r="C117" s="28" t="inlineStr">
        <is>
          <t>Friedman Industries, Incorporated</t>
        </is>
      </c>
      <c r="D117" s="26" t="inlineStr">
        <is>
          <t>—</t>
        </is>
      </c>
      <c r="E117" s="29" t="inlineStr">
        <is>
          <t>B</t>
        </is>
      </c>
      <c r="F117" s="28" t="inlineStr">
        <is>
          <t>https://www.tradingview.com/chart/Q1c5VWwD/?symbol=nasdaq%3Afrd</t>
        </is>
      </c>
    </row>
    <row r="118">
      <c r="A118" s="26" t="n">
        <v>114</v>
      </c>
      <c r="B118" s="27" t="inlineStr">
        <is>
          <t>FDS</t>
        </is>
      </c>
      <c r="C118" s="28" t="inlineStr">
        <is>
          <t>FactSet Research Systems Inc.</t>
        </is>
      </c>
      <c r="D118" s="26" t="inlineStr">
        <is>
          <t>—</t>
        </is>
      </c>
      <c r="E118" s="29" t="inlineStr">
        <is>
          <t>B</t>
        </is>
      </c>
      <c r="F118" s="28" t="inlineStr">
        <is>
          <t>https://www.tradingview.com/chart/Q1c5VWwD/?symbol=nyse%3Afds</t>
        </is>
      </c>
    </row>
    <row r="119">
      <c r="A119" s="26" t="n">
        <v>115</v>
      </c>
      <c r="B119" s="27" t="inlineStr">
        <is>
          <t>HP</t>
        </is>
      </c>
      <c r="C119" s="28" t="inlineStr">
        <is>
          <t>Helmerich &amp; Payne, Inc.</t>
        </is>
      </c>
      <c r="D119" s="26" t="inlineStr">
        <is>
          <t>—</t>
        </is>
      </c>
      <c r="E119" s="29" t="inlineStr">
        <is>
          <t>B</t>
        </is>
      </c>
      <c r="F119" s="28" t="inlineStr">
        <is>
          <t>https://www.tradingview.com/chart/Q1c5VWwD/?symbol=nyse%3Ahp</t>
        </is>
      </c>
    </row>
    <row r="120">
      <c r="A120" s="26" t="n">
        <v>116</v>
      </c>
      <c r="B120" s="27" t="inlineStr">
        <is>
          <t>ADT</t>
        </is>
      </c>
      <c r="C120" s="28" t="inlineStr">
        <is>
          <t>ADT Inc.</t>
        </is>
      </c>
      <c r="D120" s="26" t="inlineStr">
        <is>
          <t>—</t>
        </is>
      </c>
      <c r="E120" s="29" t="inlineStr">
        <is>
          <t>B</t>
        </is>
      </c>
      <c r="F120" s="28" t="inlineStr">
        <is>
          <t>https://www.tradingview.com/chart/Q1c5VWwD/?symbol=nyse%3Aadt</t>
        </is>
      </c>
    </row>
    <row r="121">
      <c r="A121" s="26" t="n">
        <v>117</v>
      </c>
      <c r="B121" s="27" t="inlineStr">
        <is>
          <t>TMUS</t>
        </is>
      </c>
      <c r="C121" s="28" t="inlineStr">
        <is>
          <t>T-Mobile US, Inc.</t>
        </is>
      </c>
      <c r="D121" s="26" t="inlineStr">
        <is>
          <t>—</t>
        </is>
      </c>
      <c r="E121" s="30" t="inlineStr">
        <is>
          <t>A</t>
        </is>
      </c>
      <c r="F121" s="28" t="inlineStr">
        <is>
          <t>https://www.tradingview.com/chart/Q1c5VWwD/?symbol=nasdaq%3Atmus</t>
        </is>
      </c>
    </row>
    <row r="122">
      <c r="A122" s="26" t="n">
        <v>118</v>
      </c>
      <c r="B122" s="27" t="inlineStr">
        <is>
          <t>COP</t>
        </is>
      </c>
      <c r="C122" s="28" t="inlineStr">
        <is>
          <t>ConocoPhillips</t>
        </is>
      </c>
      <c r="D122" s="26" t="inlineStr">
        <is>
          <t>—</t>
        </is>
      </c>
      <c r="E122" s="30" t="inlineStr">
        <is>
          <t>A</t>
        </is>
      </c>
      <c r="F122" s="28" t="inlineStr">
        <is>
          <t>https://www.tradingview.com/chart/Q1c5VWwD/?symbol=nyse%3Acop</t>
        </is>
      </c>
    </row>
    <row r="123">
      <c r="A123" s="26" t="n">
        <v>119</v>
      </c>
      <c r="B123" s="27" t="inlineStr">
        <is>
          <t>ITIC</t>
        </is>
      </c>
      <c r="C123" s="28" t="inlineStr">
        <is>
          <t>Investors Title Company</t>
        </is>
      </c>
      <c r="D123" s="26" t="inlineStr">
        <is>
          <t>—</t>
        </is>
      </c>
      <c r="E123" s="30" t="inlineStr">
        <is>
          <t>A</t>
        </is>
      </c>
      <c r="F123" s="28" t="inlineStr">
        <is>
          <t>https://www.tradingview.com/chart/Q1c5VWwD/?symbol=nasdaq%3Aitic</t>
        </is>
      </c>
    </row>
    <row r="124">
      <c r="A124" s="26" t="n">
        <v>120</v>
      </c>
      <c r="B124" s="27" t="inlineStr">
        <is>
          <t>META</t>
        </is>
      </c>
      <c r="C124" s="28" t="inlineStr">
        <is>
          <t>Meta Platforms, Inc.</t>
        </is>
      </c>
      <c r="D124" s="26" t="inlineStr">
        <is>
          <t>—</t>
        </is>
      </c>
      <c r="E124" s="29" t="inlineStr">
        <is>
          <t>B</t>
        </is>
      </c>
      <c r="F124" s="28" t="inlineStr">
        <is>
          <t>https://www.tradingview.com/chart/Q1c5VWwD/?symbol=nasdaq%3Ameta</t>
        </is>
      </c>
    </row>
    <row r="125">
      <c r="A125" s="26" t="n">
        <v>121</v>
      </c>
      <c r="B125" s="27" t="inlineStr">
        <is>
          <t>LILAK</t>
        </is>
      </c>
      <c r="C125" s="28" t="inlineStr">
        <is>
          <t>Liberty Latin America Ltd.</t>
        </is>
      </c>
      <c r="D125" s="26" t="inlineStr">
        <is>
          <t>—</t>
        </is>
      </c>
      <c r="E125" s="29" t="inlineStr">
        <is>
          <t>B</t>
        </is>
      </c>
      <c r="F125" s="28" t="inlineStr">
        <is>
          <t>https://www.tradingview.com/chart/Q1c5VWwD/?symbol=nasdaq%3Alilak</t>
        </is>
      </c>
    </row>
    <row r="126">
      <c r="A126" s="26" t="n">
        <v>122</v>
      </c>
      <c r="B126" s="27" t="inlineStr">
        <is>
          <t>SRPT</t>
        </is>
      </c>
      <c r="C126" s="28" t="inlineStr">
        <is>
          <t>Sarepta Therapeutics, Inc.</t>
        </is>
      </c>
      <c r="D126" s="26" t="inlineStr">
        <is>
          <t>—</t>
        </is>
      </c>
      <c r="E126" s="29" t="inlineStr">
        <is>
          <t>B</t>
        </is>
      </c>
      <c r="F126" s="28" t="inlineStr">
        <is>
          <t>https://www.tradingview.com/chart/Q1c5VWwD/?symbol=nasdaq%3Asrpt</t>
        </is>
      </c>
    </row>
    <row r="127">
      <c r="A127" s="26" t="n">
        <v>123</v>
      </c>
      <c r="B127" s="27" t="inlineStr">
        <is>
          <t>SENEA</t>
        </is>
      </c>
      <c r="C127" s="28" t="inlineStr">
        <is>
          <t>Seneca Foods Corporation</t>
        </is>
      </c>
      <c r="D127" s="26" t="inlineStr">
        <is>
          <t>—</t>
        </is>
      </c>
      <c r="E127" s="30" t="inlineStr">
        <is>
          <t>A</t>
        </is>
      </c>
      <c r="F127" s="28" t="inlineStr">
        <is>
          <t>https://www.tradingview.com/chart/Q1c5VWwD/?symbol=nasdaq%3Asenea</t>
        </is>
      </c>
    </row>
    <row r="128">
      <c r="A128" s="26" t="n">
        <v>124</v>
      </c>
      <c r="B128" s="27" t="inlineStr">
        <is>
          <t>HAL</t>
        </is>
      </c>
      <c r="C128" s="28" t="inlineStr">
        <is>
          <t>Halliburton Company</t>
        </is>
      </c>
      <c r="D128" s="26" t="inlineStr">
        <is>
          <t>—</t>
        </is>
      </c>
      <c r="E128" s="29" t="inlineStr">
        <is>
          <t>B</t>
        </is>
      </c>
      <c r="F128" s="28" t="inlineStr">
        <is>
          <t>https://www.tradingview.com/chart/Q1c5VWwD/?symbol=nyse%3Ahal</t>
        </is>
      </c>
    </row>
    <row r="129">
      <c r="A129" s="26" t="n">
        <v>125</v>
      </c>
      <c r="B129" s="27" t="inlineStr">
        <is>
          <t>COKE</t>
        </is>
      </c>
      <c r="C129" s="28" t="inlineStr">
        <is>
          <t>Coca-Cola Consolidated, Inc.</t>
        </is>
      </c>
      <c r="D129" s="26" t="inlineStr">
        <is>
          <t>—</t>
        </is>
      </c>
      <c r="E129" s="29" t="inlineStr">
        <is>
          <t>B</t>
        </is>
      </c>
      <c r="F129" s="28" t="inlineStr">
        <is>
          <t>https://www.tradingview.com/chart/Q1c5VWwD/?symbol=nasdaq%3Acoke</t>
        </is>
      </c>
    </row>
    <row r="130">
      <c r="A130" s="26" t="n">
        <v>126</v>
      </c>
      <c r="B130" s="27" t="inlineStr">
        <is>
          <t>BMNR</t>
        </is>
      </c>
      <c r="C130" s="28" t="inlineStr">
        <is>
          <t>Bitmine Immersion Technologies, Inc.</t>
        </is>
      </c>
      <c r="D130" s="26" t="inlineStr">
        <is>
          <t>—</t>
        </is>
      </c>
      <c r="E130" s="32" t="inlineStr">
        <is>
          <t>C</t>
        </is>
      </c>
      <c r="F130" s="28" t="inlineStr">
        <is>
          <t>https://www.tradingview.com/chart/Q1c5VWwD/?symbol=nyse%3Abmnr</t>
        </is>
      </c>
    </row>
    <row r="131">
      <c r="A131" s="26" t="n">
        <v>127</v>
      </c>
      <c r="B131" s="27" t="inlineStr">
        <is>
          <t>DG</t>
        </is>
      </c>
      <c r="C131" s="28" t="inlineStr">
        <is>
          <t>Dollar General Corporation</t>
        </is>
      </c>
      <c r="D131" s="26" t="inlineStr">
        <is>
          <t>—</t>
        </is>
      </c>
      <c r="E131" s="30" t="inlineStr">
        <is>
          <t>A</t>
        </is>
      </c>
      <c r="F131" s="28" t="inlineStr">
        <is>
          <t>https://www.tradingview.com/chart/Q1c5VWwD/?symbol=nyse%3Adg</t>
        </is>
      </c>
    </row>
    <row r="132">
      <c r="A132" s="26" t="n">
        <v>128</v>
      </c>
      <c r="B132" s="27" t="inlineStr">
        <is>
          <t>ABAT</t>
        </is>
      </c>
      <c r="C132" s="28" t="inlineStr">
        <is>
          <t>American Battery Technology Company</t>
        </is>
      </c>
      <c r="D132" s="26" t="inlineStr">
        <is>
          <t>—</t>
        </is>
      </c>
      <c r="E132" s="31" t="inlineStr">
        <is>
          <t>D</t>
        </is>
      </c>
      <c r="F132" s="28" t="inlineStr">
        <is>
          <t>https://www.tradingview.com/chart/Q1c5VWwD/?symbol=nasdaq%3Aabat</t>
        </is>
      </c>
    </row>
    <row r="133">
      <c r="A133" s="26" t="n">
        <v>129</v>
      </c>
      <c r="B133" s="27" t="inlineStr">
        <is>
          <t>IMMX</t>
        </is>
      </c>
      <c r="C133" s="28" t="inlineStr">
        <is>
          <t>Immix Biopharma, Inc.</t>
        </is>
      </c>
      <c r="D133" s="26" t="inlineStr">
        <is>
          <t>—</t>
        </is>
      </c>
      <c r="E133" s="31" t="inlineStr">
        <is>
          <t>D</t>
        </is>
      </c>
      <c r="F133" s="28" t="inlineStr">
        <is>
          <t>https://www.tradingview.com/chart/Q1c5VWwD/?symbol=nasdaq%3Aimmx</t>
        </is>
      </c>
    </row>
    <row r="134">
      <c r="A134" s="26" t="n">
        <v>130</v>
      </c>
      <c r="B134" s="27" t="inlineStr">
        <is>
          <t>PAHC</t>
        </is>
      </c>
      <c r="C134" s="28" t="inlineStr">
        <is>
          <t>Phibro Animal Health Corporation</t>
        </is>
      </c>
      <c r="D134" s="26" t="inlineStr">
        <is>
          <t>—</t>
        </is>
      </c>
      <c r="E134" s="29" t="inlineStr">
        <is>
          <t>B</t>
        </is>
      </c>
      <c r="F134" s="28" t="inlineStr">
        <is>
          <t>https://www.tradingview.com/chart/Q1c5VWwD/?symbol=nasdaq%3Apahc</t>
        </is>
      </c>
    </row>
    <row r="135">
      <c r="A135" s="26" t="n">
        <v>131</v>
      </c>
      <c r="B135" s="27" t="inlineStr">
        <is>
          <t>OII</t>
        </is>
      </c>
      <c r="C135" s="28" t="inlineStr">
        <is>
          <t>Oceaneering International, Inc.</t>
        </is>
      </c>
      <c r="D135" s="26" t="inlineStr">
        <is>
          <t>—</t>
        </is>
      </c>
      <c r="E135" s="30" t="inlineStr">
        <is>
          <t>A</t>
        </is>
      </c>
      <c r="F135" s="28" t="inlineStr">
        <is>
          <t>https://www.tradingview.com/chart/Q1c5VWwD/?symbol=nyse%3Aoii</t>
        </is>
      </c>
    </row>
    <row r="136">
      <c r="A136" s="26" t="n">
        <v>132</v>
      </c>
      <c r="B136" s="27" t="inlineStr">
        <is>
          <t>NUE</t>
        </is>
      </c>
      <c r="C136" s="28" t="inlineStr">
        <is>
          <t>Nucor Corporation</t>
        </is>
      </c>
      <c r="D136" s="26" t="inlineStr">
        <is>
          <t>—</t>
        </is>
      </c>
      <c r="E136" s="30" t="inlineStr">
        <is>
          <t>A</t>
        </is>
      </c>
      <c r="F136" s="28" t="inlineStr">
        <is>
          <t>https://www.tradingview.com/chart/Q1c5VWwD/?symbol=nyse%3Anue</t>
        </is>
      </c>
    </row>
    <row r="137">
      <c r="A137" s="26" t="n">
        <v>133</v>
      </c>
      <c r="B137" s="27" t="inlineStr">
        <is>
          <t>TALO</t>
        </is>
      </c>
      <c r="C137" s="28" t="inlineStr">
        <is>
          <t>Talos Energy Inc.</t>
        </is>
      </c>
      <c r="D137" s="26" t="inlineStr">
        <is>
          <t>—</t>
        </is>
      </c>
      <c r="E137" s="29" t="inlineStr">
        <is>
          <t>B</t>
        </is>
      </c>
      <c r="F137" s="28" t="inlineStr">
        <is>
          <t>https://www.tradingview.com/chart/Q1c5VWwD/?symbol=nyse%3Atalo</t>
        </is>
      </c>
    </row>
    <row r="138">
      <c r="A138" s="26" t="n">
        <v>134</v>
      </c>
      <c r="B138" s="27" t="inlineStr">
        <is>
          <t>PESI</t>
        </is>
      </c>
      <c r="C138" s="28" t="inlineStr">
        <is>
          <t>Perma-Fix Environmental Services, Inc.</t>
        </is>
      </c>
      <c r="D138" s="26" t="inlineStr">
        <is>
          <t>—</t>
        </is>
      </c>
      <c r="E138" s="31" t="inlineStr">
        <is>
          <t>D</t>
        </is>
      </c>
      <c r="F138" s="28" t="inlineStr">
        <is>
          <t>https://www.tradingview.com/chart/Q1c5VWwD/?symbol=nasdaq%3Apesi</t>
        </is>
      </c>
    </row>
    <row r="139">
      <c r="A139" s="26" t="n">
        <v>135</v>
      </c>
      <c r="B139" s="27" t="inlineStr">
        <is>
          <t>DBX</t>
        </is>
      </c>
      <c r="C139" s="28" t="inlineStr">
        <is>
          <t>Dropbox, Inc.</t>
        </is>
      </c>
      <c r="D139" s="26" t="inlineStr">
        <is>
          <t>—</t>
        </is>
      </c>
      <c r="E139" s="29" t="inlineStr">
        <is>
          <t>B</t>
        </is>
      </c>
      <c r="F139" s="28" t="inlineStr">
        <is>
          <t>https://www.tradingview.com/chart/Q1c5VWwD/?symbol=nasdaq%3Adbx</t>
        </is>
      </c>
    </row>
    <row r="140">
      <c r="A140" s="26" t="n">
        <v>136</v>
      </c>
      <c r="B140" s="27" t="inlineStr">
        <is>
          <t>BILL</t>
        </is>
      </c>
      <c r="C140" s="28" t="inlineStr">
        <is>
          <t>BILL Holdings, Inc.</t>
        </is>
      </c>
      <c r="D140" s="26" t="inlineStr">
        <is>
          <t>—</t>
        </is>
      </c>
      <c r="E140" s="29" t="inlineStr">
        <is>
          <t>B</t>
        </is>
      </c>
      <c r="F140" s="28" t="inlineStr">
        <is>
          <t>https://www.tradingview.com/chart/Q1c5VWwD/?symbol=nyse%3Abill</t>
        </is>
      </c>
    </row>
    <row r="141">
      <c r="A141" s="26" t="n">
        <v>137</v>
      </c>
      <c r="B141" s="27" t="inlineStr">
        <is>
          <t>OSPN</t>
        </is>
      </c>
      <c r="C141" s="28" t="inlineStr">
        <is>
          <t>OneSpan Inc.</t>
        </is>
      </c>
      <c r="D141" s="26" t="inlineStr">
        <is>
          <t>—</t>
        </is>
      </c>
      <c r="E141" s="29" t="inlineStr">
        <is>
          <t>B</t>
        </is>
      </c>
      <c r="F141" s="28" t="inlineStr">
        <is>
          <t>https://www.tradingview.com/chart/Q1c5VWwD/?symbol=nasdaq%3Aospn</t>
        </is>
      </c>
    </row>
    <row r="142">
      <c r="A142" s="26" t="n">
        <v>138</v>
      </c>
      <c r="B142" s="27" t="inlineStr">
        <is>
          <t>ESTC</t>
        </is>
      </c>
      <c r="C142" s="28" t="inlineStr">
        <is>
          <t>Elastic N.V.</t>
        </is>
      </c>
      <c r="D142" s="26" t="inlineStr">
        <is>
          <t>—</t>
        </is>
      </c>
      <c r="E142" s="32" t="inlineStr">
        <is>
          <t>C</t>
        </is>
      </c>
      <c r="F142" s="28" t="inlineStr">
        <is>
          <t>https://www.tradingview.com/chart/Q1c5VWwD/?symbol=nyse%3Aestc</t>
        </is>
      </c>
    </row>
    <row r="143">
      <c r="A143" s="26" t="n">
        <v>139</v>
      </c>
      <c r="B143" s="27" t="inlineStr">
        <is>
          <t>ADM</t>
        </is>
      </c>
      <c r="C143" s="28" t="inlineStr">
        <is>
          <t>Archer-Daniels-Midland Company</t>
        </is>
      </c>
      <c r="D143" s="26" t="inlineStr">
        <is>
          <t>—</t>
        </is>
      </c>
      <c r="E143" s="30" t="inlineStr">
        <is>
          <t>A</t>
        </is>
      </c>
      <c r="F143" s="28" t="inlineStr">
        <is>
          <t>https://www.tradingview.com/chart/Q1c5VWwD/?symbol=nyse%3Aadm</t>
        </is>
      </c>
    </row>
    <row r="144">
      <c r="A144" s="26" t="n">
        <v>140</v>
      </c>
      <c r="B144" s="27" t="inlineStr">
        <is>
          <t>SWKS</t>
        </is>
      </c>
      <c r="C144" s="28" t="inlineStr">
        <is>
          <t>Skyworks Solutions, Inc.</t>
        </is>
      </c>
      <c r="D144" s="26" t="inlineStr">
        <is>
          <t>—</t>
        </is>
      </c>
      <c r="E144" s="29" t="inlineStr">
        <is>
          <t>B</t>
        </is>
      </c>
      <c r="F144" s="28" t="inlineStr">
        <is>
          <t>https://www.tradingview.com/chart/Q1c5VWwD/?symbol=nasdaq%3Aswks</t>
        </is>
      </c>
    </row>
    <row r="145">
      <c r="A145" s="26" t="n">
        <v>141</v>
      </c>
      <c r="B145" s="27" t="inlineStr">
        <is>
          <t>PR</t>
        </is>
      </c>
      <c r="C145" s="28" t="inlineStr">
        <is>
          <t>Permian Resources Corporation</t>
        </is>
      </c>
      <c r="D145" s="26" t="inlineStr">
        <is>
          <t>—</t>
        </is>
      </c>
      <c r="E145" s="30" t="inlineStr">
        <is>
          <t>A</t>
        </is>
      </c>
      <c r="F145" s="28" t="inlineStr">
        <is>
          <t>https://www.tradingview.com/chart/Q1c5VWwD/?symbol=nyse%3Apr</t>
        </is>
      </c>
    </row>
    <row r="146">
      <c r="A146" s="26" t="n">
        <v>142</v>
      </c>
      <c r="B146" s="27" t="inlineStr">
        <is>
          <t>ULTA</t>
        </is>
      </c>
      <c r="C146" s="28" t="inlineStr">
        <is>
          <t>Ulta Beauty, Inc.</t>
        </is>
      </c>
      <c r="D146" s="26" t="inlineStr">
        <is>
          <t>—</t>
        </is>
      </c>
      <c r="E146" s="30" t="inlineStr">
        <is>
          <t>A</t>
        </is>
      </c>
      <c r="F146" s="28" t="inlineStr">
        <is>
          <t>https://www.tradingview.com/chart/Q1c5VWwD/?symbol=nasdaq%3Aulta</t>
        </is>
      </c>
    </row>
    <row r="147">
      <c r="A147" s="26" t="n">
        <v>143</v>
      </c>
      <c r="B147" s="27" t="inlineStr">
        <is>
          <t>APO</t>
        </is>
      </c>
      <c r="C147" s="28" t="inlineStr">
        <is>
          <t>Apollo Global Management, Inc.</t>
        </is>
      </c>
      <c r="D147" s="26" t="inlineStr">
        <is>
          <t>—</t>
        </is>
      </c>
      <c r="E147" s="29" t="inlineStr">
        <is>
          <t>B</t>
        </is>
      </c>
      <c r="F147" s="28" t="inlineStr">
        <is>
          <t>https://www.tradingview.com/chart/Q1c5VWwD/?symbol=nyse%3Aapo</t>
        </is>
      </c>
    </row>
    <row r="148">
      <c r="A148" s="26" t="n">
        <v>144</v>
      </c>
      <c r="B148" s="27" t="inlineStr">
        <is>
          <t>TSLA</t>
        </is>
      </c>
      <c r="C148" s="28" t="inlineStr">
        <is>
          <t>Tesla, Inc.</t>
        </is>
      </c>
      <c r="D148" s="26" t="inlineStr">
        <is>
          <t>—</t>
        </is>
      </c>
      <c r="E148" s="29" t="inlineStr">
        <is>
          <t>B</t>
        </is>
      </c>
      <c r="F148" s="28" t="inlineStr">
        <is>
          <t>https://www.tradingview.com/chart/Q1c5VWwD/?symbol=nasdaq%3Atsla</t>
        </is>
      </c>
    </row>
    <row r="149">
      <c r="A149" s="26" t="n">
        <v>145</v>
      </c>
      <c r="B149" s="27" t="inlineStr">
        <is>
          <t>OOMA</t>
        </is>
      </c>
      <c r="C149" s="28" t="inlineStr">
        <is>
          <t>Ooma, Inc.</t>
        </is>
      </c>
      <c r="D149" s="26" t="inlineStr">
        <is>
          <t>—</t>
        </is>
      </c>
      <c r="E149" s="30" t="inlineStr">
        <is>
          <t>A</t>
        </is>
      </c>
      <c r="F149" s="28" t="inlineStr">
        <is>
          <t>https://www.tradingview.com/chart/Q1c5VWwD/?symbol=nyse%3Aooma</t>
        </is>
      </c>
    </row>
    <row r="150">
      <c r="A150" s="26" t="n">
        <v>146</v>
      </c>
      <c r="B150" s="27" t="inlineStr">
        <is>
          <t>TDW</t>
        </is>
      </c>
      <c r="C150" s="28" t="inlineStr">
        <is>
          <t>Tidewater Inc.</t>
        </is>
      </c>
      <c r="D150" s="26" t="inlineStr">
        <is>
          <t>—</t>
        </is>
      </c>
      <c r="E150" s="29" t="inlineStr">
        <is>
          <t>B</t>
        </is>
      </c>
      <c r="F150" s="28" t="inlineStr">
        <is>
          <t>https://www.tradingview.com/chart/Q1c5VWwD/?symbol=nyse%3Atdw</t>
        </is>
      </c>
    </row>
    <row r="151">
      <c r="A151" s="26" t="n">
        <v>147</v>
      </c>
      <c r="B151" s="27" t="inlineStr">
        <is>
          <t>CENX</t>
        </is>
      </c>
      <c r="C151" s="28" t="inlineStr">
        <is>
          <t>Century Aluminum Company</t>
        </is>
      </c>
      <c r="D151" s="26" t="inlineStr">
        <is>
          <t>—</t>
        </is>
      </c>
      <c r="E151" s="30" t="inlineStr">
        <is>
          <t>A</t>
        </is>
      </c>
      <c r="F151" s="28" t="inlineStr">
        <is>
          <t>https://www.tradingview.com/chart/Q1c5VWwD/?symbol=nasdaq%3Acenx</t>
        </is>
      </c>
    </row>
    <row r="152">
      <c r="A152" s="26" t="n">
        <v>148</v>
      </c>
      <c r="B152" s="27" t="inlineStr">
        <is>
          <t>FET</t>
        </is>
      </c>
      <c r="C152" s="28" t="inlineStr">
        <is>
          <t>Forum Energy Technologies, Inc.</t>
        </is>
      </c>
      <c r="D152" s="26" t="inlineStr">
        <is>
          <t>—</t>
        </is>
      </c>
      <c r="E152" s="30" t="inlineStr">
        <is>
          <t>A</t>
        </is>
      </c>
      <c r="F152" s="28" t="inlineStr">
        <is>
          <t>https://www.tradingview.com/chart/Q1c5VWwD/?symbol=nyse%3Afet</t>
        </is>
      </c>
    </row>
    <row r="153">
      <c r="A153" s="26" t="n">
        <v>149</v>
      </c>
      <c r="B153" s="27" t="inlineStr">
        <is>
          <t>SAIL</t>
        </is>
      </c>
      <c r="C153" s="28" t="inlineStr">
        <is>
          <t>SailPoint, Inc.</t>
        </is>
      </c>
      <c r="D153" s="26" t="inlineStr">
        <is>
          <t>—</t>
        </is>
      </c>
      <c r="E153" s="31" t="inlineStr">
        <is>
          <t>D</t>
        </is>
      </c>
      <c r="F153" s="28" t="inlineStr">
        <is>
          <t>https://www.tradingview.com/chart/Q1c5VWwD/?symbol=nasdaq%3Asail</t>
        </is>
      </c>
    </row>
    <row r="154">
      <c r="A154" s="26" t="n">
        <v>150</v>
      </c>
      <c r="B154" s="27" t="inlineStr">
        <is>
          <t>ANF</t>
        </is>
      </c>
      <c r="C154" s="28" t="inlineStr">
        <is>
          <t>Abercrombie &amp; Fitch Co.</t>
        </is>
      </c>
      <c r="D154" s="26" t="inlineStr">
        <is>
          <t>—</t>
        </is>
      </c>
      <c r="E154" s="29" t="inlineStr">
        <is>
          <t>B</t>
        </is>
      </c>
      <c r="F154" s="28" t="inlineStr">
        <is>
          <t>https://www.tradingview.com/chart/Q1c5VWwD/?symbol=nyse%3Aanf</t>
        </is>
      </c>
    </row>
    <row r="155">
      <c r="A155" s="26" t="n">
        <v>151</v>
      </c>
      <c r="B155" s="27" t="inlineStr">
        <is>
          <t>DAN</t>
        </is>
      </c>
      <c r="C155" s="28" t="inlineStr">
        <is>
          <t>Dana Incorporated</t>
        </is>
      </c>
      <c r="D155" s="26" t="inlineStr">
        <is>
          <t>—</t>
        </is>
      </c>
      <c r="E155" s="29" t="inlineStr">
        <is>
          <t>B</t>
        </is>
      </c>
      <c r="F155" s="28" t="inlineStr">
        <is>
          <t>https://www.tradingview.com/chart/Q1c5VWwD/?symbol=nyse%3Adan</t>
        </is>
      </c>
    </row>
    <row r="156">
      <c r="A156" s="26" t="n">
        <v>152</v>
      </c>
      <c r="B156" s="27" t="inlineStr">
        <is>
          <t>KURA</t>
        </is>
      </c>
      <c r="C156" s="28" t="inlineStr">
        <is>
          <t>Kura Oncology, Inc.</t>
        </is>
      </c>
      <c r="D156" s="26" t="inlineStr">
        <is>
          <t>—</t>
        </is>
      </c>
      <c r="E156" s="32" t="inlineStr">
        <is>
          <t>C</t>
        </is>
      </c>
      <c r="F156" s="28" t="inlineStr">
        <is>
          <t>https://www.tradingview.com/chart/Q1c5VWwD/?symbol=nasdaq%3Akura</t>
        </is>
      </c>
    </row>
    <row r="157">
      <c r="A157" s="26" t="n">
        <v>153</v>
      </c>
      <c r="B157" s="27" t="inlineStr">
        <is>
          <t>FIVE</t>
        </is>
      </c>
      <c r="C157" s="28" t="inlineStr">
        <is>
          <t>Five Below, Inc.</t>
        </is>
      </c>
      <c r="D157" s="26" t="inlineStr">
        <is>
          <t>—</t>
        </is>
      </c>
      <c r="E157" s="30" t="inlineStr">
        <is>
          <t>A</t>
        </is>
      </c>
      <c r="F157" s="28" t="inlineStr">
        <is>
          <t>https://www.tradingview.com/chart/Q1c5VWwD/?symbol=nasdaq%3Afive</t>
        </is>
      </c>
    </row>
    <row r="158">
      <c r="A158" s="26" t="n">
        <v>154</v>
      </c>
      <c r="B158" s="27" t="inlineStr">
        <is>
          <t>RXST</t>
        </is>
      </c>
      <c r="C158" s="28" t="inlineStr">
        <is>
          <t>RxSight, Inc.</t>
        </is>
      </c>
      <c r="D158" s="26" t="inlineStr">
        <is>
          <t>—</t>
        </is>
      </c>
      <c r="E158" s="31" t="inlineStr">
        <is>
          <t>D</t>
        </is>
      </c>
      <c r="F158" s="28" t="inlineStr">
        <is>
          <t>https://www.tradingview.com/chart/Q1c5VWwD/?symbol=nasdaq%3Arxst</t>
        </is>
      </c>
    </row>
    <row r="159">
      <c r="A159" s="26" t="n">
        <v>155</v>
      </c>
      <c r="B159" s="27" t="inlineStr">
        <is>
          <t>AMT</t>
        </is>
      </c>
      <c r="C159" s="28" t="inlineStr">
        <is>
          <t>American Tower Corporation</t>
        </is>
      </c>
      <c r="D159" s="26" t="inlineStr">
        <is>
          <t>—</t>
        </is>
      </c>
      <c r="E159" s="30" t="inlineStr">
        <is>
          <t>A</t>
        </is>
      </c>
      <c r="F159" s="28" t="inlineStr">
        <is>
          <t>https://www.tradingview.com/chart/Q1c5VWwD/?symbol=nyse%3Aamt</t>
        </is>
      </c>
    </row>
    <row r="160">
      <c r="A160" s="26" t="n">
        <v>156</v>
      </c>
      <c r="B160" s="27" t="inlineStr">
        <is>
          <t>SNOW</t>
        </is>
      </c>
      <c r="C160" s="28" t="inlineStr">
        <is>
          <t>Snowflake Inc.</t>
        </is>
      </c>
      <c r="D160" s="26" t="inlineStr">
        <is>
          <t>—</t>
        </is>
      </c>
      <c r="E160" s="32" t="inlineStr">
        <is>
          <t>C</t>
        </is>
      </c>
      <c r="F160" s="28" t="inlineStr">
        <is>
          <t>https://www.tradingview.com/chart/Q1c5VWwD/?symbol=nyse%3Asnow</t>
        </is>
      </c>
    </row>
    <row r="161">
      <c r="A161" s="26" t="n">
        <v>157</v>
      </c>
      <c r="B161" s="27" t="inlineStr">
        <is>
          <t>CNXN</t>
        </is>
      </c>
      <c r="C161" s="28" t="inlineStr">
        <is>
          <t>PC Connection, Inc.</t>
        </is>
      </c>
      <c r="D161" s="26" t="inlineStr">
        <is>
          <t>—</t>
        </is>
      </c>
      <c r="E161" s="30" t="inlineStr">
        <is>
          <t>A</t>
        </is>
      </c>
      <c r="F161" s="28" t="inlineStr">
        <is>
          <t>https://www.tradingview.com/chart/Q1c5VWwD/?symbol=nasdaq%3Acnxn</t>
        </is>
      </c>
    </row>
    <row r="162">
      <c r="A162" s="26" t="n">
        <v>158</v>
      </c>
      <c r="B162" s="27" t="inlineStr">
        <is>
          <t>OWL</t>
        </is>
      </c>
      <c r="C162" s="28" t="inlineStr">
        <is>
          <t>Blue Owl Capital Inc.</t>
        </is>
      </c>
      <c r="D162" s="26" t="inlineStr">
        <is>
          <t>—</t>
        </is>
      </c>
      <c r="E162" s="29" t="inlineStr">
        <is>
          <t>B</t>
        </is>
      </c>
      <c r="F162" s="28" t="inlineStr">
        <is>
          <t>https://www.tradingview.com/chart/Q1c5VWwD/?symbol=nyse%3Aowl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0" r:id="rId46"/>
    <hyperlink xmlns:r="http://schemas.openxmlformats.org/officeDocument/2006/relationships" ref="B51" r:id="rId47"/>
    <hyperlink xmlns:r="http://schemas.openxmlformats.org/officeDocument/2006/relationships" ref="B52" r:id="rId48"/>
    <hyperlink xmlns:r="http://schemas.openxmlformats.org/officeDocument/2006/relationships" ref="B53" r:id="rId49"/>
    <hyperlink xmlns:r="http://schemas.openxmlformats.org/officeDocument/2006/relationships" ref="B54" r:id="rId50"/>
    <hyperlink xmlns:r="http://schemas.openxmlformats.org/officeDocument/2006/relationships" ref="B55" r:id="rId51"/>
    <hyperlink xmlns:r="http://schemas.openxmlformats.org/officeDocument/2006/relationships" ref="B56" r:id="rId52"/>
    <hyperlink xmlns:r="http://schemas.openxmlformats.org/officeDocument/2006/relationships" ref="B57" r:id="rId53"/>
    <hyperlink xmlns:r="http://schemas.openxmlformats.org/officeDocument/2006/relationships" ref="B58" r:id="rId54"/>
    <hyperlink xmlns:r="http://schemas.openxmlformats.org/officeDocument/2006/relationships" ref="B59" r:id="rId55"/>
    <hyperlink xmlns:r="http://schemas.openxmlformats.org/officeDocument/2006/relationships" ref="B60" r:id="rId56"/>
    <hyperlink xmlns:r="http://schemas.openxmlformats.org/officeDocument/2006/relationships" ref="B61" r:id="rId57"/>
    <hyperlink xmlns:r="http://schemas.openxmlformats.org/officeDocument/2006/relationships" ref="B62" r:id="rId58"/>
    <hyperlink xmlns:r="http://schemas.openxmlformats.org/officeDocument/2006/relationships" ref="B63" r:id="rId59"/>
    <hyperlink xmlns:r="http://schemas.openxmlformats.org/officeDocument/2006/relationships" ref="B64" r:id="rId60"/>
    <hyperlink xmlns:r="http://schemas.openxmlformats.org/officeDocument/2006/relationships" ref="B65" r:id="rId61"/>
    <hyperlink xmlns:r="http://schemas.openxmlformats.org/officeDocument/2006/relationships" ref="B66" r:id="rId62"/>
    <hyperlink xmlns:r="http://schemas.openxmlformats.org/officeDocument/2006/relationships" ref="B67" r:id="rId63"/>
    <hyperlink xmlns:r="http://schemas.openxmlformats.org/officeDocument/2006/relationships" ref="B68" r:id="rId64"/>
    <hyperlink xmlns:r="http://schemas.openxmlformats.org/officeDocument/2006/relationships" ref="B69" r:id="rId65"/>
    <hyperlink xmlns:r="http://schemas.openxmlformats.org/officeDocument/2006/relationships" ref="B70" r:id="rId66"/>
    <hyperlink xmlns:r="http://schemas.openxmlformats.org/officeDocument/2006/relationships" ref="B71" r:id="rId67"/>
    <hyperlink xmlns:r="http://schemas.openxmlformats.org/officeDocument/2006/relationships" ref="B72" r:id="rId68"/>
    <hyperlink xmlns:r="http://schemas.openxmlformats.org/officeDocument/2006/relationships" ref="B73" r:id="rId69"/>
    <hyperlink xmlns:r="http://schemas.openxmlformats.org/officeDocument/2006/relationships" ref="B74" r:id="rId70"/>
    <hyperlink xmlns:r="http://schemas.openxmlformats.org/officeDocument/2006/relationships" ref="B75" r:id="rId71"/>
    <hyperlink xmlns:r="http://schemas.openxmlformats.org/officeDocument/2006/relationships" ref="B76" r:id="rId72"/>
    <hyperlink xmlns:r="http://schemas.openxmlformats.org/officeDocument/2006/relationships" ref="B77" r:id="rId73"/>
    <hyperlink xmlns:r="http://schemas.openxmlformats.org/officeDocument/2006/relationships" ref="B78" r:id="rId74"/>
    <hyperlink xmlns:r="http://schemas.openxmlformats.org/officeDocument/2006/relationships" ref="B79" r:id="rId75"/>
    <hyperlink xmlns:r="http://schemas.openxmlformats.org/officeDocument/2006/relationships" ref="B80" r:id="rId76"/>
    <hyperlink xmlns:r="http://schemas.openxmlformats.org/officeDocument/2006/relationships" ref="B81" r:id="rId77"/>
    <hyperlink xmlns:r="http://schemas.openxmlformats.org/officeDocument/2006/relationships" ref="B82" r:id="rId78"/>
    <hyperlink xmlns:r="http://schemas.openxmlformats.org/officeDocument/2006/relationships" ref="B83" r:id="rId79"/>
    <hyperlink xmlns:r="http://schemas.openxmlformats.org/officeDocument/2006/relationships" ref="B84" r:id="rId80"/>
    <hyperlink xmlns:r="http://schemas.openxmlformats.org/officeDocument/2006/relationships" ref="B85" r:id="rId81"/>
    <hyperlink xmlns:r="http://schemas.openxmlformats.org/officeDocument/2006/relationships" ref="B86" r:id="rId82"/>
    <hyperlink xmlns:r="http://schemas.openxmlformats.org/officeDocument/2006/relationships" ref="B87" r:id="rId83"/>
    <hyperlink xmlns:r="http://schemas.openxmlformats.org/officeDocument/2006/relationships" ref="B88" r:id="rId84"/>
    <hyperlink xmlns:r="http://schemas.openxmlformats.org/officeDocument/2006/relationships" ref="B89" r:id="rId85"/>
    <hyperlink xmlns:r="http://schemas.openxmlformats.org/officeDocument/2006/relationships" ref="B90" r:id="rId86"/>
    <hyperlink xmlns:r="http://schemas.openxmlformats.org/officeDocument/2006/relationships" ref="B91" r:id="rId87"/>
    <hyperlink xmlns:r="http://schemas.openxmlformats.org/officeDocument/2006/relationships" ref="B92" r:id="rId88"/>
    <hyperlink xmlns:r="http://schemas.openxmlformats.org/officeDocument/2006/relationships" ref="B93" r:id="rId89"/>
    <hyperlink xmlns:r="http://schemas.openxmlformats.org/officeDocument/2006/relationships" ref="B94" r:id="rId90"/>
    <hyperlink xmlns:r="http://schemas.openxmlformats.org/officeDocument/2006/relationships" ref="B95" r:id="rId91"/>
    <hyperlink xmlns:r="http://schemas.openxmlformats.org/officeDocument/2006/relationships" ref="B96" r:id="rId92"/>
    <hyperlink xmlns:r="http://schemas.openxmlformats.org/officeDocument/2006/relationships" ref="B97" r:id="rId93"/>
    <hyperlink xmlns:r="http://schemas.openxmlformats.org/officeDocument/2006/relationships" ref="B98" r:id="rId94"/>
    <hyperlink xmlns:r="http://schemas.openxmlformats.org/officeDocument/2006/relationships" ref="B99" r:id="rId95"/>
    <hyperlink xmlns:r="http://schemas.openxmlformats.org/officeDocument/2006/relationships" ref="B100" r:id="rId96"/>
    <hyperlink xmlns:r="http://schemas.openxmlformats.org/officeDocument/2006/relationships" ref="B101" r:id="rId97"/>
    <hyperlink xmlns:r="http://schemas.openxmlformats.org/officeDocument/2006/relationships" ref="B102" r:id="rId98"/>
    <hyperlink xmlns:r="http://schemas.openxmlformats.org/officeDocument/2006/relationships" ref="B103" r:id="rId99"/>
    <hyperlink xmlns:r="http://schemas.openxmlformats.org/officeDocument/2006/relationships" ref="B104" r:id="rId100"/>
    <hyperlink xmlns:r="http://schemas.openxmlformats.org/officeDocument/2006/relationships" ref="B105" r:id="rId101"/>
    <hyperlink xmlns:r="http://schemas.openxmlformats.org/officeDocument/2006/relationships" ref="B106" r:id="rId102"/>
    <hyperlink xmlns:r="http://schemas.openxmlformats.org/officeDocument/2006/relationships" ref="B107" r:id="rId103"/>
    <hyperlink xmlns:r="http://schemas.openxmlformats.org/officeDocument/2006/relationships" ref="B108" r:id="rId104"/>
    <hyperlink xmlns:r="http://schemas.openxmlformats.org/officeDocument/2006/relationships" ref="B109" r:id="rId105"/>
    <hyperlink xmlns:r="http://schemas.openxmlformats.org/officeDocument/2006/relationships" ref="B110" r:id="rId106"/>
    <hyperlink xmlns:r="http://schemas.openxmlformats.org/officeDocument/2006/relationships" ref="B111" r:id="rId107"/>
    <hyperlink xmlns:r="http://schemas.openxmlformats.org/officeDocument/2006/relationships" ref="B112" r:id="rId108"/>
    <hyperlink xmlns:r="http://schemas.openxmlformats.org/officeDocument/2006/relationships" ref="B113" r:id="rId109"/>
    <hyperlink xmlns:r="http://schemas.openxmlformats.org/officeDocument/2006/relationships" ref="B114" r:id="rId110"/>
    <hyperlink xmlns:r="http://schemas.openxmlformats.org/officeDocument/2006/relationships" ref="B115" r:id="rId111"/>
    <hyperlink xmlns:r="http://schemas.openxmlformats.org/officeDocument/2006/relationships" ref="B116" r:id="rId112"/>
    <hyperlink xmlns:r="http://schemas.openxmlformats.org/officeDocument/2006/relationships" ref="B117" r:id="rId113"/>
    <hyperlink xmlns:r="http://schemas.openxmlformats.org/officeDocument/2006/relationships" ref="B118" r:id="rId114"/>
    <hyperlink xmlns:r="http://schemas.openxmlformats.org/officeDocument/2006/relationships" ref="B119" r:id="rId115"/>
    <hyperlink xmlns:r="http://schemas.openxmlformats.org/officeDocument/2006/relationships" ref="B120" r:id="rId116"/>
    <hyperlink xmlns:r="http://schemas.openxmlformats.org/officeDocument/2006/relationships" ref="B121" r:id="rId117"/>
    <hyperlink xmlns:r="http://schemas.openxmlformats.org/officeDocument/2006/relationships" ref="B122" r:id="rId118"/>
    <hyperlink xmlns:r="http://schemas.openxmlformats.org/officeDocument/2006/relationships" ref="B123" r:id="rId119"/>
    <hyperlink xmlns:r="http://schemas.openxmlformats.org/officeDocument/2006/relationships" ref="B124" r:id="rId120"/>
    <hyperlink xmlns:r="http://schemas.openxmlformats.org/officeDocument/2006/relationships" ref="B125" r:id="rId121"/>
    <hyperlink xmlns:r="http://schemas.openxmlformats.org/officeDocument/2006/relationships" ref="B126" r:id="rId122"/>
    <hyperlink xmlns:r="http://schemas.openxmlformats.org/officeDocument/2006/relationships" ref="B127" r:id="rId123"/>
    <hyperlink xmlns:r="http://schemas.openxmlformats.org/officeDocument/2006/relationships" ref="B128" r:id="rId124"/>
    <hyperlink xmlns:r="http://schemas.openxmlformats.org/officeDocument/2006/relationships" ref="B129" r:id="rId125"/>
    <hyperlink xmlns:r="http://schemas.openxmlformats.org/officeDocument/2006/relationships" ref="B130" r:id="rId126"/>
    <hyperlink xmlns:r="http://schemas.openxmlformats.org/officeDocument/2006/relationships" ref="B131" r:id="rId127"/>
    <hyperlink xmlns:r="http://schemas.openxmlformats.org/officeDocument/2006/relationships" ref="B132" r:id="rId128"/>
    <hyperlink xmlns:r="http://schemas.openxmlformats.org/officeDocument/2006/relationships" ref="B133" r:id="rId129"/>
    <hyperlink xmlns:r="http://schemas.openxmlformats.org/officeDocument/2006/relationships" ref="B134" r:id="rId130"/>
    <hyperlink xmlns:r="http://schemas.openxmlformats.org/officeDocument/2006/relationships" ref="B135" r:id="rId131"/>
    <hyperlink xmlns:r="http://schemas.openxmlformats.org/officeDocument/2006/relationships" ref="B136" r:id="rId132"/>
    <hyperlink xmlns:r="http://schemas.openxmlformats.org/officeDocument/2006/relationships" ref="B137" r:id="rId133"/>
    <hyperlink xmlns:r="http://schemas.openxmlformats.org/officeDocument/2006/relationships" ref="B138" r:id="rId134"/>
    <hyperlink xmlns:r="http://schemas.openxmlformats.org/officeDocument/2006/relationships" ref="B139" r:id="rId135"/>
    <hyperlink xmlns:r="http://schemas.openxmlformats.org/officeDocument/2006/relationships" ref="B140" r:id="rId136"/>
    <hyperlink xmlns:r="http://schemas.openxmlformats.org/officeDocument/2006/relationships" ref="B141" r:id="rId137"/>
    <hyperlink xmlns:r="http://schemas.openxmlformats.org/officeDocument/2006/relationships" ref="B142" r:id="rId138"/>
    <hyperlink xmlns:r="http://schemas.openxmlformats.org/officeDocument/2006/relationships" ref="B143" r:id="rId139"/>
    <hyperlink xmlns:r="http://schemas.openxmlformats.org/officeDocument/2006/relationships" ref="B144" r:id="rId140"/>
    <hyperlink xmlns:r="http://schemas.openxmlformats.org/officeDocument/2006/relationships" ref="B145" r:id="rId141"/>
    <hyperlink xmlns:r="http://schemas.openxmlformats.org/officeDocument/2006/relationships" ref="B146" r:id="rId142"/>
    <hyperlink xmlns:r="http://schemas.openxmlformats.org/officeDocument/2006/relationships" ref="B147" r:id="rId143"/>
    <hyperlink xmlns:r="http://schemas.openxmlformats.org/officeDocument/2006/relationships" ref="B148" r:id="rId144"/>
    <hyperlink xmlns:r="http://schemas.openxmlformats.org/officeDocument/2006/relationships" ref="B149" r:id="rId145"/>
    <hyperlink xmlns:r="http://schemas.openxmlformats.org/officeDocument/2006/relationships" ref="B150" r:id="rId146"/>
    <hyperlink xmlns:r="http://schemas.openxmlformats.org/officeDocument/2006/relationships" ref="B151" r:id="rId147"/>
    <hyperlink xmlns:r="http://schemas.openxmlformats.org/officeDocument/2006/relationships" ref="B152" r:id="rId148"/>
    <hyperlink xmlns:r="http://schemas.openxmlformats.org/officeDocument/2006/relationships" ref="B153" r:id="rId149"/>
    <hyperlink xmlns:r="http://schemas.openxmlformats.org/officeDocument/2006/relationships" ref="B154" r:id="rId150"/>
    <hyperlink xmlns:r="http://schemas.openxmlformats.org/officeDocument/2006/relationships" ref="B155" r:id="rId151"/>
    <hyperlink xmlns:r="http://schemas.openxmlformats.org/officeDocument/2006/relationships" ref="B156" r:id="rId152"/>
    <hyperlink xmlns:r="http://schemas.openxmlformats.org/officeDocument/2006/relationships" ref="B157" r:id="rId153"/>
    <hyperlink xmlns:r="http://schemas.openxmlformats.org/officeDocument/2006/relationships" ref="B158" r:id="rId154"/>
    <hyperlink xmlns:r="http://schemas.openxmlformats.org/officeDocument/2006/relationships" ref="B159" r:id="rId155"/>
    <hyperlink xmlns:r="http://schemas.openxmlformats.org/officeDocument/2006/relationships" ref="B160" r:id="rId156"/>
    <hyperlink xmlns:r="http://schemas.openxmlformats.org/officeDocument/2006/relationships" ref="B161" r:id="rId157"/>
    <hyperlink xmlns:r="http://schemas.openxmlformats.org/officeDocument/2006/relationships" ref="B162" r:id="rId15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16" customWidth="1" min="4" max="4"/>
    <col width="44" customWidth="1" min="5" max="5"/>
  </cols>
  <sheetData>
    <row r="1">
      <c r="A1" s="33" t="inlineStr">
        <is>
          <t>最新季含重大一次性／非營運項目嘅 50 隻 — 佔帳面淨利 10% 或以上</t>
        </is>
      </c>
    </row>
    <row r="2" ht="30" customHeight="1">
      <c r="A2" s="2" t="inlineStr">
        <is>
          <t>金額嚟自 Yahoo「Total Unusual Items」，係實數；但項目性質同「會否重複」需要逐隻讀財報原文，本版未做，一律列「待核實」。R7 嗰六類分法（資產出售／減值／仲裁稅務／公允值重估／或有代價／基期扭曲）要人手歸類。</t>
        </is>
      </c>
    </row>
    <row r="4">
      <c r="A4" s="34" t="inlineStr">
        <is>
          <t>方向</t>
        </is>
      </c>
      <c r="B4" s="34" t="inlineStr">
        <is>
          <t>個股</t>
        </is>
      </c>
      <c r="C4" s="34" t="inlineStr">
        <is>
          <t>項目與金額 (最新季)</t>
        </is>
      </c>
      <c r="D4" s="34" t="inlineStr">
        <is>
          <t>會否重複</t>
        </is>
      </c>
      <c r="E4" s="34" t="inlineStr">
        <is>
          <t>對判斷的影響</t>
        </is>
      </c>
    </row>
    <row r="5" ht="30" customHeight="1">
      <c r="A5" s="16" t="inlineStr">
        <is>
          <t>② 支出／減值 — 令帳面難看</t>
        </is>
      </c>
      <c r="B5" s="16" t="inlineStr">
        <is>
          <t>SRPT Sarepta Therapeuti</t>
        </is>
      </c>
      <c r="C5" s="16" t="inlineStr">
        <is>
          <t>-39.4（佔帳面淨利 807%）</t>
        </is>
      </c>
      <c r="D5" s="16" t="inlineStr">
        <is>
          <t>待核實</t>
        </is>
      </c>
      <c r="E5" s="16" t="inlineStr">
        <is>
          <t>帳面淨利 -4.9，剔除後 +18.8 — 剔除後由盈轉虧／由虧轉盈，帳面方向唔可信</t>
        </is>
      </c>
    </row>
    <row r="6" ht="30" customHeight="1">
      <c r="A6" s="16" t="inlineStr">
        <is>
          <t>② 支出／減值 — 令帳面難看</t>
        </is>
      </c>
      <c r="B6" s="16" t="inlineStr">
        <is>
          <t>DAN Dana Incorporated</t>
        </is>
      </c>
      <c r="C6" s="16" t="inlineStr">
        <is>
          <t>-37.0（佔帳面淨利 740%）</t>
        </is>
      </c>
      <c r="D6" s="16" t="inlineStr">
        <is>
          <t>待核實</t>
        </is>
      </c>
      <c r="E6" s="16" t="inlineStr">
        <is>
          <t>帳面淨利 -5.0，剔除後 +28.2 — 剔除後由盈轉虧／由虧轉盈，帳面方向唔可信</t>
        </is>
      </c>
    </row>
    <row r="7" ht="30" customHeight="1">
      <c r="A7" s="16" t="inlineStr">
        <is>
          <t>② 支出／減值 — 令帳面難看</t>
        </is>
      </c>
      <c r="B7" s="16" t="inlineStr">
        <is>
          <t>PSKY Paramount Skydance</t>
        </is>
      </c>
      <c r="C7" s="16" t="inlineStr">
        <is>
          <t>-202.0（佔帳面淨利 493%）</t>
        </is>
      </c>
      <c r="D7" s="16" t="inlineStr">
        <is>
          <t>待核實</t>
        </is>
      </c>
      <c r="E7" s="16" t="inlineStr">
        <is>
          <t>帳面淨利 +41.0，剔除後 +162.2</t>
        </is>
      </c>
    </row>
    <row r="8" ht="30" customHeight="1">
      <c r="A8" s="16" t="inlineStr">
        <is>
          <t>② 支出／減值 — 令帳面難看</t>
        </is>
      </c>
      <c r="B8" s="16" t="inlineStr">
        <is>
          <t>BILL BILL Holdings, Inc</t>
        </is>
      </c>
      <c r="C8" s="16" t="inlineStr">
        <is>
          <t>-76.6（佔帳面淨利 414%）</t>
        </is>
      </c>
      <c r="D8" s="16" t="inlineStr">
        <is>
          <t>待核實</t>
        </is>
      </c>
      <c r="E8" s="16" t="inlineStr">
        <is>
          <t>帳面淨利 -18.5，剔除後 +52.2 — 剔除後由盈轉虧／由虧轉盈，帳面方向唔可信</t>
        </is>
      </c>
    </row>
    <row r="9" ht="30" customHeight="1">
      <c r="A9" s="16" t="inlineStr">
        <is>
          <t>② 支出／減值 — 令帳面難看</t>
        </is>
      </c>
      <c r="B9" s="16" t="inlineStr">
        <is>
          <t>SPSC SPS Commerce, Inc.</t>
        </is>
      </c>
      <c r="C9" s="16" t="inlineStr">
        <is>
          <t>-21.8（佔帳面淨利 318%）</t>
        </is>
      </c>
      <c r="D9" s="16" t="inlineStr">
        <is>
          <t>待核實</t>
        </is>
      </c>
      <c r="E9" s="16" t="inlineStr">
        <is>
          <t>帳面淨利 +6.9，剔除後 +21.3</t>
        </is>
      </c>
    </row>
    <row r="10" ht="30" customHeight="1">
      <c r="A10" s="16" t="inlineStr">
        <is>
          <t>② 支出／減值 — 令帳面難看</t>
        </is>
      </c>
      <c r="B10" s="16" t="inlineStr">
        <is>
          <t>BIIB Biogen Inc.</t>
        </is>
      </c>
      <c r="C10" s="16" t="inlineStr">
        <is>
          <t>-296.4（佔帳面淨利 304%）</t>
        </is>
      </c>
      <c r="D10" s="16" t="inlineStr">
        <is>
          <t>待核實</t>
        </is>
      </c>
      <c r="E10" s="16" t="inlineStr">
        <is>
          <t>帳面淨利 +97.5，剔除後 +315.8</t>
        </is>
      </c>
    </row>
    <row r="11" ht="30" customHeight="1">
      <c r="A11" s="16" t="inlineStr">
        <is>
          <t>② 支出／減值 — 令帳面難看</t>
        </is>
      </c>
      <c r="B11" s="16" t="inlineStr">
        <is>
          <t>QUAD Quad/Graphics, Inc</t>
        </is>
      </c>
      <c r="C11" s="16" t="inlineStr">
        <is>
          <t>-9.7（佔帳面淨利 262%）</t>
        </is>
      </c>
      <c r="D11" s="16" t="inlineStr">
        <is>
          <t>待核實</t>
        </is>
      </c>
      <c r="E11" s="16" t="inlineStr">
        <is>
          <t>帳面淨利 +3.7，剔除後 +9.5</t>
        </is>
      </c>
    </row>
    <row r="12" ht="30" customHeight="1">
      <c r="A12" s="16" t="inlineStr">
        <is>
          <t>① 收益 — 令帳面好看</t>
        </is>
      </c>
      <c r="B12" s="16" t="inlineStr">
        <is>
          <t>CEG Constellation Ener</t>
        </is>
      </c>
      <c r="C12" s="16" t="inlineStr">
        <is>
          <t>+1,228.0（佔帳面淨利 239%）</t>
        </is>
      </c>
      <c r="D12" s="16" t="inlineStr">
        <is>
          <t>待核實</t>
        </is>
      </c>
      <c r="E12" s="16" t="inlineStr">
        <is>
          <t>帳面淨利 +513.0，剔除後 -223.8 — 剔除後由盈轉虧／由虧轉盈，帳面方向唔可信</t>
        </is>
      </c>
    </row>
    <row r="13" ht="30" customHeight="1">
      <c r="A13" s="16" t="inlineStr">
        <is>
          <t>② 支出／減值 — 令帳面難看</t>
        </is>
      </c>
      <c r="B13" s="16" t="inlineStr">
        <is>
          <t>GBTG Global Business Tr</t>
        </is>
      </c>
      <c r="C13" s="16" t="inlineStr">
        <is>
          <t>-35.0（佔帳面淨利 233%）</t>
        </is>
      </c>
      <c r="D13" s="16" t="inlineStr">
        <is>
          <t>待核實</t>
        </is>
      </c>
      <c r="E13" s="16" t="inlineStr">
        <is>
          <t>帳面淨利 +15.0，剔除後 +46.1</t>
        </is>
      </c>
    </row>
    <row r="14" ht="30" customHeight="1">
      <c r="A14" s="16" t="inlineStr">
        <is>
          <t>① 收益 — 令帳面好看</t>
        </is>
      </c>
      <c r="B14" s="16" t="inlineStr">
        <is>
          <t>HP Helmerich &amp; Payne,</t>
        </is>
      </c>
      <c r="C14" s="16" t="inlineStr">
        <is>
          <t>+107.8（佔帳面淨利 145%）</t>
        </is>
      </c>
      <c r="D14" s="16" t="inlineStr">
        <is>
          <t>待核實</t>
        </is>
      </c>
      <c r="E14" s="16" t="inlineStr">
        <is>
          <t>帳面淨利 +74.4，剔除後 +11.0</t>
        </is>
      </c>
    </row>
    <row r="15" ht="30" customHeight="1">
      <c r="A15" s="16" t="inlineStr">
        <is>
          <t>① 收益 — 令帳面好看</t>
        </is>
      </c>
      <c r="B15" s="16" t="inlineStr">
        <is>
          <t>NEXT NextDecade Corpora</t>
        </is>
      </c>
      <c r="C15" s="16" t="inlineStr">
        <is>
          <t>+83.6（佔帳面淨利 128%）</t>
        </is>
      </c>
      <c r="D15" s="16" t="inlineStr">
        <is>
          <t>待核實</t>
        </is>
      </c>
      <c r="E15" s="16" t="inlineStr">
        <is>
          <t>帳面淨利 -65.4，剔除後 -149.1</t>
        </is>
      </c>
    </row>
    <row r="16" ht="30" customHeight="1">
      <c r="A16" s="16" t="inlineStr">
        <is>
          <t>① 收益 — 令帳面好看</t>
        </is>
      </c>
      <c r="B16" s="16" t="inlineStr">
        <is>
          <t>BIO Bio-Rad Laboratori</t>
        </is>
      </c>
      <c r="C16" s="16" t="inlineStr">
        <is>
          <t>+458.5（佔帳面淨利 123%）</t>
        </is>
      </c>
      <c r="D16" s="16" t="inlineStr">
        <is>
          <t>待核實</t>
        </is>
      </c>
      <c r="E16" s="16" t="inlineStr">
        <is>
          <t>帳面淨利 +371.4，剔除後 +57.3</t>
        </is>
      </c>
    </row>
    <row r="17" ht="30" customHeight="1">
      <c r="A17" s="16" t="inlineStr">
        <is>
          <t>② 支出／減值 — 令帳面難看</t>
        </is>
      </c>
      <c r="B17" s="16" t="inlineStr">
        <is>
          <t>ESTC Elastic N.V.</t>
        </is>
      </c>
      <c r="C17" s="16" t="inlineStr">
        <is>
          <t>-19.9（佔帳面淨利 119%）</t>
        </is>
      </c>
      <c r="D17" s="16" t="inlineStr">
        <is>
          <t>待核實</t>
        </is>
      </c>
      <c r="E17" s="16" t="inlineStr">
        <is>
          <t>帳面淨利 -16.7，剔除後 +2.6 — 剔除後由盈轉虧／由虧轉盈，帳面方向唔可信</t>
        </is>
      </c>
    </row>
    <row r="18" ht="30" customHeight="1">
      <c r="A18" s="16" t="inlineStr">
        <is>
          <t>① 收益 — 令帳面好看</t>
        </is>
      </c>
      <c r="B18" s="16" t="inlineStr">
        <is>
          <t>CDNA CareDx, Inc.</t>
        </is>
      </c>
      <c r="C18" s="16" t="inlineStr">
        <is>
          <t>+113.0（佔帳面淨利 102%）</t>
        </is>
      </c>
      <c r="D18" s="16" t="inlineStr">
        <is>
          <t>待核實</t>
        </is>
      </c>
      <c r="E18" s="16" t="inlineStr">
        <is>
          <t>帳面淨利 +110.6，剔除後 +1.5</t>
        </is>
      </c>
    </row>
    <row r="19" ht="30" customHeight="1">
      <c r="A19" s="16" t="inlineStr">
        <is>
          <t>② 支出／減值 — 令帳面難看</t>
        </is>
      </c>
      <c r="B19" s="16" t="inlineStr">
        <is>
          <t>SBET Sharplink, Inc.</t>
        </is>
      </c>
      <c r="C19" s="16" t="inlineStr">
        <is>
          <t>-395.7（佔帳面淨利 100%）</t>
        </is>
      </c>
      <c r="D19" s="16" t="inlineStr">
        <is>
          <t>待核實</t>
        </is>
      </c>
      <c r="E19" s="16" t="inlineStr">
        <is>
          <t>帳面淨利 -394.3，剔除後 -156.9</t>
        </is>
      </c>
    </row>
    <row r="20" ht="30" customHeight="1">
      <c r="A20" s="16" t="inlineStr">
        <is>
          <t>② 支出／減值 — 令帳面難看</t>
        </is>
      </c>
      <c r="B20" s="16" t="inlineStr">
        <is>
          <t>GO Grocery Outlet Hol</t>
        </is>
      </c>
      <c r="C20" s="16" t="inlineStr">
        <is>
          <t>-5.4（佔帳面淨利 96%）</t>
        </is>
      </c>
      <c r="D20" s="16" t="inlineStr">
        <is>
          <t>待核實</t>
        </is>
      </c>
      <c r="E20" s="16" t="inlineStr">
        <is>
          <t>帳面淨利 +5.6，剔除後 +8.9</t>
        </is>
      </c>
    </row>
    <row r="21" ht="30" customHeight="1">
      <c r="A21" s="16" t="inlineStr">
        <is>
          <t>② 支出／減值 — 令帳面難看</t>
        </is>
      </c>
      <c r="B21" s="16" t="inlineStr">
        <is>
          <t xml:space="preserve">BMNR Bitmine Immersion </t>
        </is>
      </c>
      <c r="C21" s="16" t="inlineStr">
        <is>
          <t>-75.6（佔帳面淨利 90%）</t>
        </is>
      </c>
      <c r="D21" s="16" t="inlineStr">
        <is>
          <t>待核實</t>
        </is>
      </c>
      <c r="E21" s="16" t="inlineStr">
        <is>
          <t>帳面淨利 -83.6，剔除後 -8.0</t>
        </is>
      </c>
    </row>
    <row r="22" ht="30" customHeight="1">
      <c r="A22" s="16" t="inlineStr">
        <is>
          <t>① 收益 — 令帳面好看</t>
        </is>
      </c>
      <c r="B22" s="16" t="inlineStr">
        <is>
          <t>CNX CNX Resources Corp</t>
        </is>
      </c>
      <c r="C22" s="16" t="inlineStr">
        <is>
          <t>+175.7（佔帳面淨利 87%）</t>
        </is>
      </c>
      <c r="D22" s="16" t="inlineStr">
        <is>
          <t>待核實</t>
        </is>
      </c>
      <c r="E22" s="16" t="inlineStr">
        <is>
          <t>帳面淨利 +202.9，剔除後 +52.4</t>
        </is>
      </c>
    </row>
    <row r="23" ht="30" customHeight="1">
      <c r="A23" s="16" t="inlineStr">
        <is>
          <t>② 支出／減值 — 令帳面難看</t>
        </is>
      </c>
      <c r="B23" s="16" t="inlineStr">
        <is>
          <t>SWKS Skyworks Solutions</t>
        </is>
      </c>
      <c r="C23" s="16" t="inlineStr">
        <is>
          <t>-19.8（佔帳面淨利 58%）</t>
        </is>
      </c>
      <c r="D23" s="16" t="inlineStr">
        <is>
          <t>待核實</t>
        </is>
      </c>
      <c r="E23" s="16" t="inlineStr">
        <is>
          <t>帳面淨利 +33.9，剔除後 +47.7</t>
        </is>
      </c>
    </row>
    <row r="24" ht="30" customHeight="1">
      <c r="A24" s="16" t="inlineStr">
        <is>
          <t>② 支出／減值 — 令帳面難看</t>
        </is>
      </c>
      <c r="B24" s="16" t="inlineStr">
        <is>
          <t>ITGR Integer Holdings C</t>
        </is>
      </c>
      <c r="C24" s="16" t="inlineStr">
        <is>
          <t>-10.4（佔帳面淨利 44%）</t>
        </is>
      </c>
      <c r="D24" s="16" t="inlineStr">
        <is>
          <t>待核實</t>
        </is>
      </c>
      <c r="E24" s="16" t="inlineStr">
        <is>
          <t>帳面淨利 +23.6，剔除後 +29.9</t>
        </is>
      </c>
    </row>
    <row r="25" ht="30" customHeight="1">
      <c r="A25" s="16" t="inlineStr">
        <is>
          <t>① 收益 — 令帳面好看</t>
        </is>
      </c>
      <c r="B25" s="16" t="inlineStr">
        <is>
          <t>LILAK Liberty Latin Amer</t>
        </is>
      </c>
      <c r="C25" s="16" t="inlineStr">
        <is>
          <t>+10.5（佔帳面淨利 44%）</t>
        </is>
      </c>
      <c r="D25" s="16" t="inlineStr">
        <is>
          <t>待核實</t>
        </is>
      </c>
      <c r="E25" s="16" t="inlineStr">
        <is>
          <t>帳面淨利 -24.0，剔除後 -30.3</t>
        </is>
      </c>
    </row>
    <row r="26" ht="30" customHeight="1">
      <c r="A26" s="16" t="inlineStr">
        <is>
          <t>① 收益 — 令帳面好看</t>
        </is>
      </c>
      <c r="B26" s="16" t="inlineStr">
        <is>
          <t>CRGY Crescent Energy Co</t>
        </is>
      </c>
      <c r="C26" s="16" t="inlineStr">
        <is>
          <t>+193.6（佔帳面淨利 39%）</t>
        </is>
      </c>
      <c r="D26" s="16" t="inlineStr">
        <is>
          <t>待核實</t>
        </is>
      </c>
      <c r="E26" s="16" t="inlineStr">
        <is>
          <t>帳面淨利 +492.8，剔除後 +348.7</t>
        </is>
      </c>
    </row>
    <row r="27" ht="30" customHeight="1">
      <c r="A27" s="16" t="inlineStr">
        <is>
          <t>① 收益 — 令帳面好看</t>
        </is>
      </c>
      <c r="B27" s="16" t="inlineStr">
        <is>
          <t>PNRG PrimeEnergy Resour</t>
        </is>
      </c>
      <c r="C27" s="16" t="inlineStr">
        <is>
          <t>+2.1（佔帳面淨利 32%）</t>
        </is>
      </c>
      <c r="D27" s="16" t="inlineStr">
        <is>
          <t>待核實</t>
        </is>
      </c>
      <c r="E27" s="16" t="inlineStr">
        <is>
          <t>帳面淨利 +6.5，剔除後 +4.8</t>
        </is>
      </c>
    </row>
    <row r="28" ht="30" customHeight="1">
      <c r="A28" s="16" t="inlineStr">
        <is>
          <t>② 支出／減值 — 令帳面難看</t>
        </is>
      </c>
      <c r="B28" s="16" t="inlineStr">
        <is>
          <t>HSIC Henry Schein, Inc.</t>
        </is>
      </c>
      <c r="C28" s="16" t="inlineStr">
        <is>
          <t>-29.0（佔帳面淨利 31%）</t>
        </is>
      </c>
      <c r="D28" s="16" t="inlineStr">
        <is>
          <t>待核實</t>
        </is>
      </c>
      <c r="E28" s="16" t="inlineStr">
        <is>
          <t>帳面淨利 +94.0，剔除後 +115.8</t>
        </is>
      </c>
    </row>
    <row r="29" ht="30" customHeight="1">
      <c r="A29" s="16" t="inlineStr">
        <is>
          <t>① 收益 — 令帳面好看</t>
        </is>
      </c>
      <c r="B29" s="16" t="inlineStr">
        <is>
          <t>RRC Range Resources Co</t>
        </is>
      </c>
      <c r="C29" s="16" t="inlineStr">
        <is>
          <t>+59.4（佔帳面淨利 30%）</t>
        </is>
      </c>
      <c r="D29" s="16" t="inlineStr">
        <is>
          <t>待核實</t>
        </is>
      </c>
      <c r="E29" s="16" t="inlineStr">
        <is>
          <t>帳面淨利 +195.1，剔除後 +148.6</t>
        </is>
      </c>
    </row>
    <row r="30" ht="30" customHeight="1">
      <c r="A30" s="16" t="inlineStr">
        <is>
          <t>① 收益 — 令帳面好看</t>
        </is>
      </c>
      <c r="B30" s="16" t="inlineStr">
        <is>
          <t>PBF PBF Energy Inc.</t>
        </is>
      </c>
      <c r="C30" s="16" t="inlineStr">
        <is>
          <t>+247.8（佔帳面淨利 27%）</t>
        </is>
      </c>
      <c r="D30" s="16" t="inlineStr">
        <is>
          <t>待核實</t>
        </is>
      </c>
      <c r="E30" s="16" t="inlineStr">
        <is>
          <t>帳面淨利 +906.4，剔除後 +722.0</t>
        </is>
      </c>
    </row>
    <row r="31" ht="30" customHeight="1">
      <c r="A31" s="16" t="inlineStr">
        <is>
          <t>② 支出／減值 — 令帳面難看</t>
        </is>
      </c>
      <c r="B31" s="16" t="inlineStr">
        <is>
          <t>APO Apollo Global Mana</t>
        </is>
      </c>
      <c r="C31" s="16" t="inlineStr">
        <is>
          <t>-262.0（佔帳面淨利 27%）</t>
        </is>
      </c>
      <c r="D31" s="16" t="inlineStr">
        <is>
          <t>待核實</t>
        </is>
      </c>
      <c r="E31" s="16" t="inlineStr">
        <is>
          <t>帳面淨利 +965.0，剔除後 +1,581.3</t>
        </is>
      </c>
    </row>
    <row r="32" ht="30" customHeight="1">
      <c r="A32" s="16" t="inlineStr">
        <is>
          <t>② 支出／減值 — 令帳面難看</t>
        </is>
      </c>
      <c r="B32" s="16" t="inlineStr">
        <is>
          <t>PAHC Phibro Animal Heal</t>
        </is>
      </c>
      <c r="C32" s="16" t="inlineStr">
        <is>
          <t>-5.6（佔帳面淨利 26%）</t>
        </is>
      </c>
      <c r="D32" s="16" t="inlineStr">
        <is>
          <t>待核實</t>
        </is>
      </c>
      <c r="E32" s="16" t="inlineStr">
        <is>
          <t>帳面淨利 +21.7，剔除後 +25.5</t>
        </is>
      </c>
    </row>
    <row r="33" ht="30" customHeight="1">
      <c r="A33" s="16" t="inlineStr">
        <is>
          <t>② 支出／減值 — 令帳面難看</t>
        </is>
      </c>
      <c r="B33" s="16" t="inlineStr">
        <is>
          <t>GLIBK Liberty Capital Co</t>
        </is>
      </c>
      <c r="C33" s="16" t="inlineStr">
        <is>
          <t>-4.0（佔帳面淨利 25%）</t>
        </is>
      </c>
      <c r="D33" s="16" t="inlineStr">
        <is>
          <t>待核實</t>
        </is>
      </c>
      <c r="E33" s="16" t="inlineStr">
        <is>
          <t>帳面淨利 +16.0，剔除後 +18.8</t>
        </is>
      </c>
    </row>
    <row r="34" ht="30" customHeight="1">
      <c r="A34" s="16" t="inlineStr">
        <is>
          <t>② 支出／減值 — 令帳面難看</t>
        </is>
      </c>
      <c r="B34" s="16" t="inlineStr">
        <is>
          <t>MIRM Mirum Pharmaceutic</t>
        </is>
      </c>
      <c r="C34" s="16" t="inlineStr">
        <is>
          <t>-16.4（佔帳面淨利 24%）</t>
        </is>
      </c>
      <c r="D34" s="16" t="inlineStr">
        <is>
          <t>待核實</t>
        </is>
      </c>
      <c r="E34" s="16" t="inlineStr">
        <is>
          <t>帳面淨利 -67.2，剔除後 -57.4</t>
        </is>
      </c>
    </row>
    <row r="35" ht="30" customHeight="1">
      <c r="A35" s="16" t="inlineStr">
        <is>
          <t>② 支出／減值 — 令帳面難看</t>
        </is>
      </c>
      <c r="B35" s="16" t="inlineStr">
        <is>
          <t>WFRD Weatherford Intern</t>
        </is>
      </c>
      <c r="C35" s="16" t="inlineStr">
        <is>
          <t>-9.0（佔帳面淨利 23%）</t>
        </is>
      </c>
      <c r="D35" s="16" t="inlineStr">
        <is>
          <t>待核實</t>
        </is>
      </c>
      <c r="E35" s="16" t="inlineStr">
        <is>
          <t>帳面淨利 +39.0，剔除後 +44.4</t>
        </is>
      </c>
    </row>
    <row r="36" ht="30" customHeight="1">
      <c r="A36" s="16" t="inlineStr">
        <is>
          <t>② 支出／減值 — 令帳面難看</t>
        </is>
      </c>
      <c r="B36" s="16" t="inlineStr">
        <is>
          <t>FRD Friedman Industrie</t>
        </is>
      </c>
      <c r="C36" s="16" t="inlineStr">
        <is>
          <t>-2.8（佔帳面淨利 22%）</t>
        </is>
      </c>
      <c r="D36" s="16" t="inlineStr">
        <is>
          <t>待核實</t>
        </is>
      </c>
      <c r="E36" s="16" t="inlineStr">
        <is>
          <t>帳面淨利 +12.5，剔除後 +14.9</t>
        </is>
      </c>
    </row>
    <row r="37" ht="30" customHeight="1">
      <c r="A37" s="16" t="inlineStr">
        <is>
          <t>① 收益 — 令帳面好看</t>
        </is>
      </c>
      <c r="B37" s="16" t="inlineStr">
        <is>
          <t>JPM JPMorgan Chase &amp; C</t>
        </is>
      </c>
      <c r="C37" s="16" t="inlineStr">
        <is>
          <t>+4,393.0（佔帳面淨利 21%）</t>
        </is>
      </c>
      <c r="D37" s="16" t="inlineStr">
        <is>
          <t>待核實</t>
        </is>
      </c>
      <c r="E37" s="16" t="inlineStr">
        <is>
          <t>帳面淨利 +20,752，剔除後 +17,778</t>
        </is>
      </c>
    </row>
    <row r="38" ht="30" customHeight="1">
      <c r="A38" s="16" t="inlineStr">
        <is>
          <t>② 支出／減值 — 令帳面難看</t>
        </is>
      </c>
      <c r="B38" s="16" t="inlineStr">
        <is>
          <t>WT WisdomTree, Inc.</t>
        </is>
      </c>
      <c r="C38" s="16" t="inlineStr">
        <is>
          <t>-9.1（佔帳面淨利 21%）</t>
        </is>
      </c>
      <c r="D38" s="16" t="inlineStr">
        <is>
          <t>待核實</t>
        </is>
      </c>
      <c r="E38" s="16" t="inlineStr">
        <is>
          <t>帳面淨利 +44.3，剔除後 +51.2</t>
        </is>
      </c>
    </row>
    <row r="39" ht="30" customHeight="1">
      <c r="A39" s="16" t="inlineStr">
        <is>
          <t>① 收益 — 令帳面好看</t>
        </is>
      </c>
      <c r="B39" s="16" t="inlineStr">
        <is>
          <t>TALO Talos Energy Inc.</t>
        </is>
      </c>
      <c r="C39" s="16" t="inlineStr">
        <is>
          <t>+30.5（佔帳面淨利 20%）</t>
        </is>
      </c>
      <c r="D39" s="16" t="inlineStr">
        <is>
          <t>待核實</t>
        </is>
      </c>
      <c r="E39" s="16" t="inlineStr">
        <is>
          <t>帳面淨利 +149.7，剔除後 +126.1</t>
        </is>
      </c>
    </row>
    <row r="40" ht="30" customHeight="1">
      <c r="A40" s="16" t="inlineStr">
        <is>
          <t>① 收益 — 令帳面好看</t>
        </is>
      </c>
      <c r="B40" s="16" t="inlineStr">
        <is>
          <t>CHRD Chord Energy Corpo</t>
        </is>
      </c>
      <c r="C40" s="16" t="inlineStr">
        <is>
          <t>+105.2（佔帳面淨利 20%）</t>
        </is>
      </c>
      <c r="D40" s="16" t="inlineStr">
        <is>
          <t>待核實</t>
        </is>
      </c>
      <c r="E40" s="16" t="inlineStr">
        <is>
          <t>帳面淨利 +520.9，剔除後 +444.8</t>
        </is>
      </c>
    </row>
    <row r="41" ht="30" customHeight="1">
      <c r="A41" s="16" t="inlineStr">
        <is>
          <t>② 支出／減值 — 令帳面難看</t>
        </is>
      </c>
      <c r="B41" s="16" t="inlineStr">
        <is>
          <t>QMCO Quantum Corporatio</t>
        </is>
      </c>
      <c r="C41" s="16" t="inlineStr">
        <is>
          <t>-28.0（佔帳面淨利 18%）</t>
        </is>
      </c>
      <c r="D41" s="16" t="inlineStr">
        <is>
          <t>待核實</t>
        </is>
      </c>
      <c r="E41" s="16" t="inlineStr">
        <is>
          <t>帳面淨利 -155.3，剔除後 -138.5</t>
        </is>
      </c>
    </row>
    <row r="42" ht="30" customHeight="1">
      <c r="A42" s="16" t="inlineStr">
        <is>
          <t>② 支出／減值 — 令帳面難看</t>
        </is>
      </c>
      <c r="B42" s="16" t="inlineStr">
        <is>
          <t>NWSA News Corporation</t>
        </is>
      </c>
      <c r="C42" s="16" t="inlineStr">
        <is>
          <t>-32.0（佔帳面淨利 18%）</t>
        </is>
      </c>
      <c r="D42" s="16" t="inlineStr">
        <is>
          <t>待核實</t>
        </is>
      </c>
      <c r="E42" s="16" t="inlineStr">
        <is>
          <t>帳面淨利 +179.0，剔除後 +205.5</t>
        </is>
      </c>
    </row>
    <row r="43" ht="30" customHeight="1">
      <c r="A43" s="16" t="inlineStr">
        <is>
          <t>① 收益 — 令帳面好看</t>
        </is>
      </c>
      <c r="B43" s="16" t="inlineStr">
        <is>
          <t>HAL Halliburton Compan</t>
        </is>
      </c>
      <c r="C43" s="16" t="inlineStr">
        <is>
          <t>+95.0（佔帳面淨利 18%）</t>
        </is>
      </c>
      <c r="D43" s="16" t="inlineStr">
        <is>
          <t>待核實</t>
        </is>
      </c>
      <c r="E43" s="16" t="inlineStr">
        <is>
          <t>帳面淨利 +534.0，剔除後 +457.1</t>
        </is>
      </c>
    </row>
    <row r="44" ht="30" customHeight="1">
      <c r="A44" s="16" t="inlineStr">
        <is>
          <t>② 支出／減值 — 令帳面難看</t>
        </is>
      </c>
      <c r="B44" s="16" t="inlineStr">
        <is>
          <t>COKE Coca-Cola Consolid</t>
        </is>
      </c>
      <c r="C44" s="16" t="inlineStr">
        <is>
          <t>-24.7（佔帳面淨利 16%）</t>
        </is>
      </c>
      <c r="D44" s="16" t="inlineStr">
        <is>
          <t>待核實</t>
        </is>
      </c>
      <c r="E44" s="16" t="inlineStr">
        <is>
          <t>帳面淨利 +158.8，剔除後 +177.1</t>
        </is>
      </c>
    </row>
    <row r="45" ht="30" customHeight="1">
      <c r="A45" s="16" t="inlineStr">
        <is>
          <t>① 收益 — 令帳面好看</t>
        </is>
      </c>
      <c r="B45" s="16" t="inlineStr">
        <is>
          <t>SGHT Sight Sciences, In</t>
        </is>
      </c>
      <c r="C45" s="16" t="inlineStr">
        <is>
          <t>+0.7（佔帳面淨利 15%）</t>
        </is>
      </c>
      <c r="D45" s="16" t="inlineStr">
        <is>
          <t>待核實</t>
        </is>
      </c>
      <c r="E45" s="16" t="inlineStr">
        <is>
          <t>帳面淨利 -4.4，剔除後 -4.9</t>
        </is>
      </c>
    </row>
    <row r="46" ht="30" customHeight="1">
      <c r="A46" s="16" t="inlineStr">
        <is>
          <t>① 收益 — 令帳面好看</t>
        </is>
      </c>
      <c r="B46" s="16" t="inlineStr">
        <is>
          <t>TARS Tarsus Pharmaceuti</t>
        </is>
      </c>
      <c r="C46" s="16" t="inlineStr">
        <is>
          <t>+2.8（佔帳面淨利 15%）</t>
        </is>
      </c>
      <c r="D46" s="16" t="inlineStr">
        <is>
          <t>待核實</t>
        </is>
      </c>
      <c r="E46" s="16" t="inlineStr">
        <is>
          <t>帳面淨利 -18.6，剔除後 -20.2</t>
        </is>
      </c>
    </row>
    <row r="47" ht="30" customHeight="1">
      <c r="A47" s="16" t="inlineStr">
        <is>
          <t>② 支出／減值 — 令帳面難看</t>
        </is>
      </c>
      <c r="B47" s="16" t="inlineStr">
        <is>
          <t>SBAC SBA Communications</t>
        </is>
      </c>
      <c r="C47" s="16" t="inlineStr">
        <is>
          <t>-28.5（佔帳面淨利 14%）</t>
        </is>
      </c>
      <c r="D47" s="16" t="inlineStr">
        <is>
          <t>待核實</t>
        </is>
      </c>
      <c r="E47" s="16" t="inlineStr">
        <is>
          <t>帳面淨利 +198.8，剔除後 +222.9</t>
        </is>
      </c>
    </row>
    <row r="48" ht="30" customHeight="1">
      <c r="A48" s="16" t="inlineStr">
        <is>
          <t>② 支出／減值 — 令帳面難看</t>
        </is>
      </c>
      <c r="B48" s="16" t="inlineStr">
        <is>
          <t>FORR Forrester Research</t>
        </is>
      </c>
      <c r="C48" s="16" t="inlineStr">
        <is>
          <t>-2.1（佔帳面淨利 14%）</t>
        </is>
      </c>
      <c r="D48" s="16" t="inlineStr">
        <is>
          <t>待核實</t>
        </is>
      </c>
      <c r="E48" s="16" t="inlineStr">
        <is>
          <t>帳面淨利 +15.3，剔除後 +16.5</t>
        </is>
      </c>
    </row>
    <row r="49" ht="30" customHeight="1">
      <c r="A49" s="16" t="inlineStr">
        <is>
          <t>② 支出／減值 — 令帳面難看</t>
        </is>
      </c>
      <c r="B49" s="16" t="inlineStr">
        <is>
          <t>OWL Blue Owl Capital I</t>
        </is>
      </c>
      <c r="C49" s="16" t="inlineStr">
        <is>
          <t>-1.5（佔帳面淨利 13%）</t>
        </is>
      </c>
      <c r="D49" s="16" t="inlineStr">
        <is>
          <t>待核實</t>
        </is>
      </c>
      <c r="E49" s="16" t="inlineStr">
        <is>
          <t>帳面淨利 +11.4，剔除後 +12.7</t>
        </is>
      </c>
    </row>
    <row r="50" ht="30" customHeight="1">
      <c r="A50" s="16" t="inlineStr">
        <is>
          <t>① 收益 — 令帳面好看</t>
        </is>
      </c>
      <c r="B50" s="16" t="inlineStr">
        <is>
          <t>TDW Tidewater Inc.</t>
        </is>
      </c>
      <c r="C50" s="16" t="inlineStr">
        <is>
          <t>+2.6（佔帳面淨利 12%）</t>
        </is>
      </c>
      <c r="D50" s="16" t="inlineStr">
        <is>
          <t>待核實</t>
        </is>
      </c>
      <c r="E50" s="16" t="inlineStr">
        <is>
          <t>帳面淨利 +21.7，剔除後 +20.1</t>
        </is>
      </c>
    </row>
    <row r="51" ht="30" customHeight="1">
      <c r="A51" s="16" t="inlineStr">
        <is>
          <t>② 支出／減值 — 令帳面難看</t>
        </is>
      </c>
      <c r="B51" s="16" t="inlineStr">
        <is>
          <t>CTSH Cognizant Technolo</t>
        </is>
      </c>
      <c r="C51" s="16" t="inlineStr">
        <is>
          <t>-77.0（佔帳面淨利 12%）</t>
        </is>
      </c>
      <c r="D51" s="16" t="inlineStr">
        <is>
          <t>待核實</t>
        </is>
      </c>
      <c r="E51" s="16" t="inlineStr">
        <is>
          <t>帳面淨利 +636.0，剔除後 +692.7</t>
        </is>
      </c>
    </row>
    <row r="52" ht="30" customHeight="1">
      <c r="A52" s="16" t="inlineStr">
        <is>
          <t>② 支出／減值 — 令帳面難看</t>
        </is>
      </c>
      <c r="B52" s="16" t="inlineStr">
        <is>
          <t>NAVI Navient Corporatio</t>
        </is>
      </c>
      <c r="C52" s="16" t="inlineStr">
        <is>
          <t>-3.0（佔帳面淨利 12%）</t>
        </is>
      </c>
      <c r="D52" s="16" t="inlineStr">
        <is>
          <t>待核實</t>
        </is>
      </c>
      <c r="E52" s="16" t="inlineStr">
        <is>
          <t>帳面淨利 +25.0，剔除後 +26.9</t>
        </is>
      </c>
    </row>
    <row r="53" ht="30" customHeight="1">
      <c r="A53" s="16" t="inlineStr">
        <is>
          <t>① 收益 — 令帳面好看</t>
        </is>
      </c>
      <c r="B53" s="16" t="inlineStr">
        <is>
          <t xml:space="preserve">PAG Penske Automotive </t>
        </is>
      </c>
      <c r="C53" s="16" t="inlineStr">
        <is>
          <t>+30.5（佔帳面淨利 12%）</t>
        </is>
      </c>
      <c r="D53" s="16" t="inlineStr">
        <is>
          <t>待核實</t>
        </is>
      </c>
      <c r="E53" s="16" t="inlineStr">
        <is>
          <t>帳面淨利 +260.4，剔除後 +237.9</t>
        </is>
      </c>
    </row>
    <row r="54" ht="30" customHeight="1">
      <c r="A54" s="16" t="inlineStr">
        <is>
          <t>② 支出／減值 — 令帳面難看</t>
        </is>
      </c>
      <c r="B54" s="16" t="inlineStr">
        <is>
          <t>COR Cencora, Inc.</t>
        </is>
      </c>
      <c r="C54" s="16" t="inlineStr">
        <is>
          <t>-85.1（佔帳面淨利 11%）</t>
        </is>
      </c>
      <c r="D54" s="16" t="inlineStr">
        <is>
          <t>待核實</t>
        </is>
      </c>
      <c r="E54" s="16" t="inlineStr">
        <is>
          <t>帳面淨利 +763.5，剔除後 +829.8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90" customWidth="1" min="3" max="3"/>
  </cols>
  <sheetData>
    <row r="1">
      <c r="A1" s="23" t="inlineStr">
        <is>
          <t>按「經常性口徑」重新排隊 — 帳面同經常性嘅差異就係拆解嘅價值</t>
        </is>
      </c>
    </row>
    <row r="3">
      <c r="A3" s="34" t="inlineStr">
        <is>
          <t>經常性狀態</t>
        </is>
      </c>
      <c r="B3" s="34" t="inlineStr">
        <is>
          <t>口徑</t>
        </is>
      </c>
      <c r="C3" s="34" t="inlineStr">
        <is>
          <t>個股與依據</t>
        </is>
      </c>
    </row>
    <row r="4" ht="97.59999999999999" customHeight="1">
      <c r="A4" s="35" t="inlineStr">
        <is>
          <t>經常性盈利且乾淨 (61 隻)</t>
        </is>
      </c>
      <c r="B4" s="16" t="inlineStr">
        <is>
          <t>GAAP / 營運利潤 (金融股為稅前)</t>
        </is>
      </c>
      <c r="C4" s="16" t="inlineStr">
        <is>
          <t>DMLP (營運 +30.9, 率 55%) ｜ MAN (營運 +112.0, 率 2%) ｜ EXPD (營運 +349.6, 率 10%) ｜ ET (營運 +3,574.0, 率 10%) ｜ HALO (營運 +287.7, 率 60%) ｜ SSNC (營運 +417.1, 率 25%) ｜ PAYC (營運 +168.5, 率 32%) ｜ GIC (營運 +49.3, 率 13%) ｜ ARLP (營運 +95.6, 率 17%) ｜ AGEN (營運 +11.3, 率 33%) ｜ CART (營運 +144.0, 率 14%) ｜ EPAM (營運 +152.2, 率 11%) ｜ RGA (稅前 +605.0, 率 9%) ｜ SXT (營運 +76.7, 率 17%) ｜ SBH (營運 +86.4, 率 9%) ｜ SEIC (營運 +197.0, 率 31%) ｜ NUTX (營運 +121.7, 率 58%) ｜ FMAO (稅前 +14.8, 率 44%) ｜ MLAB (營運 +7.0, 率 12%) ｜ HUBS (營運 +44.4, 率 5%) ｜ ACN (營運 +3,175.3, 率 17%) ｜ EPD (營運 +2,140.0, 率 12%) ｜ RWAY (稅前 +27.2, 率 89%) ｜ TRI (營運 +560.0, 率 29%) …（共 61 隻）</t>
        </is>
      </c>
    </row>
    <row r="5" ht="97.2" customHeight="1">
      <c r="A5" s="35" t="inlineStr">
        <is>
          <t>盈利但帳面含重大一次性 (43 隻)</t>
        </is>
      </c>
      <c r="B5" s="16" t="inlineStr">
        <is>
          <t>GAAP vs 經常</t>
        </is>
      </c>
      <c r="C5" s="16" t="inlineStr">
        <is>
          <t>ITGR (一次 -10.4, 佔 44%) ｜ RRC (一次 +59.4, 佔 30%) ｜ FORR (一次 -2.1, 佔 14%) ｜ GLIBK (一次 -4.0, 佔 25%) ｜ PNRG (一次 +2.1, 佔 32%) ｜ CTSH (一次 -77.0, 佔 12%) ｜ QMCO (一次 -28.0, 佔 18%) ｜ SPSC (一次 -21.8, 佔 318%) ｜ NWSA (一次 -32.0, 佔 18%) ｜ HSIC (一次 -29.0, 佔 31%) ｜ BIIB (一次 -296.4, 佔 304%) ｜ PAG (一次 +30.5, 佔 12%) ｜ NAVI (一次 -3.0, 佔 12%) ｜ CNX (一次 +175.7, 佔 87%) ｜ QUAD (一次 -9.7, 佔 262%) ｜ SBAC (一次 -28.5, 佔 14%) ｜ WT (一次 -9.1, 佔 21%) ｜ BIO (一次 +458.5, 佔 123%) ｜ COR (一次 -85.1, 佔 11%) ｜ GBTG (一次 -35.0, 佔 233%) ｜ JPM (一次 +4,393.0, 佔 21%) ｜ PBF (一次 +247.8, 佔 27%) ｜ CDNA (一次 +113.0, 佔 102%) ｜ PSKY (一次 -202.0, 佔 493%) …（共 43 隻）</t>
        </is>
      </c>
    </row>
    <row r="6" ht="54.26666666666667" customHeight="1">
      <c r="A6" s="35" t="inlineStr">
        <is>
          <t>盈利但利潤按年倒退 (22 隻)</t>
        </is>
      </c>
      <c r="B6" s="16" t="inlineStr">
        <is>
          <t>營運／稅前利潤 YoY</t>
        </is>
      </c>
      <c r="C6" s="16" t="inlineStr">
        <is>
          <t>SMTI (-28%) ｜ ARCC (-50%) ｜ VZ (-12%) ｜ OGN (-1%) ｜ AVTR (-5%) ｜ MATX (-25%) ｜ OVBC (-31%) ｜ NATH (-1%) ｜ RIGL (-61%) ｜ TECH (-19%) ｜ KFY (-3%) ｜ KMX (-25%) ｜ SLB (-15%) ｜ FBLA (-56%) ｜ NOW (-55%) ｜ FDS (-14%) ｜ ADT (-8%) ｜ META (-8%) ｜ DBX (-4%) ｜ OSPN (-17%) ｜ TSLA (-57%) ｜ ANF (-13%)</t>
        </is>
      </c>
    </row>
    <row r="7" ht="61.2" customHeight="1">
      <c r="A7" s="35" t="inlineStr">
        <is>
          <t>虧損收窄中 (15 隻)</t>
        </is>
      </c>
      <c r="B7" s="16" t="inlineStr">
        <is>
          <t>營運／稅前四季軌跡</t>
        </is>
      </c>
      <c r="C7" s="16" t="inlineStr">
        <is>
          <t>RCEL (-9.2 → -6.9) ｜ EOLS (-10.2 → -3.3) ｜ VSTM (-40.7 → -32.7) ｜ SGHT (-7.9 → -3.9) ｜ STEP (-722.8 → -204.8) ｜ ALEC (-37.6 → -24.4) ｜ NEXT (-72.0 → -54.6) ｜ SHEN (-6.9 → -0.9) ｜ IOVA (-89.8 → -51.9) ｜ ASMB (-10.9 → -6.3) ｜ RXRX (-172.2 → -135.0) ｜ BMNR (-360.3 → -11.9) ｜ ESTC (-8.2 → -3.7) ｜ KURA (-80.0 → -73.0) ｜ SNOW (-340.3 → -326.2)</t>
        </is>
      </c>
    </row>
    <row r="8" ht="66.66666666666667" customHeight="1">
      <c r="A8" s="35" t="inlineStr">
        <is>
          <t>虧損未見收窄 (17 隻)</t>
        </is>
      </c>
      <c r="B8" s="16" t="inlineStr">
        <is>
          <t>營運／稅前四季軌跡</t>
        </is>
      </c>
      <c r="C8" s="16" t="inlineStr">
        <is>
          <t>INSP (+9.6 → -0.5) ｜ LBRX (-5.2 → -53.9) ｜ PLSE (-20.4 → -25.3) ｜ MIRM (+2.6 → -26.1) ｜ ANRO (-15.0 → -29.1) ｜ CDZI (-4.9 → -8.8) ｜ NKTX (-27.3 → -43.1) ｜ LXU (+15.6 → -2.7) ｜ SLDB (-48.1 → -57.4) ｜ TARS (-14.5 → -19.9) ｜ CEG (+1,459.0 → -47.0) ｜ IDYA (+108.5 → -122.3) ｜ ABAT (-7.8 → -34.4) ｜ IMMX (-7.7 → -12.5) ｜ PESI (-1.9 → -6.5) ｜ SAIL (-40.8 → -79.8) ｜ RXST (-12.2 → -13.8)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8" customWidth="1" min="3" max="3"/>
    <col width="78" customWidth="1" min="4" max="4"/>
  </cols>
  <sheetData>
    <row r="1">
      <c r="A1" s="23" t="inlineStr">
        <is>
          <t>分級彙總 — 以「經常性口徑」評級 (數量由 COUNTIF 連動觀察名單 U 欄)</t>
        </is>
      </c>
    </row>
    <row r="3">
      <c r="A3" s="25" t="inlineStr">
        <is>
          <t>分級</t>
        </is>
      </c>
      <c r="B3" s="25" t="inlineStr">
        <is>
          <t>定義 (經常性口徑)</t>
        </is>
      </c>
      <c r="C3" s="25" t="inlineStr">
        <is>
          <t>數量</t>
        </is>
      </c>
      <c r="D3" s="25" t="inlineStr">
        <is>
          <t>Tickers</t>
        </is>
      </c>
    </row>
    <row r="4" ht="67.53846153846153" customHeight="1">
      <c r="A4" s="36" t="inlineStr">
        <is>
          <t>A</t>
        </is>
      </c>
      <c r="B4" s="37" t="inlineStr">
        <is>
          <t>營運利潤為正、帳面≈經常 (一次性 &lt;10%)、按年未倒退</t>
        </is>
      </c>
      <c r="C4" s="38">
        <f>COUNTIF(觀察名單!U:U,"A")</f>
        <v/>
      </c>
      <c r="D4" s="37" t="inlineStr">
        <is>
          <t>DMLP, MAN, EXPD, ET, HALO, SSNC, PAYC, GIC, ARLP, AGEN, CART, EPAM, RGA, SXT, SBH, SEIC, NUTX, FMAO, MLAB, HUBS, ACN, EPD, RWAY, TRI, WK, ICE, RDVT, TPG, PJT, JNJ, MNTN, DGICA, ATRC, DOCU, HTO, CRSR, BG, RBCAA, DFIN, PD, PMTS, YORW, NSIT, INSW, HPQ, TMUS, COP, ITIC, SENEA, DG, OII, NUE, ADM, PR, ULTA, OOMA, CENX, FET, FIVE, AMT, CNXN</t>
        </is>
      </c>
    </row>
    <row r="5" ht="71.38461538461539" customHeight="1">
      <c r="A5" s="39" t="inlineStr">
        <is>
          <t>B</t>
        </is>
      </c>
      <c r="B5" s="37" t="inlineStr">
        <is>
          <t>營運利潤為正，但含重大一次性 (≥10%) 或營運利潤按年倒退</t>
        </is>
      </c>
      <c r="C5" s="38">
        <f>COUNTIF(觀察名單!U:U,"B")</f>
        <v/>
      </c>
      <c r="D5" s="37" t="inlineStr">
        <is>
          <t>ITGR, SMTI, ARCC, VZ, RRC, OGN, FORR, AVTR, GLIBK, PNRG, MATX, CTSH, QMCO, SPSC, NWSA, HSIC, BIIB, PAG, OVBC, NAVI, NATH, CNX, RIGL, TECH, QUAD, SBAC, KFY, WT, BIO, COR, KMX, GBTG, JPM, PBF, SLB, CDNA, PSKY, CRGY, FBLA, NOW, CHRD, WFRD, SBET, GO, FRD, FDS, HP, ADT, META, LILAK, SRPT, HAL, COKE, PAHC, TALO, DBX, BILL, OSPN, SWKS, APO, TSLA, TDW, ANF, DAN, OWL</t>
        </is>
      </c>
    </row>
    <row r="6" ht="29.53846153846154" customHeight="1">
      <c r="A6" s="40" t="inlineStr">
        <is>
          <t>C</t>
        </is>
      </c>
      <c r="B6" s="37" t="inlineStr">
        <is>
          <t>營運仍虧損，四季軌跡收窄中</t>
        </is>
      </c>
      <c r="C6" s="38">
        <f>COUNTIF(觀察名單!U:U,"C")</f>
        <v/>
      </c>
      <c r="D6" s="37" t="inlineStr">
        <is>
          <t>RCEL, EOLS, VSTM, SGHT, STEP, ALEC, NEXT, SHEN, IOVA, ASMB, RXRX, BMNR, ESTC, KURA, SNOW</t>
        </is>
      </c>
    </row>
    <row r="7" ht="31.07692307692308" customHeight="1">
      <c r="A7" s="41" t="inlineStr">
        <is>
          <t>D</t>
        </is>
      </c>
      <c r="B7" s="37" t="inlineStr">
        <is>
          <t>營運虧損且未見收窄</t>
        </is>
      </c>
      <c r="C7" s="38">
        <f>COUNTIF(觀察名單!U:U,"D")</f>
        <v/>
      </c>
      <c r="D7" s="37" t="inlineStr">
        <is>
          <t>INSP, LBRX, PLSE, MIRM, ANRO, CDZI, NKTX, LXU, SLDB, TARS, CEG, IDYA, ABAT, IMMX, PESI, SAIL, RXST</t>
        </is>
      </c>
    </row>
    <row r="8" ht="16" customHeight="1">
      <c r="A8" s="42" t="inlineStr">
        <is>
          <t>—</t>
        </is>
      </c>
      <c r="B8" s="37" t="inlineStr">
        <is>
          <t>Yahoo 無季度損益表，未評級</t>
        </is>
      </c>
      <c r="C8" s="38">
        <f>COUNTIF(觀察名單!U:U,"—")</f>
        <v/>
      </c>
      <c r="D8" s="37" t="inlineStr"/>
    </row>
    <row r="9">
      <c r="A9" s="43" t="inlineStr">
        <is>
          <t>合計</t>
        </is>
      </c>
      <c r="C9" s="44">
        <f>SUM(C4:C8)</f>
        <v/>
      </c>
    </row>
    <row r="11">
      <c r="A11" s="45" t="inlineStr">
        <is>
          <t>資料截至各公司最新已公布財季；名單為 10MA Uptrend Watchlist R12（2026-09-04 收盤）。Yahoo 口徑，非投資建議。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2026-09-07T01:55:07Z</dcterms:created>
  <dcterms:modified xmlns:dcterms="http://purl.org/dc/terms/" xmlns:xsi="http://www.w3.org/2001/XMLSchema-instance" xsi:type="dcterms:W3CDTF">2026-09-07T01:55:07Z</dcterms:modified>
</cp:coreProperties>
</file>