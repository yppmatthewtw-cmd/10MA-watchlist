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本版更新" sheetId="1" state="visible" r:id="rId1"/>
    <sheet xmlns:r="http://schemas.openxmlformats.org/officeDocument/2006/relationships" name="總表" sheetId="2" state="visible" r:id="rId2"/>
    <sheet xmlns:r="http://schemas.openxmlformats.org/officeDocument/2006/relationships" name="1個月動能" sheetId="3" state="visible" r:id="rId3"/>
    <sheet xmlns:r="http://schemas.openxmlformats.org/officeDocument/2006/relationships" name="2個月動能" sheetId="4" state="visible" r:id="rId4"/>
    <sheet xmlns:r="http://schemas.openxmlformats.org/officeDocument/2006/relationships" name="3個月動能" sheetId="5" state="visible" r:id="rId5"/>
    <sheet xmlns:r="http://schemas.openxmlformats.org/officeDocument/2006/relationships" name="6個月動能" sheetId="6" state="visible" r:id="rId6"/>
    <sheet xmlns:r="http://schemas.openxmlformats.org/officeDocument/2006/relationships" name="篩選規則" sheetId="7" state="visible" r:id="rId7"/>
    <sheet xmlns:r="http://schemas.openxmlformats.org/officeDocument/2006/relationships" name="敏感度" sheetId="8" state="visible" r:id="rId8"/>
    <sheet xmlns:r="http://schemas.openxmlformats.org/officeDocument/2006/relationships" name="差一項" sheetId="9" state="visible" r:id="rId9"/>
    <sheet xmlns:r="http://schemas.openxmlformats.org/officeDocument/2006/relationships" name="同R20對照" sheetId="10" state="visible" r:id="rId10"/>
    <sheet xmlns:r="http://schemas.openxmlformats.org/officeDocument/2006/relationships" name="同上日對照" sheetId="11" state="visible" r:id="rId11"/>
    <sheet xmlns:r="http://schemas.openxmlformats.org/officeDocument/2006/relationships" name="審視標記" sheetId="12" state="visible" r:id="rId12"/>
    <sheet xmlns:r="http://schemas.openxmlformats.org/officeDocument/2006/relationships" name="數據核對" sheetId="13" state="visible" r:id="rId13"/>
    <sheet xmlns:r="http://schemas.openxmlformats.org/officeDocument/2006/relationships" name="市況" sheetId="14" state="visible" r:id="rId14"/>
    <sheet xmlns:r="http://schemas.openxmlformats.org/officeDocument/2006/relationships" name="催化劑同研究" sheetId="15" state="visible" r:id="rId15"/>
  </sheets>
  <definedNames>
    <definedName name="_xlnm._FilterDatabase" localSheetId="1" hidden="1">'總表'!$A$1:$BC$29</definedName>
    <definedName name="_xlnm._FilterDatabase" localSheetId="2" hidden="1">'1個月動能'!$A$3:$P$18</definedName>
    <definedName name="_xlnm._FilterDatabase" localSheetId="3" hidden="1">'2個月動能'!$A$3:$P$22</definedName>
    <definedName name="_xlnm._FilterDatabase" localSheetId="4" hidden="1">'3個月動能'!$A$3:$P$25</definedName>
    <definedName name="_xlnm._FilterDatabase" localSheetId="5" hidden="1">'6個月動能'!$A$3:$P$16</definedName>
    <definedName name="_xlnm._FilterDatabase" localSheetId="7" hidden="1">'敏感度'!$A$3:$F$3</definedName>
    <definedName name="_xlnm._FilterDatabase" localSheetId="8" hidden="1">'差一項'!$A$3:$H$3</definedName>
    <definedName name="_xlnm._FilterDatabase" localSheetId="9" hidden="1">'同R20對照'!$A$3:$E$3</definedName>
    <definedName name="_xlnm._FilterDatabase" localSheetId="10" hidden="1">'同上日對照'!$A$3:$E$3</definedName>
    <definedName name="_xlnm._FilterDatabase" localSheetId="11" hidden="1">'審視標記'!$A$3:$E$3</definedName>
    <definedName name="_xlnm._FilterDatabase" localSheetId="12" hidden="1">'數據核對'!$A$9:$F$9</definedName>
    <definedName name="_xlnm._FilterDatabase" localSheetId="14" hidden="1">'催化劑同研究'!$A$3:$F$3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##"/>
    <numFmt numFmtId="165" formatCode="0.0%"/>
    <numFmt numFmtId="166" formatCode="0.0"/>
    <numFmt numFmtId="167" formatCode="0.000%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0563C1"/>
      <sz val="10"/>
      <u val="single"/>
    </font>
    <font>
      <name val="Arial"/>
      <color rgb="000000FF"/>
      <sz val="10"/>
    </font>
    <font>
      <name val="Arial"/>
      <b val="1"/>
      <sz val="10"/>
    </font>
    <font>
      <name val="Arial"/>
      <b val="1"/>
      <color rgb="001F3864"/>
      <sz val="14"/>
    </font>
    <font>
      <name val="Arial"/>
      <color rgb="000563C1"/>
      <sz val="9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6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2" fontId="4" fillId="0" borderId="1" pivotButton="0" quotePrefix="0" xfId="0"/>
    <xf numFmtId="164" fontId="4" fillId="0" borderId="1" pivotButton="0" quotePrefix="0" xfId="0"/>
    <xf numFmtId="10" fontId="2" fillId="0" borderId="1" pivotButton="0" quotePrefix="0" xfId="0"/>
    <xf numFmtId="165" fontId="2" fillId="0" borderId="1" pivotButton="0" quotePrefix="0" xfId="0"/>
    <xf numFmtId="1" fontId="4" fillId="0" borderId="1" pivotButton="0" quotePrefix="0" xfId="0"/>
    <xf numFmtId="165" fontId="4" fillId="0" borderId="1" pivotButton="0" quotePrefix="0" xfId="0"/>
    <xf numFmtId="10" fontId="4" fillId="0" borderId="1" pivotButton="0" quotePrefix="0" xfId="0"/>
    <xf numFmtId="9" fontId="4" fillId="0" borderId="1" pivotButton="0" quotePrefix="0" xfId="0"/>
    <xf numFmtId="1" fontId="2" fillId="0" borderId="1" pivotButton="0" quotePrefix="0" xfId="0"/>
    <xf numFmtId="2" fontId="2" fillId="0" borderId="1" pivotButton="0" quotePrefix="0" xfId="0"/>
    <xf numFmtId="166" fontId="2" fillId="0" borderId="1" pivotButton="0" quotePrefix="0" xfId="0"/>
    <xf numFmtId="166" fontId="5" fillId="0" borderId="1" pivotButton="0" quotePrefix="0" xfId="0"/>
    <xf numFmtId="167" fontId="4" fillId="0" borderId="1" pivotButton="0" quotePrefix="0" xfId="0"/>
    <xf numFmtId="0" fontId="3" fillId="3" borderId="1" pivotButton="0" quotePrefix="0" xfId="0"/>
    <xf numFmtId="0" fontId="2" fillId="3" borderId="1" applyAlignment="1" pivotButton="0" quotePrefix="0" xfId="0">
      <alignment vertical="top" wrapText="1"/>
    </xf>
    <xf numFmtId="164" fontId="2" fillId="0" borderId="1" pivotButton="0" quotePrefix="0" xfId="0"/>
    <xf numFmtId="0" fontId="5" fillId="0" borderId="1" pivotButton="0" quotePrefix="0" xfId="0"/>
    <xf numFmtId="3" fontId="2" fillId="0" borderId="1" pivotButton="0" quotePrefix="0" xfId="0"/>
    <xf numFmtId="0" fontId="1" fillId="2" borderId="1" pivotButton="0" quotePrefix="0" xfId="0"/>
    <xf numFmtId="0" fontId="3" fillId="4" borderId="1" pivotButton="0" quotePrefix="0" xfId="0"/>
    <xf numFmtId="0" fontId="5" fillId="0" borderId="1" applyAlignment="1" pivotButton="0" quotePrefix="0" xfId="0">
      <alignment vertical="top" wrapText="1"/>
    </xf>
    <xf numFmtId="3" fontId="4" fillId="0" borderId="1" pivotButton="0" quotePrefix="0" xfId="0"/>
    <xf numFmtId="0" fontId="7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watchlist</author>
  </authors>
  <commentList>
    <comment ref="C2" authorId="0" shapeId="0">
      <text>
        <t>（沿用 R20 或更早嘅研究，未按今次重新核實）8/26 Q2勝預期兼升指引 → 翌日+15.2%</t>
      </text>
    </comment>
    <comment ref="C3" authorId="0" shapeId="0">
      <text>
        <t>（沿用 R20 或更早嘅研究，未按今次重新核實）8/6 Q2 EPS $9.38遠勝預期 → 8/10單日升21.9%</t>
      </text>
    </comment>
    <comment ref="C5" authorId="0" shapeId="0">
      <text>
        <t>（沿用 R20 或更早嘅研究，未按今次重新核實）8/28 Q2收入升15.1%、EPS $0.70超預期 → 單日飆19.3%</t>
      </text>
    </comment>
    <comment ref="C6" authorId="0" shapeId="0">
      <text>
        <t>（沿用 R20 或更早嘅研究，未按今次重新核實）7/28 Q2勝預期兼上調指引 → 翌日收市+14.0%</t>
      </text>
    </comment>
    <comment ref="C7" authorId="0" shapeId="0">
      <text>
        <t>（沿用 R20 或更早嘅研究，未按今次重新核實）7/22 Q2 EPS超預期18%、AI年合約值破$10億 → 兩日後抽7.4%</t>
      </text>
    </comment>
    <comment ref="C8" authorId="0" shapeId="0">
      <text>
        <t>（沿用 R20 或更早嘅研究，未按今次重新核實）8/28 Q3勝預期後多行升目標價 → 單日升3%</t>
      </text>
    </comment>
    <comment ref="C9" authorId="0" shapeId="0">
      <text>
        <t>（沿用 R20 或更早嘅研究，未按今次重新核實）7/29 NANOPULSE-AF入組過半 → 事件日−3.4%</t>
      </text>
    </comment>
    <comment ref="C10" authorId="0" shapeId="0">
      <text>
        <t>（沿用 R20 或更早嘅研究，未按今次重新核實）9/2 BEST1數據9/9公佈 → 3日升27%</t>
      </text>
    </comment>
    <comment ref="C12" authorId="0" shapeId="0">
      <text>
        <t>（沿用 R20 或更早嘅研究，未按今次重新核實）9/2 Q2收入升35%+上調指引→翌日升17.4%</t>
      </text>
    </comment>
    <comment ref="C15" authorId="0" shapeId="0">
      <text>
        <t>（沿用 R20 或更早嘅研究，未按今次重新核實）8/4 Q2收入+44%第20季Beat&amp;Raise → 翌日+11.6%</t>
      </text>
    </comment>
    <comment ref="C22" authorId="0" shapeId="0">
      <text>
        <t>（沿用 R20 或更早嘅研究，未按今次重新核實）8/14 Raymond James首覆蓋跑贏大市，目標$39</t>
      </text>
    </comment>
    <comment ref="C27" authorId="0" shapeId="0">
      <text>
        <t>（沿用 R20 或更早嘅研究，未按今次重新核實）8/6 Q2產量+41%兼上調指引，油價助攻</t>
      </text>
    </comment>
    <comment ref="C29" authorId="0" shapeId="0">
      <text>
        <t>（沿用 R20 或更早嘅研究，未按今次重新核實）8/10 Q2收入+33%兼上調全年指引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asdaq%3Anutx" TargetMode="External" Id="rId2"/><Relationship Type="http://schemas.openxmlformats.org/officeDocument/2006/relationships/hyperlink" Target="https://www.tradingview.com/chart/Q1c5VWwD/?symbol=nasdaq%3Aclmt" TargetMode="External" Id="rId3"/><Relationship Type="http://schemas.openxmlformats.org/officeDocument/2006/relationships/hyperlink" Target="https://www.tradingview.com/chart/Q1c5VWwD/?symbol=nyse%3Aestc" TargetMode="External" Id="rId4"/><Relationship Type="http://schemas.openxmlformats.org/officeDocument/2006/relationships/hyperlink" Target="https://www.tradingview.com/chart/Q1c5VWwD/?symbol=nasdaq%3Aneo" TargetMode="External" Id="rId5"/><Relationship Type="http://schemas.openxmlformats.org/officeDocument/2006/relationships/hyperlink" Target="https://www.tradingview.com/chart/Q1c5VWwD/?symbol=nyse%3Anow" TargetMode="External" Id="rId6"/><Relationship Type="http://schemas.openxmlformats.org/officeDocument/2006/relationships/hyperlink" Target="https://www.tradingview.com/chart/Q1c5VWwD/?symbol=nyse%3Ahpq" TargetMode="External" Id="rId7"/><Relationship Type="http://schemas.openxmlformats.org/officeDocument/2006/relationships/hyperlink" Target="https://www.tradingview.com/chart/Q1c5VWwD/?symbol=nasdaq%3Aplse" TargetMode="External" Id="rId8"/><Relationship Type="http://schemas.openxmlformats.org/officeDocument/2006/relationships/hyperlink" Target="https://www.tradingview.com/chart/Q1c5VWwD/?symbol=nasdaq%3Aird" TargetMode="External" Id="rId9"/><Relationship Type="http://schemas.openxmlformats.org/officeDocument/2006/relationships/hyperlink" Target="https://www.tradingview.com/chart/Q1c5VWwD/?symbol=nyse%3Aamwl" TargetMode="External" Id="rId10"/><Relationship Type="http://schemas.openxmlformats.org/officeDocument/2006/relationships/hyperlink" Target="https://www.tradingview.com/chart/Q1c5VWwD/?symbol=nyse%3Asnow" TargetMode="External" Id="rId11"/><Relationship Type="http://schemas.openxmlformats.org/officeDocument/2006/relationships/hyperlink" Target="https://www.tradingview.com/chart/Q1c5VWwD/?symbol=nasdaq%3Aampl" TargetMode="External" Id="rId12"/><Relationship Type="http://schemas.openxmlformats.org/officeDocument/2006/relationships/hyperlink" Target="https://www.tradingview.com/chart/Q1c5VWwD/?symbol=nyse%3Adhx" TargetMode="External" Id="rId13"/><Relationship Type="http://schemas.openxmlformats.org/officeDocument/2006/relationships/hyperlink" Target="https://www.tradingview.com/chart/Q1c5VWwD/?symbol=nyse%3Azeta" TargetMode="External" Id="rId14"/><Relationship Type="http://schemas.openxmlformats.org/officeDocument/2006/relationships/hyperlink" Target="https://www.tradingview.com/chart/Q1c5VWwD/?symbol=nyse%3Adino" TargetMode="External" Id="rId15"/><Relationship Type="http://schemas.openxmlformats.org/officeDocument/2006/relationships/hyperlink" Target="https://www.tradingview.com/chart/Q1c5VWwD/?symbol=nasdaq%3Amgni" TargetMode="External" Id="rId16"/><Relationship Type="http://schemas.openxmlformats.org/officeDocument/2006/relationships/hyperlink" Target="https://www.tradingview.com/chart/Q1c5VWwD/?symbol=nyse%3Avlo" TargetMode="External" Id="rId17"/><Relationship Type="http://schemas.openxmlformats.org/officeDocument/2006/relationships/hyperlink" Target="https://www.tradingview.com/chart/Q1c5VWwD/?symbol=nasdaq%3Asabr" TargetMode="External" Id="rId18"/><Relationship Type="http://schemas.openxmlformats.org/officeDocument/2006/relationships/hyperlink" Target="https://www.tradingview.com/chart/Q1c5VWwD/?symbol=nasdaq%3Avir" TargetMode="External" Id="rId19"/><Relationship Type="http://schemas.openxmlformats.org/officeDocument/2006/relationships/hyperlink" Target="https://www.tradingview.com/chart/Q1c5VWwD/?symbol=nyse%3Ampc" TargetMode="External" Id="rId20"/><Relationship Type="http://schemas.openxmlformats.org/officeDocument/2006/relationships/hyperlink" Target="https://www.tradingview.com/chart/Q1c5VWwD/?symbol=nasdaq%3Asgp" TargetMode="External" Id="rId21"/><Relationship Type="http://schemas.openxmlformats.org/officeDocument/2006/relationships/hyperlink" Target="https://www.tradingview.com/chart/Q1c5VWwD/?symbol=nyse%3Aangx" TargetMode="External" Id="rId22"/><Relationship Type="http://schemas.openxmlformats.org/officeDocument/2006/relationships/hyperlink" Target="https://www.tradingview.com/chart/Q1c5VWwD/?symbol=nasdaq%3Adjco" TargetMode="External" Id="rId23"/><Relationship Type="http://schemas.openxmlformats.org/officeDocument/2006/relationships/hyperlink" Target="https://www.tradingview.com/chart/Q1c5VWwD/?symbol=nyse%3Apsx" TargetMode="External" Id="rId24"/><Relationship Type="http://schemas.openxmlformats.org/officeDocument/2006/relationships/hyperlink" Target="https://www.tradingview.com/chart/Q1c5VWwD/?symbol=nyse%3Alpg" TargetMode="External" Id="rId25"/><Relationship Type="http://schemas.openxmlformats.org/officeDocument/2006/relationships/hyperlink" Target="https://www.tradingview.com/chart/Q1c5VWwD/?symbol=amex%3Arepx" TargetMode="External" Id="rId26"/><Relationship Type="http://schemas.openxmlformats.org/officeDocument/2006/relationships/hyperlink" Target="https://www.tradingview.com/chart/Q1c5VWwD/?symbol=nasdaq%3Aapa" TargetMode="External" Id="rId27"/><Relationship Type="http://schemas.openxmlformats.org/officeDocument/2006/relationships/hyperlink" Target="https://www.tradingview.com/chart/Q1c5VWwD/?symbol=nasdaq%3Acbll" TargetMode="External" Id="rId2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yse%3Anow" TargetMode="External" Id="rId2"/><Relationship Type="http://schemas.openxmlformats.org/officeDocument/2006/relationships/hyperlink" Target="https://www.tradingview.com/chart/Q1c5VWwD/?symbol=nyse%3Adhx" TargetMode="External" Id="rId3"/><Relationship Type="http://schemas.openxmlformats.org/officeDocument/2006/relationships/hyperlink" Target="https://www.tradingview.com/chart/Q1c5VWwD/?symbol=nasdaq%3Anutx" TargetMode="External" Id="rId4"/><Relationship Type="http://schemas.openxmlformats.org/officeDocument/2006/relationships/hyperlink" Target="https://www.tradingview.com/chart/Q1c5VWwD/?symbol=nasdaq%3Aclmt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neo" TargetMode="External" Id="rId7"/><Relationship Type="http://schemas.openxmlformats.org/officeDocument/2006/relationships/hyperlink" Target="https://www.tradingview.com/chart/Q1c5VWwD/?symbol=nasdaq%3Aird" TargetMode="External" Id="rId8"/><Relationship Type="http://schemas.openxmlformats.org/officeDocument/2006/relationships/hyperlink" Target="https://www.tradingview.com/chart/Q1c5VWwD/?symbol=nyse%3Aamwl" TargetMode="External" Id="rId9"/><Relationship Type="http://schemas.openxmlformats.org/officeDocument/2006/relationships/hyperlink" Target="https://www.tradingview.com/chart/Q1c5VWwD/?symbol=nyse%3Ahpq" TargetMode="External" Id="rId10"/><Relationship Type="http://schemas.openxmlformats.org/officeDocument/2006/relationships/hyperlink" Target="https://www.tradingview.com/chart/Q1c5VWwD/?symbol=nyse%3Adino" TargetMode="External" Id="rId11"/><Relationship Type="http://schemas.openxmlformats.org/officeDocument/2006/relationships/hyperlink" Target="https://www.tradingview.com/chart/Q1c5VWwD/?symbol=nasdaq%3Avir" TargetMode="External" Id="rId12"/><Relationship Type="http://schemas.openxmlformats.org/officeDocument/2006/relationships/hyperlink" Target="https://www.tradingview.com/chart/Q1c5VWwD/?symbol=nyse%3Avlo" TargetMode="External" Id="rId13"/><Relationship Type="http://schemas.openxmlformats.org/officeDocument/2006/relationships/hyperlink" Target="https://www.tradingview.com/chart/Q1c5VWwD/?symbol=nasdaq%3Adjco" TargetMode="External" Id="rId14"/><Relationship Type="http://schemas.openxmlformats.org/officeDocument/2006/relationships/hyperlink" Target="https://www.tradingview.com/chart/Q1c5VWwD/?symbol=amex%3Arepx" TargetMode="External" Id="rId15"/></Relationships>
</file>

<file path=xl/worksheets/_rels/sheet4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yse%3Anow" TargetMode="External" Id="rId2"/><Relationship Type="http://schemas.openxmlformats.org/officeDocument/2006/relationships/hyperlink" Target="https://www.tradingview.com/chart/Q1c5VWwD/?symbol=nasdaq%3Aplse" TargetMode="External" Id="rId3"/><Relationship Type="http://schemas.openxmlformats.org/officeDocument/2006/relationships/hyperlink" Target="https://www.tradingview.com/chart/Q1c5VWwD/?symbol=nasdaq%3Anutx" TargetMode="External" Id="rId4"/><Relationship Type="http://schemas.openxmlformats.org/officeDocument/2006/relationships/hyperlink" Target="https://www.tradingview.com/chart/Q1c5VWwD/?symbol=nasdaq%3Aclmt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neo" TargetMode="External" Id="rId7"/><Relationship Type="http://schemas.openxmlformats.org/officeDocument/2006/relationships/hyperlink" Target="https://www.tradingview.com/chart/Q1c5VWwD/?symbol=nasdaq%3Aird" TargetMode="External" Id="rId8"/><Relationship Type="http://schemas.openxmlformats.org/officeDocument/2006/relationships/hyperlink" Target="https://www.tradingview.com/chart/Q1c5VWwD/?symbol=nyse%3Asnow" TargetMode="External" Id="rId9"/><Relationship Type="http://schemas.openxmlformats.org/officeDocument/2006/relationships/hyperlink" Target="https://www.tradingview.com/chart/Q1c5VWwD/?symbol=nasdaq%3Aampl" TargetMode="External" Id="rId10"/><Relationship Type="http://schemas.openxmlformats.org/officeDocument/2006/relationships/hyperlink" Target="https://www.tradingview.com/chart/Q1c5VWwD/?symbol=nasdaq%3Asabr" TargetMode="External" Id="rId11"/><Relationship Type="http://schemas.openxmlformats.org/officeDocument/2006/relationships/hyperlink" Target="https://www.tradingview.com/chart/Q1c5VWwD/?symbol=nyse%3Ahpq" TargetMode="External" Id="rId12"/><Relationship Type="http://schemas.openxmlformats.org/officeDocument/2006/relationships/hyperlink" Target="https://www.tradingview.com/chart/Q1c5VWwD/?symbol=nyse%3Azeta" TargetMode="External" Id="rId13"/><Relationship Type="http://schemas.openxmlformats.org/officeDocument/2006/relationships/hyperlink" Target="https://www.tradingview.com/chart/Q1c5VWwD/?symbol=nasdaq%3Amgni" TargetMode="External" Id="rId14"/><Relationship Type="http://schemas.openxmlformats.org/officeDocument/2006/relationships/hyperlink" Target="https://www.tradingview.com/chart/Q1c5VWwD/?symbol=nasdaq%3Avir" TargetMode="External" Id="rId15"/><Relationship Type="http://schemas.openxmlformats.org/officeDocument/2006/relationships/hyperlink" Target="https://www.tradingview.com/chart/Q1c5VWwD/?symbol=nyse%3Avlo" TargetMode="External" Id="rId16"/><Relationship Type="http://schemas.openxmlformats.org/officeDocument/2006/relationships/hyperlink" Target="https://www.tradingview.com/chart/Q1c5VWwD/?symbol=nyse%3Ampc" TargetMode="External" Id="rId17"/><Relationship Type="http://schemas.openxmlformats.org/officeDocument/2006/relationships/hyperlink" Target="https://www.tradingview.com/chart/Q1c5VWwD/?symbol=nasdaq%3Asgp" TargetMode="External" Id="rId18"/><Relationship Type="http://schemas.openxmlformats.org/officeDocument/2006/relationships/hyperlink" Target="https://www.tradingview.com/chart/Q1c5VWwD/?symbol=nasdaq%3Acbll" TargetMode="External" Id="rId19"/></Relationships>
</file>

<file path=xl/worksheets/_rels/sheet5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yse%3Anow" TargetMode="External" Id="rId2"/><Relationship Type="http://schemas.openxmlformats.org/officeDocument/2006/relationships/hyperlink" Target="https://www.tradingview.com/chart/Q1c5VWwD/?symbol=nasdaq%3Aplse" TargetMode="External" Id="rId3"/><Relationship Type="http://schemas.openxmlformats.org/officeDocument/2006/relationships/hyperlink" Target="https://www.tradingview.com/chart/Q1c5VWwD/?symbol=nasdaq%3Anutx" TargetMode="External" Id="rId4"/><Relationship Type="http://schemas.openxmlformats.org/officeDocument/2006/relationships/hyperlink" Target="https://www.tradingview.com/chart/Q1c5VWwD/?symbol=nasdaq%3Aclmt" TargetMode="External" Id="rId5"/><Relationship Type="http://schemas.openxmlformats.org/officeDocument/2006/relationships/hyperlink" Target="https://www.tradingview.com/chart/Q1c5VWwD/?symbol=nyse%3Aestc" TargetMode="External" Id="rId6"/><Relationship Type="http://schemas.openxmlformats.org/officeDocument/2006/relationships/hyperlink" Target="https://www.tradingview.com/chart/Q1c5VWwD/?symbol=nasdaq%3Aneo" TargetMode="External" Id="rId7"/><Relationship Type="http://schemas.openxmlformats.org/officeDocument/2006/relationships/hyperlink" Target="https://www.tradingview.com/chart/Q1c5VWwD/?symbol=nasdaq%3Aird" TargetMode="External" Id="rId8"/><Relationship Type="http://schemas.openxmlformats.org/officeDocument/2006/relationships/hyperlink" Target="https://www.tradingview.com/chart/Q1c5VWwD/?symbol=nyse%3Aamwl" TargetMode="External" Id="rId9"/><Relationship Type="http://schemas.openxmlformats.org/officeDocument/2006/relationships/hyperlink" Target="https://www.tradingview.com/chart/Q1c5VWwD/?symbol=nyse%3Asnow" TargetMode="External" Id="rId10"/><Relationship Type="http://schemas.openxmlformats.org/officeDocument/2006/relationships/hyperlink" Target="https://www.tradingview.com/chart/Q1c5VWwD/?symbol=nasdaq%3Aampl" TargetMode="External" Id="rId11"/><Relationship Type="http://schemas.openxmlformats.org/officeDocument/2006/relationships/hyperlink" Target="https://www.tradingview.com/chart/Q1c5VWwD/?symbol=nyse%3Ahpq" TargetMode="External" Id="rId12"/><Relationship Type="http://schemas.openxmlformats.org/officeDocument/2006/relationships/hyperlink" Target="https://www.tradingview.com/chart/Q1c5VWwD/?symbol=nyse%3Azeta" TargetMode="External" Id="rId13"/><Relationship Type="http://schemas.openxmlformats.org/officeDocument/2006/relationships/hyperlink" Target="https://www.tradingview.com/chart/Q1c5VWwD/?symbol=nyse%3Aangx" TargetMode="External" Id="rId14"/><Relationship Type="http://schemas.openxmlformats.org/officeDocument/2006/relationships/hyperlink" Target="https://www.tradingview.com/chart/Q1c5VWwD/?symbol=nyse%3Adino" TargetMode="External" Id="rId15"/><Relationship Type="http://schemas.openxmlformats.org/officeDocument/2006/relationships/hyperlink" Target="https://www.tradingview.com/chart/Q1c5VWwD/?symbol=nasdaq%3Amgni" TargetMode="External" Id="rId16"/><Relationship Type="http://schemas.openxmlformats.org/officeDocument/2006/relationships/hyperlink" Target="https://www.tradingview.com/chart/Q1c5VWwD/?symbol=nyse%3Avlo" TargetMode="External" Id="rId17"/><Relationship Type="http://schemas.openxmlformats.org/officeDocument/2006/relationships/hyperlink" Target="https://www.tradingview.com/chart/Q1c5VWwD/?symbol=nyse%3Ampc" TargetMode="External" Id="rId18"/><Relationship Type="http://schemas.openxmlformats.org/officeDocument/2006/relationships/hyperlink" Target="https://www.tradingview.com/chart/Q1c5VWwD/?symbol=nyse%3Apsx" TargetMode="External" Id="rId19"/><Relationship Type="http://schemas.openxmlformats.org/officeDocument/2006/relationships/hyperlink" Target="https://www.tradingview.com/chart/Q1c5VWwD/?symbol=nasdaq%3Asgp" TargetMode="External" Id="rId20"/><Relationship Type="http://schemas.openxmlformats.org/officeDocument/2006/relationships/hyperlink" Target="https://www.tradingview.com/chart/Q1c5VWwD/?symbol=nyse%3Alpg" TargetMode="External" Id="rId21"/><Relationship Type="http://schemas.openxmlformats.org/officeDocument/2006/relationships/hyperlink" Target="https://www.tradingview.com/chart/Q1c5VWwD/?symbol=nasdaq%3Aapa" TargetMode="External" Id="rId22"/></Relationships>
</file>

<file path=xl/worksheets/_rels/sheet6.xml.rels><Relationships xmlns="http://schemas.openxmlformats.org/package/2006/relationships"><Relationship Type="http://schemas.openxmlformats.org/officeDocument/2006/relationships/hyperlink" Target="https://www.tradingview.com/chart/Q1c5VWwD/?symbol=nasdaq%3Aplse" TargetMode="External" Id="rId1"/><Relationship Type="http://schemas.openxmlformats.org/officeDocument/2006/relationships/hyperlink" Target="https://www.tradingview.com/chart/Q1c5VWwD/?symbol=nyse%3Adhx" TargetMode="External" Id="rId2"/><Relationship Type="http://schemas.openxmlformats.org/officeDocument/2006/relationships/hyperlink" Target="https://www.tradingview.com/chart/Q1c5VWwD/?symbol=nasdaq%3Anutx" TargetMode="External" Id="rId3"/><Relationship Type="http://schemas.openxmlformats.org/officeDocument/2006/relationships/hyperlink" Target="https://www.tradingview.com/chart/Q1c5VWwD/?symbol=nasdaq%3Aclmt" TargetMode="External" Id="rId4"/><Relationship Type="http://schemas.openxmlformats.org/officeDocument/2006/relationships/hyperlink" Target="https://www.tradingview.com/chart/Q1c5VWwD/?symbol=nyse%3Aestc" TargetMode="External" Id="rId5"/><Relationship Type="http://schemas.openxmlformats.org/officeDocument/2006/relationships/hyperlink" Target="https://www.tradingview.com/chart/Q1c5VWwD/?symbol=nasdaq%3Aneo" TargetMode="External" Id="rId6"/><Relationship Type="http://schemas.openxmlformats.org/officeDocument/2006/relationships/hyperlink" Target="https://www.tradingview.com/chart/Q1c5VWwD/?symbol=nyse%3Aamwl" TargetMode="External" Id="rId7"/><Relationship Type="http://schemas.openxmlformats.org/officeDocument/2006/relationships/hyperlink" Target="https://www.tradingview.com/chart/Q1c5VWwD/?symbol=nyse%3Asnow" TargetMode="External" Id="rId8"/><Relationship Type="http://schemas.openxmlformats.org/officeDocument/2006/relationships/hyperlink" Target="https://www.tradingview.com/chart/Q1c5VWwD/?symbol=nasdaq%3Aampl" TargetMode="External" Id="rId9"/><Relationship Type="http://schemas.openxmlformats.org/officeDocument/2006/relationships/hyperlink" Target="https://www.tradingview.com/chart/Q1c5VWwD/?symbol=nyse%3Ahpq" TargetMode="External" Id="rId10"/><Relationship Type="http://schemas.openxmlformats.org/officeDocument/2006/relationships/hyperlink" Target="https://www.tradingview.com/chart/Q1c5VWwD/?symbol=nyse%3Azeta" TargetMode="External" Id="rId11"/><Relationship Type="http://schemas.openxmlformats.org/officeDocument/2006/relationships/hyperlink" Target="https://www.tradingview.com/chart/Q1c5VWwD/?symbol=nyse%3Adino" TargetMode="External" Id="rId12"/><Relationship Type="http://schemas.openxmlformats.org/officeDocument/2006/relationships/hyperlink" Target="https://www.tradingview.com/chart/Q1c5VWwD/?symbol=nasdaq%3Amgni" TargetMode="External" Id="rId13"/></Relationships>
</file>

<file path=xl/worksheets/_rels/sheet8.xml.rels><Relationships xmlns="http://schemas.openxmlformats.org/package/2006/relationships"><Relationship Type="http://schemas.openxmlformats.org/officeDocument/2006/relationships/hyperlink" Target="https://www.tradingview.com/chart/Q1c5VWwD/?symbol=nyse%3Aamwl" TargetMode="External" Id="rId1"/><Relationship Type="http://schemas.openxmlformats.org/officeDocument/2006/relationships/hyperlink" Target="https://www.tradingview.com/chart/Q1c5VWwD/?symbol=nasdaq%3Adjco" TargetMode="External" Id="rId2"/><Relationship Type="http://schemas.openxmlformats.org/officeDocument/2006/relationships/hyperlink" Target="https://www.tradingview.com/chart/Q1c5VWwD/?symbol=nasdaq%3Aneo" TargetMode="External" Id="rId3"/><Relationship Type="http://schemas.openxmlformats.org/officeDocument/2006/relationships/hyperlink" Target="https://www.tradingview.com/chart/Q1c5VWwD/?symbol=grdn" TargetMode="External" Id="rId4"/><Relationship Type="http://schemas.openxmlformats.org/officeDocument/2006/relationships/hyperlink" Target="https://www.tradingview.com/chart/Q1c5VWwD/?symbol=nasdaq%3Aampl" TargetMode="External" Id="rId5"/><Relationship Type="http://schemas.openxmlformats.org/officeDocument/2006/relationships/hyperlink" Target="https://www.tradingview.com/chart/Q1c5VWwD/?symbol=nyse%3Aamwl" TargetMode="External" Id="rId6"/><Relationship Type="http://schemas.openxmlformats.org/officeDocument/2006/relationships/hyperlink" Target="https://www.tradingview.com/chart/Q1c5VWwD/?symbol=nasdaq%3Adjco" TargetMode="External" Id="rId7"/><Relationship Type="http://schemas.openxmlformats.org/officeDocument/2006/relationships/hyperlink" Target="https://www.tradingview.com/chart/Q1c5VWwD/?symbol=nyse%3Aestc" TargetMode="External" Id="rId8"/><Relationship Type="http://schemas.openxmlformats.org/officeDocument/2006/relationships/hyperlink" Target="https://www.tradingview.com/chart/Q1c5VWwD/?symbol=nasdaq%3Adocu" TargetMode="External" Id="rId9"/><Relationship Type="http://schemas.openxmlformats.org/officeDocument/2006/relationships/hyperlink" Target="https://www.tradingview.com/chart/Q1c5VWwD/?symbol=nasdaq%3Acbll" TargetMode="External" Id="rId10"/><Relationship Type="http://schemas.openxmlformats.org/officeDocument/2006/relationships/hyperlink" Target="https://www.tradingview.com/chart/Q1c5VWwD/?symbol=nyse%3Azeta" TargetMode="External" Id="rId11"/><Relationship Type="http://schemas.openxmlformats.org/officeDocument/2006/relationships/hyperlink" Target="https://www.tradingview.com/chart/Q1c5VWwD/?symbol=aii" TargetMode="External" Id="rId12"/><Relationship Type="http://schemas.openxmlformats.org/officeDocument/2006/relationships/hyperlink" Target="https://www.tradingview.com/chart/Q1c5VWwD/?symbol=crm" TargetMode="External" Id="rId13"/><Relationship Type="http://schemas.openxmlformats.org/officeDocument/2006/relationships/hyperlink" Target="https://www.tradingview.com/chart/Q1c5VWwD/?symbol=dk" TargetMode="External" Id="rId14"/><Relationship Type="http://schemas.openxmlformats.org/officeDocument/2006/relationships/hyperlink" Target="https://www.tradingview.com/chart/Q1c5VWwD/?symbol=htfl" TargetMode="External" Id="rId15"/><Relationship Type="http://schemas.openxmlformats.org/officeDocument/2006/relationships/hyperlink" Target="https://www.tradingview.com/chart/Q1c5VWwD/?symbol=lfst" TargetMode="External" Id="rId16"/><Relationship Type="http://schemas.openxmlformats.org/officeDocument/2006/relationships/hyperlink" Target="https://www.tradingview.com/chart/Q1c5VWwD/?symbol=pbf" TargetMode="External" Id="rId17"/><Relationship Type="http://schemas.openxmlformats.org/officeDocument/2006/relationships/hyperlink" Target="https://www.tradingview.com/chart/Q1c5VWwD/?symbol=sgmt" TargetMode="External" Id="rId18"/><Relationship Type="http://schemas.openxmlformats.org/officeDocument/2006/relationships/hyperlink" Target="https://www.tradingview.com/chart/Q1c5VWwD/?symbol=nyse%3Aavtr" TargetMode="External" Id="rId19"/><Relationship Type="http://schemas.openxmlformats.org/officeDocument/2006/relationships/hyperlink" Target="https://www.tradingview.com/chart/Q1c5VWwD/?symbol=nasdaq%3Ansit" TargetMode="External" Id="rId20"/><Relationship Type="http://schemas.openxmlformats.org/officeDocument/2006/relationships/hyperlink" Target="https://www.tradingview.com/chart/Q1c5VWwD/?symbol=nasdaq%3Adjco" TargetMode="External" Id="rId21"/><Relationship Type="http://schemas.openxmlformats.org/officeDocument/2006/relationships/hyperlink" Target="https://www.tradingview.com/chart/Q1c5VWwD/?symbol=nasdaq%3Amgni" TargetMode="External" Id="rId22"/><Relationship Type="http://schemas.openxmlformats.org/officeDocument/2006/relationships/hyperlink" Target="https://www.tradingview.com/chart/Q1c5VWwD/?symbol=nasdaq%3Asabr" TargetMode="External" Id="rId23"/><Relationship Type="http://schemas.openxmlformats.org/officeDocument/2006/relationships/hyperlink" Target="https://www.tradingview.com/chart/Q1c5VWwD/?symbol=nyse%3Asnow" TargetMode="External" Id="rId24"/><Relationship Type="http://schemas.openxmlformats.org/officeDocument/2006/relationships/hyperlink" Target="https://www.tradingview.com/chart/Q1c5VWwD/?symbol=bio" TargetMode="External" Id="rId25"/><Relationship Type="http://schemas.openxmlformats.org/officeDocument/2006/relationships/hyperlink" Target="https://www.tradingview.com/chart/Q1c5VWwD/?symbol=rigl" TargetMode="External" Id="rId26"/><Relationship Type="http://schemas.openxmlformats.org/officeDocument/2006/relationships/hyperlink" Target="https://www.tradingview.com/chart/Q1c5VWwD/?symbol=nasdaq%3Aampl" TargetMode="External" Id="rId27"/><Relationship Type="http://schemas.openxmlformats.org/officeDocument/2006/relationships/hyperlink" Target="https://www.tradingview.com/chart/Q1c5VWwD/?symbol=nyse%3Aamwl" TargetMode="External" Id="rId28"/><Relationship Type="http://schemas.openxmlformats.org/officeDocument/2006/relationships/hyperlink" Target="https://www.tradingview.com/chart/Q1c5VWwD/?symbol=nasdaq%3Adjco" TargetMode="External" Id="rId29"/><Relationship Type="http://schemas.openxmlformats.org/officeDocument/2006/relationships/hyperlink" Target="https://www.tradingview.com/chart/Q1c5VWwD/?symbol=nyse%3Anow" TargetMode="External" Id="rId30"/><Relationship Type="http://schemas.openxmlformats.org/officeDocument/2006/relationships/hyperlink" Target="https://www.tradingview.com/chart/Q1c5VWwD/?symbol=nasdaq%3Asgp" TargetMode="External" Id="rId31"/><Relationship Type="http://schemas.openxmlformats.org/officeDocument/2006/relationships/hyperlink" Target="https://www.tradingview.com/chart/Q1c5VWwD/?symbol=nasdaq%3Avir" TargetMode="External" Id="rId32"/><Relationship Type="http://schemas.openxmlformats.org/officeDocument/2006/relationships/hyperlink" Target="https://www.tradingview.com/chart/Q1c5VWwD/?symbol=nyse%3Afet" TargetMode="External" Id="rId33"/><Relationship Type="http://schemas.openxmlformats.org/officeDocument/2006/relationships/hyperlink" Target="https://www.tradingview.com/chart/Q1c5VWwD/?symbol=agco" TargetMode="External" Id="rId34"/><Relationship Type="http://schemas.openxmlformats.org/officeDocument/2006/relationships/hyperlink" Target="https://www.tradingview.com/chart/Q1c5VWwD/?symbol=lite" TargetMode="External" Id="rId35"/><Relationship Type="http://schemas.openxmlformats.org/officeDocument/2006/relationships/hyperlink" Target="https://www.tradingview.com/chart/Q1c5VWwD/?symbol=snd" TargetMode="External" Id="rId36"/><Relationship Type="http://schemas.openxmlformats.org/officeDocument/2006/relationships/hyperlink" Target="https://www.tradingview.com/chart/Q1c5VWwD/?symbol=tlys" TargetMode="External" Id="rId37"/><Relationship Type="http://schemas.openxmlformats.org/officeDocument/2006/relationships/hyperlink" Target="https://www.tradingview.com/chart/Q1c5VWwD/?symbol=nyse%3Anow" TargetMode="External" Id="rId38"/><Relationship Type="http://schemas.openxmlformats.org/officeDocument/2006/relationships/hyperlink" Target="https://www.tradingview.com/chart/Q1c5VWwD/?symbol=acfn" TargetMode="External" Id="rId39"/><Relationship Type="http://schemas.openxmlformats.org/officeDocument/2006/relationships/hyperlink" Target="https://www.tradingview.com/chart/Q1c5VWwD/?symbol=bby" TargetMode="External" Id="rId40"/><Relationship Type="http://schemas.openxmlformats.org/officeDocument/2006/relationships/hyperlink" Target="https://www.tradingview.com/chart/Q1c5VWwD/?symbol=blte" TargetMode="External" Id="rId41"/><Relationship Type="http://schemas.openxmlformats.org/officeDocument/2006/relationships/hyperlink" Target="https://www.tradingview.com/chart/Q1c5VWwD/?symbol=bsvn" TargetMode="External" Id="rId42"/><Relationship Type="http://schemas.openxmlformats.org/officeDocument/2006/relationships/hyperlink" Target="https://www.tradingview.com/chart/Q1c5VWwD/?symbol=exel" TargetMode="External" Id="rId43"/><Relationship Type="http://schemas.openxmlformats.org/officeDocument/2006/relationships/hyperlink" Target="https://www.tradingview.com/chart/Q1c5VWwD/?symbol=hrmy" TargetMode="External" Id="rId44"/><Relationship Type="http://schemas.openxmlformats.org/officeDocument/2006/relationships/hyperlink" Target="https://www.tradingview.com/chart/Q1c5VWwD/?symbol=ooma" TargetMode="External" Id="rId45"/><Relationship Type="http://schemas.openxmlformats.org/officeDocument/2006/relationships/hyperlink" Target="https://www.tradingview.com/chart/Q1c5VWwD/?symbol=sxc" TargetMode="External" Id="rId46"/><Relationship Type="http://schemas.openxmlformats.org/officeDocument/2006/relationships/hyperlink" Target="https://www.tradingview.com/chart/Q1c5VWwD/?symbol=nasdaq%3Aapa" TargetMode="External" Id="rId47"/><Relationship Type="http://schemas.openxmlformats.org/officeDocument/2006/relationships/hyperlink" Target="https://www.tradingview.com/chart/Q1c5VWwD/?symbol=nyse%3Adhx" TargetMode="External" Id="rId48"/><Relationship Type="http://schemas.openxmlformats.org/officeDocument/2006/relationships/hyperlink" Target="https://www.tradingview.com/chart/Q1c5VWwD/?symbol=nasdaq%3Adjco" TargetMode="External" Id="rId49"/><Relationship Type="http://schemas.openxmlformats.org/officeDocument/2006/relationships/hyperlink" Target="https://www.tradingview.com/chart/Q1c5VWwD/?symbol=nyse%3Ahpq" TargetMode="External" Id="rId50"/><Relationship Type="http://schemas.openxmlformats.org/officeDocument/2006/relationships/hyperlink" Target="https://www.tradingview.com/chart/Q1c5VWwD/?symbol=nyse%3Alpg" TargetMode="External" Id="rId51"/><Relationship Type="http://schemas.openxmlformats.org/officeDocument/2006/relationships/hyperlink" Target="https://www.tradingview.com/chart/Q1c5VWwD/?symbol=amex%3Arepx" TargetMode="External" Id="rId52"/><Relationship Type="http://schemas.openxmlformats.org/officeDocument/2006/relationships/hyperlink" Target="https://www.tradingview.com/chart/Q1c5VWwD/?symbol=nasdaq%3Asabr" TargetMode="External" Id="rId53"/><Relationship Type="http://schemas.openxmlformats.org/officeDocument/2006/relationships/hyperlink" Target="https://www.tradingview.com/chart/Q1c5VWwD/?symbol=nasdaq%3Asgp" TargetMode="External" Id="rId54"/><Relationship Type="http://schemas.openxmlformats.org/officeDocument/2006/relationships/hyperlink" Target="https://www.tradingview.com/chart/Q1c5VWwD/?symbol=nasdaq%3Avir" TargetMode="External" Id="rId55"/></Relationships>
</file>

<file path=xl/worksheets/_rels/sheet9.xml.rels><Relationships xmlns="http://schemas.openxmlformats.org/package/2006/relationships"><Relationship Type="http://schemas.openxmlformats.org/officeDocument/2006/relationships/hyperlink" Target="https://www.tradingview.com/chart/Q1c5VWwD/?symbol=achv" TargetMode="External" Id="rId1"/><Relationship Type="http://schemas.openxmlformats.org/officeDocument/2006/relationships/hyperlink" Target="https://www.tradingview.com/chart/Q1c5VWwD/?symbol=exfy" TargetMode="External" Id="rId2"/><Relationship Type="http://schemas.openxmlformats.org/officeDocument/2006/relationships/hyperlink" Target="https://www.tradingview.com/chart/Q1c5VWwD/?symbol=nmax" TargetMode="External" Id="rId3"/><Relationship Type="http://schemas.openxmlformats.org/officeDocument/2006/relationships/hyperlink" Target="https://www.tradingview.com/chart/Q1c5VWwD/?symbol=payc" TargetMode="External" Id="rId4"/><Relationship Type="http://schemas.openxmlformats.org/officeDocument/2006/relationships/hyperlink" Target="https://www.tradingview.com/chart/Q1c5VWwD/?symbol=pays" TargetMode="External" Id="rId5"/><Relationship Type="http://schemas.openxmlformats.org/officeDocument/2006/relationships/hyperlink" Target="https://www.tradingview.com/chart/Q1c5VWwD/?symbol=psnl" TargetMode="External" Id="rId6"/><Relationship Type="http://schemas.openxmlformats.org/officeDocument/2006/relationships/hyperlink" Target="https://www.tradingview.com/chart/Q1c5VWwD/?symbol=rcmt" TargetMode="External" Id="rId7"/><Relationship Type="http://schemas.openxmlformats.org/officeDocument/2006/relationships/hyperlink" Target="https://www.tradingview.com/chart/Q1c5VWwD/?symbol=tbi" TargetMode="External" Id="rId8"/><Relationship Type="http://schemas.openxmlformats.org/officeDocument/2006/relationships/hyperlink" Target="https://www.tradingview.com/chart/Q1c5VWwD/?symbol=appn" TargetMode="External" Id="rId9"/><Relationship Type="http://schemas.openxmlformats.org/officeDocument/2006/relationships/hyperlink" Target="https://www.tradingview.com/chart/Q1c5VWwD/?symbol=cort" TargetMode="External" Id="rId10"/><Relationship Type="http://schemas.openxmlformats.org/officeDocument/2006/relationships/hyperlink" Target="https://www.tradingview.com/chart/Q1c5VWwD/?symbol=crl" TargetMode="External" Id="rId11"/><Relationship Type="http://schemas.openxmlformats.org/officeDocument/2006/relationships/hyperlink" Target="https://www.tradingview.com/chart/Q1c5VWwD/?symbol=elf" TargetMode="External" Id="rId12"/><Relationship Type="http://schemas.openxmlformats.org/officeDocument/2006/relationships/hyperlink" Target="https://www.tradingview.com/chart/Q1c5VWwD/?symbol=frsh" TargetMode="External" Id="rId13"/><Relationship Type="http://schemas.openxmlformats.org/officeDocument/2006/relationships/hyperlink" Target="https://www.tradingview.com/chart/Q1c5VWwD/?symbol=kelya" TargetMode="External" Id="rId14"/><Relationship Type="http://schemas.openxmlformats.org/officeDocument/2006/relationships/hyperlink" Target="https://www.tradingview.com/chart/Q1c5VWwD/?symbol=kro" TargetMode="External" Id="rId15"/><Relationship Type="http://schemas.openxmlformats.org/officeDocument/2006/relationships/hyperlink" Target="https://www.tradingview.com/chart/Q1c5VWwD/?symbol=manh" TargetMode="External" Id="rId16"/><Relationship Type="http://schemas.openxmlformats.org/officeDocument/2006/relationships/hyperlink" Target="https://www.tradingview.com/chart/Q1c5VWwD/?symbol=nem" TargetMode="External" Id="rId17"/><Relationship Type="http://schemas.openxmlformats.org/officeDocument/2006/relationships/hyperlink" Target="https://www.tradingview.com/chart/Q1c5VWwD/?symbol=prch" TargetMode="External" Id="rId18"/><Relationship Type="http://schemas.openxmlformats.org/officeDocument/2006/relationships/hyperlink" Target="https://www.tradingview.com/chart/Q1c5VWwD/?symbol=prgo" TargetMode="External" Id="rId19"/><Relationship Type="http://schemas.openxmlformats.org/officeDocument/2006/relationships/hyperlink" Target="https://www.tradingview.com/chart/Q1c5VWwD/?symbol=wt" TargetMode="External" Id="rId20"/><Relationship Type="http://schemas.openxmlformats.org/officeDocument/2006/relationships/hyperlink" Target="https://www.tradingview.com/chart/Q1c5VWwD/?symbol=amcx" TargetMode="External" Id="rId21"/><Relationship Type="http://schemas.openxmlformats.org/officeDocument/2006/relationships/hyperlink" Target="https://www.tradingview.com/chart/Q1c5VWwD/?symbol=frog" TargetMode="External" Id="rId22"/><Relationship Type="http://schemas.openxmlformats.org/officeDocument/2006/relationships/hyperlink" Target="https://www.tradingview.com/chart/Q1c5VWwD/?symbol=morn" TargetMode="External" Id="rId23"/><Relationship Type="http://schemas.openxmlformats.org/officeDocument/2006/relationships/hyperlink" Target="https://www.tradingview.com/chart/Q1c5VWwD/?symbol=mrvi" TargetMode="External" Id="rId24"/><Relationship Type="http://schemas.openxmlformats.org/officeDocument/2006/relationships/hyperlink" Target="https://www.tradingview.com/chart/Q1c5VWwD/?symbol=regn" TargetMode="External" Id="rId25"/><Relationship Type="http://schemas.openxmlformats.org/officeDocument/2006/relationships/hyperlink" Target="https://www.tradingview.com/chart/Q1c5VWwD/?symbol=nyse%3Afet" TargetMode="External" Id="rId26"/><Relationship Type="http://schemas.openxmlformats.org/officeDocument/2006/relationships/hyperlink" Target="https://www.tradingview.com/chart/Q1c5VWwD/?symbol=nyse%3Ainsp" TargetMode="External" Id="rId27"/><Relationship Type="http://schemas.openxmlformats.org/officeDocument/2006/relationships/hyperlink" Target="https://www.tradingview.com/chart/Q1c5VWwD/?symbol=acn" TargetMode="External" Id="rId28"/><Relationship Type="http://schemas.openxmlformats.org/officeDocument/2006/relationships/hyperlink" Target="https://www.tradingview.com/chart/Q1c5VWwD/?symbol=nasdaq%3Aaugo" TargetMode="External" Id="rId29"/><Relationship Type="http://schemas.openxmlformats.org/officeDocument/2006/relationships/hyperlink" Target="https://www.tradingview.com/chart/Q1c5VWwD/?symbol=cnxc" TargetMode="External" Id="rId30"/><Relationship Type="http://schemas.openxmlformats.org/officeDocument/2006/relationships/hyperlink" Target="https://www.tradingview.com/chart/Q1c5VWwD/?symbol=crcl" TargetMode="External" Id="rId31"/><Relationship Type="http://schemas.openxmlformats.org/officeDocument/2006/relationships/hyperlink" Target="https://www.tradingview.com/chart/Q1c5VWwD/?symbol=cstl" TargetMode="External" Id="rId32"/><Relationship Type="http://schemas.openxmlformats.org/officeDocument/2006/relationships/hyperlink" Target="https://www.tradingview.com/chart/Q1c5VWwD/?symbol=pphc" TargetMode="External" Id="rId33"/><Relationship Type="http://schemas.openxmlformats.org/officeDocument/2006/relationships/hyperlink" Target="https://www.tradingview.com/chart/Q1c5VWwD/?symbol=spsc" TargetMode="External" Id="rId34"/><Relationship Type="http://schemas.openxmlformats.org/officeDocument/2006/relationships/hyperlink" Target="https://www.tradingview.com/chart/Q1c5VWwD/?symbol=agco" TargetMode="External" Id="rId35"/><Relationship Type="http://schemas.openxmlformats.org/officeDocument/2006/relationships/hyperlink" Target="https://www.tradingview.com/chart/Q1c5VWwD/?symbol=cdw" TargetMode="External" Id="rId36"/><Relationship Type="http://schemas.openxmlformats.org/officeDocument/2006/relationships/hyperlink" Target="https://www.tradingview.com/chart/Q1c5VWwD/?symbol=docs" TargetMode="External" Id="rId37"/><Relationship Type="http://schemas.openxmlformats.org/officeDocument/2006/relationships/hyperlink" Target="https://www.tradingview.com/chart/Q1c5VWwD/?symbol=land" TargetMode="External" Id="rId38"/><Relationship Type="http://schemas.openxmlformats.org/officeDocument/2006/relationships/hyperlink" Target="https://www.tradingview.com/chart/Q1c5VWwD/?symbol=lite" TargetMode="External" Id="rId39"/><Relationship Type="http://schemas.openxmlformats.org/officeDocument/2006/relationships/hyperlink" Target="https://www.tradingview.com/chart/Q1c5VWwD/?symbol=nasdaq%3Apega" TargetMode="External" Id="rId40"/><Relationship Type="http://schemas.openxmlformats.org/officeDocument/2006/relationships/hyperlink" Target="https://www.tradingview.com/chart/Q1c5VWwD/?symbol=rway" TargetMode="External" Id="rId41"/><Relationship Type="http://schemas.openxmlformats.org/officeDocument/2006/relationships/hyperlink" Target="https://www.tradingview.com/chart/Q1c5VWwD/?symbol=smmt" TargetMode="External" Id="rId42"/><Relationship Type="http://schemas.openxmlformats.org/officeDocument/2006/relationships/hyperlink" Target="https://www.tradingview.com/chart/Q1c5VWwD/?symbol=snd" TargetMode="External" Id="rId43"/><Relationship Type="http://schemas.openxmlformats.org/officeDocument/2006/relationships/hyperlink" Target="https://www.tradingview.com/chart/Q1c5VWwD/?symbol=tds" TargetMode="External" Id="rId44"/><Relationship Type="http://schemas.openxmlformats.org/officeDocument/2006/relationships/hyperlink" Target="https://www.tradingview.com/chart/Q1c5VWwD/?symbol=tlys" TargetMode="External" Id="rId45"/><Relationship Type="http://schemas.openxmlformats.org/officeDocument/2006/relationships/hyperlink" Target="https://www.tradingview.com/chart/Q1c5VWwD/?symbol=nasdaq%3Ardvt" TargetMode="External" Id="rId46"/><Relationship Type="http://schemas.openxmlformats.org/officeDocument/2006/relationships/hyperlink" Target="https://www.tradingview.com/chart/Q1c5VWwD/?symbol=sst" TargetMode="External" Id="rId47"/><Relationship Type="http://schemas.openxmlformats.org/officeDocument/2006/relationships/hyperlink" Target="https://www.tradingview.com/chart/Q1c5VWwD/?symbol=hzo" TargetMode="External" Id="rId48"/><Relationship Type="http://schemas.openxmlformats.org/officeDocument/2006/relationships/hyperlink" Target="https://www.tradingview.com/chart/Q1c5VWwD/?symbol=ntnx" TargetMode="External" Id="rId49"/><Relationship Type="http://schemas.openxmlformats.org/officeDocument/2006/relationships/hyperlink" Target="https://www.tradingview.com/chart/Q1c5VWwD/?symbol=rigl" TargetMode="External" Id="rId50"/><Relationship Type="http://schemas.openxmlformats.org/officeDocument/2006/relationships/hyperlink" Target="https://www.tradingview.com/chart/Q1c5VWwD/?symbol=nyse%3Adv" TargetMode="External" Id="rId51"/><Relationship Type="http://schemas.openxmlformats.org/officeDocument/2006/relationships/hyperlink" Target="https://www.tradingview.com/chart/Q1c5VWwD/?symbol=iqv" TargetMode="External" Id="rId52"/><Relationship Type="http://schemas.openxmlformats.org/officeDocument/2006/relationships/hyperlink" Target="https://www.tradingview.com/chart/Q1c5VWwD/?symbol=bio" TargetMode="External" Id="rId53"/><Relationship Type="http://schemas.openxmlformats.org/officeDocument/2006/relationships/hyperlink" Target="https://www.tradingview.com/chart/Q1c5VWwD/?symbol=nasdaq%3Ansit" TargetMode="External" Id="rId54"/><Relationship Type="http://schemas.openxmlformats.org/officeDocument/2006/relationships/hyperlink" Target="https://www.tradingview.com/chart/Q1c5VWwD/?symbol=nyse%3Aavtr" TargetMode="External" Id="rId55"/><Relationship Type="http://schemas.openxmlformats.org/officeDocument/2006/relationships/hyperlink" Target="https://www.tradingview.com/chart/Q1c5VWwD/?symbol=lila" TargetMode="External" Id="rId56"/><Relationship Type="http://schemas.openxmlformats.org/officeDocument/2006/relationships/hyperlink" Target="https://www.tradingview.com/chart/Q1c5VWwD/?symbol=lilak" TargetMode="External" Id="rId57"/><Relationship Type="http://schemas.openxmlformats.org/officeDocument/2006/relationships/hyperlink" Target="https://www.tradingview.com/chart/Q1c5VWwD/?symbol=tmci" TargetMode="External" Id="rId58"/><Relationship Type="http://schemas.openxmlformats.org/officeDocument/2006/relationships/hyperlink" Target="https://www.tradingview.com/chart/Q1c5VWwD/?symbol=agpu" TargetMode="External" Id="rId59"/><Relationship Type="http://schemas.openxmlformats.org/officeDocument/2006/relationships/hyperlink" Target="https://www.tradingview.com/chart/Q1c5VWwD/?symbol=asst" TargetMode="External" Id="rId60"/><Relationship Type="http://schemas.openxmlformats.org/officeDocument/2006/relationships/hyperlink" Target="https://www.tradingview.com/chart/Q1c5VWwD/?symbol=nasdaq%3Abdsx" TargetMode="External" Id="rId61"/><Relationship Type="http://schemas.openxmlformats.org/officeDocument/2006/relationships/hyperlink" Target="https://www.tradingview.com/chart/Q1c5VWwD/?symbol=bnc" TargetMode="External" Id="rId62"/><Relationship Type="http://schemas.openxmlformats.org/officeDocument/2006/relationships/hyperlink" Target="https://www.tradingview.com/chart/Q1c5VWwD/?symbol=chpt" TargetMode="External" Id="rId63"/><Relationship Type="http://schemas.openxmlformats.org/officeDocument/2006/relationships/hyperlink" Target="https://www.tradingview.com/chart/Q1c5VWwD/?symbol=nasdaq%3Aoesx" TargetMode="External" Id="rId64"/><Relationship Type="http://schemas.openxmlformats.org/officeDocument/2006/relationships/hyperlink" Target="https://www.tradingview.com/chart/Q1c5VWwD/?symbol=rvty" TargetMode="External" Id="rId65"/><Relationship Type="http://schemas.openxmlformats.org/officeDocument/2006/relationships/hyperlink" Target="https://www.tradingview.com/chart/Q1c5VWwD/?symbol=ttrx" TargetMode="External" Id="rId66"/><Relationship Type="http://schemas.openxmlformats.org/officeDocument/2006/relationships/hyperlink" Target="https://www.tradingview.com/chart/Q1c5VWwD/?symbol=twst" TargetMode="External" Id="rId67"/><Relationship Type="http://schemas.openxmlformats.org/officeDocument/2006/relationships/hyperlink" Target="https://www.tradingview.com/chart/Q1c5VWwD/?symbol=nasdaq%3Axhld" TargetMode="External" Id="rId68"/><Relationship Type="http://schemas.openxmlformats.org/officeDocument/2006/relationships/hyperlink" Target="https://www.tradingview.com/chart/Q1c5VWwD/?symbol=anf" TargetMode="External" Id="rId69"/><Relationship Type="http://schemas.openxmlformats.org/officeDocument/2006/relationships/hyperlink" Target="https://www.tradingview.com/chart/Q1c5VWwD/?symbol=avah" TargetMode="External" Id="rId70"/><Relationship Type="http://schemas.openxmlformats.org/officeDocument/2006/relationships/hyperlink" Target="https://www.tradingview.com/chart/Q1c5VWwD/?symbol=crm" TargetMode="External" Id="rId71"/><Relationship Type="http://schemas.openxmlformats.org/officeDocument/2006/relationships/hyperlink" Target="https://www.tradingview.com/chart/Q1c5VWwD/?symbol=cvi" TargetMode="External" Id="rId72"/><Relationship Type="http://schemas.openxmlformats.org/officeDocument/2006/relationships/hyperlink" Target="https://www.tradingview.com/chart/Q1c5VWwD/?symbol=dell" TargetMode="External" Id="rId73"/><Relationship Type="http://schemas.openxmlformats.org/officeDocument/2006/relationships/hyperlink" Target="https://www.tradingview.com/chart/Q1c5VWwD/?symbol=nasdaq%3Adocu" TargetMode="External" Id="rId74"/><Relationship Type="http://schemas.openxmlformats.org/officeDocument/2006/relationships/hyperlink" Target="https://www.tradingview.com/chart/Q1c5VWwD/?symbol=gh" TargetMode="External" Id="rId75"/><Relationship Type="http://schemas.openxmlformats.org/officeDocument/2006/relationships/hyperlink" Target="https://www.tradingview.com/chart/Q1c5VWwD/?symbol=hnst" TargetMode="External" Id="rId76"/><Relationship Type="http://schemas.openxmlformats.org/officeDocument/2006/relationships/hyperlink" Target="https://www.tradingview.com/chart/Q1c5VWwD/?symbol=htfl" TargetMode="External" Id="rId77"/><Relationship Type="http://schemas.openxmlformats.org/officeDocument/2006/relationships/hyperlink" Target="https://www.tradingview.com/chart/Q1c5VWwD/?symbol=life" TargetMode="External" Id="rId78"/><Relationship Type="http://schemas.openxmlformats.org/officeDocument/2006/relationships/hyperlink" Target="https://www.tradingview.com/chart/Q1c5VWwD/?symbol=oabi" TargetMode="External" Id="rId79"/><Relationship Type="http://schemas.openxmlformats.org/officeDocument/2006/relationships/hyperlink" Target="https://www.tradingview.com/chart/Q1c5VWwD/?symbol=nasdaq%3Aobio" TargetMode="External" Id="rId80"/><Relationship Type="http://schemas.openxmlformats.org/officeDocument/2006/relationships/hyperlink" Target="https://www.tradingview.com/chart/Q1c5VWwD/?symbol=pyxs" TargetMode="External" Id="rId81"/><Relationship Type="http://schemas.openxmlformats.org/officeDocument/2006/relationships/hyperlink" Target="https://www.tradingview.com/chart/Q1c5VWwD/?symbol=sgmt" TargetMode="External" Id="rId82"/><Relationship Type="http://schemas.openxmlformats.org/officeDocument/2006/relationships/hyperlink" Target="https://www.tradingview.com/chart/Q1c5VWwD/?symbol=smtc" TargetMode="External" Id="rId83"/><Relationship Type="http://schemas.openxmlformats.org/officeDocument/2006/relationships/hyperlink" Target="https://www.tradingview.com/chart/Q1c5VWwD/?symbol=nasdaq%3Aspt" TargetMode="External" Id="rId84"/><Relationship Type="http://schemas.openxmlformats.org/officeDocument/2006/relationships/hyperlink" Target="https://www.tradingview.com/chart/Q1c5VWwD/?symbol=tem" TargetMode="External" Id="rId85"/><Relationship Type="http://schemas.openxmlformats.org/officeDocument/2006/relationships/hyperlink" Target="https://www.tradingview.com/chart/Q1c5VWwD/?symbol=nasdaq%3Axrx" TargetMode="External" Id="rId86"/><Relationship Type="http://schemas.openxmlformats.org/officeDocument/2006/relationships/hyperlink" Target="https://www.tradingview.com/chart/Q1c5VWwD/?symbol=aii" TargetMode="External" Id="rId87"/><Relationship Type="http://schemas.openxmlformats.org/officeDocument/2006/relationships/hyperlink" Target="https://www.tradingview.com/chart/Q1c5VWwD/?symbol=elmt" TargetMode="External" Id="rId88"/><Relationship Type="http://schemas.openxmlformats.org/officeDocument/2006/relationships/hyperlink" Target="https://www.tradingview.com/chart/Q1c5VWwD/?symbol=nasdaq%3Afeim" TargetMode="External" Id="rId89"/><Relationship Type="http://schemas.openxmlformats.org/officeDocument/2006/relationships/hyperlink" Target="https://www.tradingview.com/chart/Q1c5VWwD/?symbol=dk" TargetMode="External" Id="rId90"/><Relationship Type="http://schemas.openxmlformats.org/officeDocument/2006/relationships/hyperlink" Target="https://www.tradingview.com/chart/Q1c5VWwD/?symbol=grdn" TargetMode="External" Id="rId91"/><Relationship Type="http://schemas.openxmlformats.org/officeDocument/2006/relationships/hyperlink" Target="https://www.tradingview.com/chart/Q1c5VWwD/?symbol=lfst" TargetMode="External" Id="rId92"/><Relationship Type="http://schemas.openxmlformats.org/officeDocument/2006/relationships/hyperlink" Target="https://www.tradingview.com/chart/Q1c5VWwD/?symbol=mmed" TargetMode="External" Id="rId93"/><Relationship Type="http://schemas.openxmlformats.org/officeDocument/2006/relationships/hyperlink" Target="https://www.tradingview.com/chart/Q1c5VWwD/?symbol=pbf" TargetMode="External" Id="rId94"/><Relationship Type="http://schemas.openxmlformats.org/officeDocument/2006/relationships/hyperlink" Target="https://www.tradingview.com/chart/Q1c5VWwD/?symbol=tars" TargetMode="External" Id="rId95"/><Relationship Type="http://schemas.openxmlformats.org/officeDocument/2006/relationships/hyperlink" Target="https://www.tradingview.com/chart/Q1c5VWwD/?symbol=titn" TargetMode="External" Id="rId96"/></Relationships>
</file>

<file path=xl/worksheets/_rels/sheet10.xml.rels><Relationships xmlns="http://schemas.openxmlformats.org/package/2006/relationships"><Relationship Type="http://schemas.openxmlformats.org/officeDocument/2006/relationships/hyperlink" Target="https://www.tradingview.com/chart/Q1c5VWwD/?symbol=nasdaq%3Anutx" TargetMode="External" Id="rId1"/><Relationship Type="http://schemas.openxmlformats.org/officeDocument/2006/relationships/hyperlink" Target="https://www.tradingview.com/chart/Q1c5VWwD/?symbol=nyse%3Anow" TargetMode="External" Id="rId2"/><Relationship Type="http://schemas.openxmlformats.org/officeDocument/2006/relationships/hyperlink" Target="https://www.tradingview.com/chart/Q1c5VWwD/?symbol=nyse%3Ahpq" TargetMode="External" Id="rId3"/><Relationship Type="http://schemas.openxmlformats.org/officeDocument/2006/relationships/hyperlink" Target="https://www.tradingview.com/chart/Q1c5VWwD/?symbol=nasdaq%3Asgp" TargetMode="External" Id="rId4"/><Relationship Type="http://schemas.openxmlformats.org/officeDocument/2006/relationships/hyperlink" Target="https://www.tradingview.com/chart/Q1c5VWwD/?symbol=amex%3Arepx" TargetMode="External" Id="rId5"/><Relationship Type="http://schemas.openxmlformats.org/officeDocument/2006/relationships/hyperlink" Target="https://www.tradingview.com/chart/Q1c5VWwD/?symbol=nyse%3Aveev" TargetMode="External" Id="rId6"/><Relationship Type="http://schemas.openxmlformats.org/officeDocument/2006/relationships/hyperlink" Target="https://www.tradingview.com/chart/Q1c5VWwD/?symbol=nasdaq%3Aclmt" TargetMode="External" Id="rId7"/><Relationship Type="http://schemas.openxmlformats.org/officeDocument/2006/relationships/hyperlink" Target="https://www.tradingview.com/chart/Q1c5VWwD/?symbol=nyse%3Aestc" TargetMode="External" Id="rId8"/><Relationship Type="http://schemas.openxmlformats.org/officeDocument/2006/relationships/hyperlink" Target="https://www.tradingview.com/chart/Q1c5VWwD/?symbol=nasdaq%3Aneo" TargetMode="External" Id="rId9"/><Relationship Type="http://schemas.openxmlformats.org/officeDocument/2006/relationships/hyperlink" Target="https://www.tradingview.com/chart/Q1c5VWwD/?symbol=nasdaq%3Aplse" TargetMode="External" Id="rId10"/><Relationship Type="http://schemas.openxmlformats.org/officeDocument/2006/relationships/hyperlink" Target="https://www.tradingview.com/chart/Q1c5VWwD/?symbol=nasdaq%3Aird" TargetMode="External" Id="rId11"/><Relationship Type="http://schemas.openxmlformats.org/officeDocument/2006/relationships/hyperlink" Target="https://www.tradingview.com/chart/Q1c5VWwD/?symbol=nyse%3Aamwl" TargetMode="External" Id="rId12"/><Relationship Type="http://schemas.openxmlformats.org/officeDocument/2006/relationships/hyperlink" Target="https://www.tradingview.com/chart/Q1c5VWwD/?symbol=nyse%3Asnow" TargetMode="External" Id="rId13"/><Relationship Type="http://schemas.openxmlformats.org/officeDocument/2006/relationships/hyperlink" Target="https://www.tradingview.com/chart/Q1c5VWwD/?symbol=nasdaq%3Aampl" TargetMode="External" Id="rId14"/><Relationship Type="http://schemas.openxmlformats.org/officeDocument/2006/relationships/hyperlink" Target="https://www.tradingview.com/chart/Q1c5VWwD/?symbol=nyse%3Adhx" TargetMode="External" Id="rId15"/><Relationship Type="http://schemas.openxmlformats.org/officeDocument/2006/relationships/hyperlink" Target="https://www.tradingview.com/chart/Q1c5VWwD/?symbol=nyse%3Azeta" TargetMode="External" Id="rId16"/><Relationship Type="http://schemas.openxmlformats.org/officeDocument/2006/relationships/hyperlink" Target="https://www.tradingview.com/chart/Q1c5VWwD/?symbol=nyse%3Adino" TargetMode="External" Id="rId17"/><Relationship Type="http://schemas.openxmlformats.org/officeDocument/2006/relationships/hyperlink" Target="https://www.tradingview.com/chart/Q1c5VWwD/?symbol=nasdaq%3Amgni" TargetMode="External" Id="rId18"/><Relationship Type="http://schemas.openxmlformats.org/officeDocument/2006/relationships/hyperlink" Target="https://www.tradingview.com/chart/Q1c5VWwD/?symbol=nyse%3Avlo" TargetMode="External" Id="rId19"/><Relationship Type="http://schemas.openxmlformats.org/officeDocument/2006/relationships/hyperlink" Target="https://www.tradingview.com/chart/Q1c5VWwD/?symbol=nasdaq%3Asabr" TargetMode="External" Id="rId20"/><Relationship Type="http://schemas.openxmlformats.org/officeDocument/2006/relationships/hyperlink" Target="https://www.tradingview.com/chart/Q1c5VWwD/?symbol=nasdaq%3Avir" TargetMode="External" Id="rId21"/><Relationship Type="http://schemas.openxmlformats.org/officeDocument/2006/relationships/hyperlink" Target="https://www.tradingview.com/chart/Q1c5VWwD/?symbol=nyse%3Ampc" TargetMode="External" Id="rId22"/><Relationship Type="http://schemas.openxmlformats.org/officeDocument/2006/relationships/hyperlink" Target="https://www.tradingview.com/chart/Q1c5VWwD/?symbol=nyse%3Aangx" TargetMode="External" Id="rId23"/><Relationship Type="http://schemas.openxmlformats.org/officeDocument/2006/relationships/hyperlink" Target="https://www.tradingview.com/chart/Q1c5VWwD/?symbol=nasdaq%3Adjco" TargetMode="External" Id="rId24"/><Relationship Type="http://schemas.openxmlformats.org/officeDocument/2006/relationships/hyperlink" Target="https://www.tradingview.com/chart/Q1c5VWwD/?symbol=nyse%3Apsx" TargetMode="External" Id="rId25"/><Relationship Type="http://schemas.openxmlformats.org/officeDocument/2006/relationships/hyperlink" Target="https://www.tradingview.com/chart/Q1c5VWwD/?symbol=nyse%3Alpg" TargetMode="External" Id="rId26"/><Relationship Type="http://schemas.openxmlformats.org/officeDocument/2006/relationships/hyperlink" Target="https://www.tradingview.com/chart/Q1c5VWwD/?symbol=nasdaq%3Aapa" TargetMode="External" Id="rId27"/><Relationship Type="http://schemas.openxmlformats.org/officeDocument/2006/relationships/hyperlink" Target="https://www.tradingview.com/chart/Q1c5VWwD/?symbol=nasdaq%3Acbll" TargetMode="External" Id="rId28"/><Relationship Type="http://schemas.openxmlformats.org/officeDocument/2006/relationships/hyperlink" Target="https://www.tradingview.com/chart/Q1c5VWwD/?symbol=nyse%3Aitgr" TargetMode="External" Id="rId29"/><Relationship Type="http://schemas.openxmlformats.org/officeDocument/2006/relationships/hyperlink" Target="https://www.tradingview.com/chart/Q1c5VWwD/?symbol=nyse%3Adv" TargetMode="External" Id="rId30"/><Relationship Type="http://schemas.openxmlformats.org/officeDocument/2006/relationships/hyperlink" Target="https://www.tradingview.com/chart/Q1c5VWwD/?symbol=nyse%3Ahrtg" TargetMode="External" Id="rId31"/><Relationship Type="http://schemas.openxmlformats.org/officeDocument/2006/relationships/hyperlink" Target="https://www.tradingview.com/chart/Q1c5VWwD/?symbol=nasdaq%3Afmao" TargetMode="External" Id="rId32"/><Relationship Type="http://schemas.openxmlformats.org/officeDocument/2006/relationships/hyperlink" Target="https://www.tradingview.com/chart/Q1c5VWwD/?symbol=nasdaq%3Asmti" TargetMode="External" Id="rId33"/><Relationship Type="http://schemas.openxmlformats.org/officeDocument/2006/relationships/hyperlink" Target="https://www.tradingview.com/chart/Q1c5VWwD/?symbol=nyse%3Aavtr" TargetMode="External" Id="rId34"/><Relationship Type="http://schemas.openxmlformats.org/officeDocument/2006/relationships/hyperlink" Target="https://www.tradingview.com/chart/Q1c5VWwD/?symbol=nasdaq%3Acdna" TargetMode="External" Id="rId35"/><Relationship Type="http://schemas.openxmlformats.org/officeDocument/2006/relationships/hyperlink" Target="https://www.tradingview.com/chart/Q1c5VWwD/?symbol=nasdaq%3Ardvt" TargetMode="External" Id="rId36"/><Relationship Type="http://schemas.openxmlformats.org/officeDocument/2006/relationships/hyperlink" Target="https://www.tradingview.com/chart/Q1c5VWwD/?symbol=nasdaq%3Admlp" TargetMode="External" Id="rId37"/><Relationship Type="http://schemas.openxmlformats.org/officeDocument/2006/relationships/hyperlink" Target="https://www.tradingview.com/chart/Q1c5VWwD/?symbol=nasdaq%3Aiova" TargetMode="External" Id="rId38"/><Relationship Type="http://schemas.openxmlformats.org/officeDocument/2006/relationships/hyperlink" Target="https://www.tradingview.com/chart/Q1c5VWwD/?symbol=nasdaq%3Asaic" TargetMode="External" Id="rId39"/><Relationship Type="http://schemas.openxmlformats.org/officeDocument/2006/relationships/hyperlink" Target="https://www.tradingview.com/chart/Q1c5VWwD/?symbol=nyse%3Ahgty" TargetMode="External" Id="rId40"/><Relationship Type="http://schemas.openxmlformats.org/officeDocument/2006/relationships/hyperlink" Target="https://www.tradingview.com/chart/Q1c5VWwD/?symbol=nasdaq%3Amktx" TargetMode="External" Id="rId41"/><Relationship Type="http://schemas.openxmlformats.org/officeDocument/2006/relationships/hyperlink" Target="https://www.tradingview.com/chart/Q1c5VWwD/?symbol=nasdaq%3Ahalo" TargetMode="External" Id="rId42"/><Relationship Type="http://schemas.openxmlformats.org/officeDocument/2006/relationships/hyperlink" Target="https://www.tradingview.com/chart/Q1c5VWwD/?symbol=nasdaq%3Acrsr" TargetMode="External" Id="rId43"/><Relationship Type="http://schemas.openxmlformats.org/officeDocument/2006/relationships/hyperlink" Target="https://www.tradingview.com/chart/Q1c5VWwD/?symbol=nasdaq%3Afbla" TargetMode="External" Id="rId44"/><Relationship Type="http://schemas.openxmlformats.org/officeDocument/2006/relationships/hyperlink" Target="https://www.tradingview.com/chart/Q1c5VWwD/?symbol=nyse%3Apd" TargetMode="External" Id="rId45"/><Relationship Type="http://schemas.openxmlformats.org/officeDocument/2006/relationships/hyperlink" Target="https://www.tradingview.com/chart/Q1c5VWwD/?symbol=nasdaq%3Aamph" TargetMode="External" Id="rId46"/><Relationship Type="http://schemas.openxmlformats.org/officeDocument/2006/relationships/hyperlink" Target="https://www.tradingview.com/chart/Q1c5VWwD/?symbol=nasdaq%3Abdsx" TargetMode="External" Id="rId47"/><Relationship Type="http://schemas.openxmlformats.org/officeDocument/2006/relationships/hyperlink" Target="https://www.tradingview.com/chart/Q1c5VWwD/?symbol=nasdaq%3Aatrc" TargetMode="External" Id="rId48"/><Relationship Type="http://schemas.openxmlformats.org/officeDocument/2006/relationships/hyperlink" Target="https://www.tradingview.com/chart/Q1c5VWwD/?symbol=nyse%3Anue" TargetMode="External" Id="rId49"/><Relationship Type="http://schemas.openxmlformats.org/officeDocument/2006/relationships/hyperlink" Target="https://www.tradingview.com/chart/Q1c5VWwD/?symbol=nyse%3Ainsp" TargetMode="External" Id="rId50"/><Relationship Type="http://schemas.openxmlformats.org/officeDocument/2006/relationships/hyperlink" Target="https://www.tradingview.com/chart/Q1c5VWwD/?symbol=nyse%3Afpi" TargetMode="External" Id="rId51"/><Relationship Type="http://schemas.openxmlformats.org/officeDocument/2006/relationships/hyperlink" Target="https://www.tradingview.com/chart/Q1c5VWwD/?symbol=nasdaq%3Amygn" TargetMode="External" Id="rId52"/><Relationship Type="http://schemas.openxmlformats.org/officeDocument/2006/relationships/hyperlink" Target="https://www.tradingview.com/chart/Q1c5VWwD/?symbol=nyse%3Afet" TargetMode="External" Id="rId53"/><Relationship Type="http://schemas.openxmlformats.org/officeDocument/2006/relationships/hyperlink" Target="https://www.tradingview.com/chart/Q1c5VWwD/?symbol=nyse%3Arng" TargetMode="External" Id="rId54"/><Relationship Type="http://schemas.openxmlformats.org/officeDocument/2006/relationships/hyperlink" Target="https://www.tradingview.com/chart/Q1c5VWwD/?symbol=nasdaq%3Adocu" TargetMode="External" Id="rId55"/><Relationship Type="http://schemas.openxmlformats.org/officeDocument/2006/relationships/hyperlink" Target="https://www.tradingview.com/chart/Q1c5VWwD/?symbol=nyse%3Aclh" TargetMode="External" Id="rId56"/><Relationship Type="http://schemas.openxmlformats.org/officeDocument/2006/relationships/hyperlink" Target="https://www.tradingview.com/chart/Q1c5VWwD/?symbol=nasdaq%3Aaugo" TargetMode="External" Id="rId57"/><Relationship Type="http://schemas.openxmlformats.org/officeDocument/2006/relationships/hyperlink" Target="https://www.tradingview.com/chart/Q1c5VWwD/?symbol=nyse%3Adt" TargetMode="External" Id="rId58"/><Relationship Type="http://schemas.openxmlformats.org/officeDocument/2006/relationships/hyperlink" Target="https://www.tradingview.com/chart/Q1c5VWwD/?symbol=nasdaq%3Aintg" TargetMode="External" Id="rId59"/><Relationship Type="http://schemas.openxmlformats.org/officeDocument/2006/relationships/hyperlink" Target="https://www.tradingview.com/chart/Q1c5VWwD/?symbol=nasdaq%3Arefi" TargetMode="External" Id="rId60"/><Relationship Type="http://schemas.openxmlformats.org/officeDocument/2006/relationships/hyperlink" Target="https://www.tradingview.com/chart/Q1c5VWwD/?symbol=nyse%3Ainsw" TargetMode="External" Id="rId61"/><Relationship Type="http://schemas.openxmlformats.org/officeDocument/2006/relationships/hyperlink" Target="https://www.tradingview.com/chart/Q1c5VWwD/?symbol=nyse%3Aexpd" TargetMode="External" Id="rId62"/><Relationship Type="http://schemas.openxmlformats.org/officeDocument/2006/relationships/hyperlink" Target="https://www.tradingview.com/chart/Q1c5VWwD/?symbol=nasdaq%3Axrx" TargetMode="External" Id="rId63"/><Relationship Type="http://schemas.openxmlformats.org/officeDocument/2006/relationships/hyperlink" Target="https://www.tradingview.com/chart/Q1c5VWwD/?symbol=nyse%3Aadm" TargetMode="External" Id="rId64"/><Relationship Type="http://schemas.openxmlformats.org/officeDocument/2006/relationships/hyperlink" Target="https://www.tradingview.com/chart/Q1c5VWwD/?symbol=nyse%3Abrk.b" TargetMode="External" Id="rId65"/><Relationship Type="http://schemas.openxmlformats.org/officeDocument/2006/relationships/hyperlink" Target="https://www.tradingview.com/chart/Q1c5VWwD/?symbol=nasdaq%3Aslde" TargetMode="External" Id="rId66"/><Relationship Type="http://schemas.openxmlformats.org/officeDocument/2006/relationships/hyperlink" Target="https://www.tradingview.com/chart/Q1c5VWwD/?symbol=nasdaq%3Anaka" TargetMode="External" Id="rId67"/><Relationship Type="http://schemas.openxmlformats.org/officeDocument/2006/relationships/hyperlink" Target="https://www.tradingview.com/chart/Q1c5VWwD/?symbol=nyse%3Abrk.a" TargetMode="External" Id="rId68"/><Relationship Type="http://schemas.openxmlformats.org/officeDocument/2006/relationships/hyperlink" Target="https://www.tradingview.com/chart/Q1c5VWwD/?symbol=nyse%3Atwlo" TargetMode="External" Id="rId69"/><Relationship Type="http://schemas.openxmlformats.org/officeDocument/2006/relationships/hyperlink" Target="https://www.tradingview.com/chart/Q1c5VWwD/?symbol=nyse%3Aohi" TargetMode="External" Id="rId70"/><Relationship Type="http://schemas.openxmlformats.org/officeDocument/2006/relationships/hyperlink" Target="https://www.tradingview.com/chart/Q1c5VWwD/?symbol=nasdaq%3Acoke" TargetMode="External" Id="rId71"/><Relationship Type="http://schemas.openxmlformats.org/officeDocument/2006/relationships/hyperlink" Target="https://www.tradingview.com/chart/Q1c5VWwD/?symbol=nasdaq%3Asmci" TargetMode="External" Id="rId72"/><Relationship Type="http://schemas.openxmlformats.org/officeDocument/2006/relationships/hyperlink" Target="https://www.tradingview.com/chart/Q1c5VWwD/?symbol=nyse%3Aepam" TargetMode="External" Id="rId73"/><Relationship Type="http://schemas.openxmlformats.org/officeDocument/2006/relationships/hyperlink" Target="https://www.tradingview.com/chart/Q1c5VWwD/?symbol=nasdaq%3Akopn" TargetMode="External" Id="rId74"/><Relationship Type="http://schemas.openxmlformats.org/officeDocument/2006/relationships/hyperlink" Target="https://www.tradingview.com/chart/Q1c5VWwD/?symbol=nasdaq%3Ameta" TargetMode="External" Id="rId75"/><Relationship Type="http://schemas.openxmlformats.org/officeDocument/2006/relationships/hyperlink" Target="https://www.tradingview.com/chart/Q1c5VWwD/?symbol=nasdaq%3Acrct" TargetMode="External" Id="rId76"/><Relationship Type="http://schemas.openxmlformats.org/officeDocument/2006/relationships/hyperlink" Target="https://www.tradingview.com/chart/Q1c5VWwD/?symbol=nasdaq%3Aospn" TargetMode="External" Id="rId77"/><Relationship Type="http://schemas.openxmlformats.org/officeDocument/2006/relationships/hyperlink" Target="https://www.tradingview.com/chart/Q1c5VWwD/?symbol=nasdaq%3Axhld" TargetMode="External" Id="rId78"/><Relationship Type="http://schemas.openxmlformats.org/officeDocument/2006/relationships/hyperlink" Target="https://www.tradingview.com/chart/Q1c5VWwD/?symbol=nasdaq%3Acnxn" TargetMode="External" Id="rId79"/><Relationship Type="http://schemas.openxmlformats.org/officeDocument/2006/relationships/hyperlink" Target="https://www.tradingview.com/chart/Q1c5VWwD/?symbol=nasdaq%3Anath" TargetMode="External" Id="rId80"/><Relationship Type="http://schemas.openxmlformats.org/officeDocument/2006/relationships/hyperlink" Target="https://www.tradingview.com/chart/Q1c5VWwD/?symbol=nasdaq%3Aqrvo" TargetMode="External" Id="rId81"/><Relationship Type="http://schemas.openxmlformats.org/officeDocument/2006/relationships/hyperlink" Target="https://www.tradingview.com/chart/Q1c5VWwD/?symbol=nyse%3Adfin" TargetMode="External" Id="rId82"/><Relationship Type="http://schemas.openxmlformats.org/officeDocument/2006/relationships/hyperlink" Target="https://www.tradingview.com/chart/Q1c5VWwD/?symbol=nasdaq%3Atsla" TargetMode="External" Id="rId83"/><Relationship Type="http://schemas.openxmlformats.org/officeDocument/2006/relationships/hyperlink" Target="https://www.tradingview.com/chart/Q1c5VWwD/?symbol=nyse%3Aibm" TargetMode="External" Id="rId84"/><Relationship Type="http://schemas.openxmlformats.org/officeDocument/2006/relationships/hyperlink" Target="https://www.tradingview.com/chart/Q1c5VWwD/?symbol=nyse%3Amdt" TargetMode="External" Id="rId85"/><Relationship Type="http://schemas.openxmlformats.org/officeDocument/2006/relationships/hyperlink" Target="https://www.tradingview.com/chart/Q1c5VWwD/?symbol=nyse%3Atmo" TargetMode="External" Id="rId86"/><Relationship Type="http://schemas.openxmlformats.org/officeDocument/2006/relationships/hyperlink" Target="https://www.tradingview.com/chart/Q1c5VWwD/?symbol=nasdaq%3Acuri" TargetMode="External" Id="rId87"/><Relationship Type="http://schemas.openxmlformats.org/officeDocument/2006/relationships/hyperlink" Target="https://www.tradingview.com/chart/Q1c5VWwD/?symbol=nasdaq%3Acrwd" TargetMode="External" Id="rId88"/><Relationship Type="http://schemas.openxmlformats.org/officeDocument/2006/relationships/hyperlink" Target="https://www.tradingview.com/chart/Q1c5VWwD/?symbol=nasdaq%3Ansit" TargetMode="External" Id="rId89"/><Relationship Type="http://schemas.openxmlformats.org/officeDocument/2006/relationships/hyperlink" Target="https://www.tradingview.com/chart/Q1c5VWwD/?symbol=nasdaq%3Ahypd" TargetMode="External" Id="rId90"/><Relationship Type="http://schemas.openxmlformats.org/officeDocument/2006/relationships/hyperlink" Target="https://www.tradingview.com/chart/Q1c5VWwD/?symbol=nasdaq%3Aswks" TargetMode="External" Id="rId91"/><Relationship Type="http://schemas.openxmlformats.org/officeDocument/2006/relationships/hyperlink" Target="https://www.tradingview.com/chart/Q1c5VWwD/?symbol=nasdaq%3Aobio" TargetMode="External" Id="rId92"/><Relationship Type="http://schemas.openxmlformats.org/officeDocument/2006/relationships/hyperlink" Target="https://www.tradingview.com/chart/Q1c5VWwD/?symbol=nyse%3Anpk" TargetMode="External" Id="rId93"/><Relationship Type="http://schemas.openxmlformats.org/officeDocument/2006/relationships/hyperlink" Target="https://www.tradingview.com/chart/Q1c5VWwD/?symbol=nyse%3Aunm" TargetMode="External" Id="rId94"/><Relationship Type="http://schemas.openxmlformats.org/officeDocument/2006/relationships/hyperlink" Target="https://www.tradingview.com/chart/Q1c5VWwD/?symbol=nasdaq%3Antsk" TargetMode="External" Id="rId95"/><Relationship Type="http://schemas.openxmlformats.org/officeDocument/2006/relationships/hyperlink" Target="https://www.tradingview.com/chart/Q1c5VWwD/?symbol=nasdaq%3Aoesx" TargetMode="External" Id="rId96"/><Relationship Type="http://schemas.openxmlformats.org/officeDocument/2006/relationships/hyperlink" Target="https://www.tradingview.com/chart/Q1c5VWwD/?symbol=nasdaq%3Aspt" TargetMode="External" Id="rId97"/><Relationship Type="http://schemas.openxmlformats.org/officeDocument/2006/relationships/hyperlink" Target="https://www.tradingview.com/chart/Q1c5VWwD/?symbol=nyse%3Aaesi" TargetMode="External" Id="rId98"/><Relationship Type="http://schemas.openxmlformats.org/officeDocument/2006/relationships/hyperlink" Target="https://www.tradingview.com/chart/Q1c5VWwD/?symbol=nasdaq%3Acyph" TargetMode="External" Id="rId99"/><Relationship Type="http://schemas.openxmlformats.org/officeDocument/2006/relationships/hyperlink" Target="https://www.tradingview.com/chart/Q1c5VWwD/?symbol=nasdaq%3Afeim" TargetMode="External" Id="rId100"/><Relationship Type="http://schemas.openxmlformats.org/officeDocument/2006/relationships/hyperlink" Target="https://www.tradingview.com/chart/Q1c5VWwD/?symbol=nasdaq%3Apega" TargetMode="External" Id="rId101"/><Relationship Type="http://schemas.openxmlformats.org/officeDocument/2006/relationships/hyperlink" Target="https://www.tradingview.com/chart/Q1c5VWwD/?symbol=nasdaq%3Actkb" TargetMode="External" Id="rId102"/><Relationship Type="http://schemas.openxmlformats.org/officeDocument/2006/relationships/hyperlink" Target="https://www.tradingview.com/chart/Q1c5VWwD/?symbol=nasdaq%3Aefsi" TargetMode="External" Id="rId103"/><Relationship Type="http://schemas.openxmlformats.org/officeDocument/2006/relationships/hyperlink" Target="https://www.tradingview.com/chart/Q1c5VWwD/?symbol=nyse%3Aagm" TargetMode="External" Id="rId104"/><Relationship Type="http://schemas.openxmlformats.org/officeDocument/2006/relationships/hyperlink" Target="https://www.tradingview.com/chart/Q1c5VWwD/?symbol=nasdaq%3Aabtc" TargetMode="External" Id="rId105"/><Relationship Type="http://schemas.openxmlformats.org/officeDocument/2006/relationships/hyperlink" Target="https://www.tradingview.com/chart/Q1c5VWwD/?symbol=nasdaq%3Acrvl" TargetMode="External" Id="rId106"/><Relationship Type="http://schemas.openxmlformats.org/officeDocument/2006/relationships/hyperlink" Target="https://www.tradingview.com/chart/Q1c5VWwD/?symbol=nasdaq%3Anwsa" TargetMode="External" Id="rId107"/><Relationship Type="http://schemas.openxmlformats.org/officeDocument/2006/relationships/hyperlink" Target="https://www.tradingview.com/chart/Q1c5VWwD/?symbol=nasdaq%3Aappf" TargetMode="External" Id="rId108"/><Relationship Type="http://schemas.openxmlformats.org/officeDocument/2006/relationships/hyperlink" Target="https://www.tradingview.com/chart/Q1c5VWwD/?symbol=nasdaq%3Actsh" TargetMode="External" Id="rId109"/><Relationship Type="http://schemas.openxmlformats.org/officeDocument/2006/relationships/hyperlink" Target="https://www.tradingview.com/chart/Q1c5VWwD/?symbol=nasdaq%3Aitic" TargetMode="External" Id="rId110"/><Relationship Type="http://schemas.openxmlformats.org/officeDocument/2006/relationships/hyperlink" Target="https://www.tradingview.com/chart/Q1c5VWwD/?symbol=nasdaq%3Aiesc" TargetMode="External" Id="rId111"/><Relationship Type="http://schemas.openxmlformats.org/officeDocument/2006/relationships/hyperlink" Target="https://www.tradingview.com/chart/Q1c5VWwD/?symbol=nasdaq%3Anktx" TargetMode="External" Id="rId112"/></Relationships>
</file>

<file path=xl/worksheets/_rels/sheet11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yse%3Aestc" TargetMode="External" Id="rId2"/><Relationship Type="http://schemas.openxmlformats.org/officeDocument/2006/relationships/hyperlink" Target="https://www.tradingview.com/chart/Q1c5VWwD/?symbol=nyse%3Anow" TargetMode="External" Id="rId3"/><Relationship Type="http://schemas.openxmlformats.org/officeDocument/2006/relationships/hyperlink" Target="https://www.tradingview.com/chart/Q1c5VWwD/?symbol=nyse%3Ahpq" TargetMode="External" Id="rId4"/><Relationship Type="http://schemas.openxmlformats.org/officeDocument/2006/relationships/hyperlink" Target="https://www.tradingview.com/chart/Q1c5VWwD/?symbol=nasdaq%3Aplse" TargetMode="External" Id="rId5"/><Relationship Type="http://schemas.openxmlformats.org/officeDocument/2006/relationships/hyperlink" Target="https://www.tradingview.com/chart/Q1c5VWwD/?symbol=nyse%3Asnow" TargetMode="External" Id="rId6"/><Relationship Type="http://schemas.openxmlformats.org/officeDocument/2006/relationships/hyperlink" Target="https://www.tradingview.com/chart/Q1c5VWwD/?symbol=nasdaq%3Aampl" TargetMode="External" Id="rId7"/><Relationship Type="http://schemas.openxmlformats.org/officeDocument/2006/relationships/hyperlink" Target="https://www.tradingview.com/chart/Q1c5VWwD/?symbol=nyse%3Azeta" TargetMode="External" Id="rId8"/><Relationship Type="http://schemas.openxmlformats.org/officeDocument/2006/relationships/hyperlink" Target="https://www.tradingview.com/chart/Q1c5VWwD/?symbol=nyse%3Adino" TargetMode="External" Id="rId9"/><Relationship Type="http://schemas.openxmlformats.org/officeDocument/2006/relationships/hyperlink" Target="https://www.tradingview.com/chart/Q1c5VWwD/?symbol=nyse%3Avlo" TargetMode="External" Id="rId10"/><Relationship Type="http://schemas.openxmlformats.org/officeDocument/2006/relationships/hyperlink" Target="https://www.tradingview.com/chart/Q1c5VWwD/?symbol=nyse%3Ampc" TargetMode="External" Id="rId11"/><Relationship Type="http://schemas.openxmlformats.org/officeDocument/2006/relationships/hyperlink" Target="https://www.tradingview.com/chart/Q1c5VWwD/?symbol=nasdaq%3Adjco" TargetMode="External" Id="rId12"/><Relationship Type="http://schemas.openxmlformats.org/officeDocument/2006/relationships/hyperlink" Target="https://www.tradingview.com/chart/Q1c5VWwD/?symbol=nyse%3Apsx" TargetMode="External" Id="rId13"/><Relationship Type="http://schemas.openxmlformats.org/officeDocument/2006/relationships/hyperlink" Target="https://www.tradingview.com/chart/Q1c5VWwD/?symbol=nyse%3Alpg" TargetMode="External" Id="rId14"/><Relationship Type="http://schemas.openxmlformats.org/officeDocument/2006/relationships/hyperlink" Target="https://www.tradingview.com/chart/Q1c5VWwD/?symbol=nasdaq%3Acbll" TargetMode="External" Id="rId15"/><Relationship Type="http://schemas.openxmlformats.org/officeDocument/2006/relationships/hyperlink" Target="https://www.tradingview.com/chart/Q1c5VWwD/?symbol=nasdaq%3Anutx" TargetMode="External" Id="rId16"/><Relationship Type="http://schemas.openxmlformats.org/officeDocument/2006/relationships/hyperlink" Target="https://www.tradingview.com/chart/Q1c5VWwD/?symbol=nasdaq%3Aclmt" TargetMode="External" Id="rId17"/><Relationship Type="http://schemas.openxmlformats.org/officeDocument/2006/relationships/hyperlink" Target="https://www.tradingview.com/chart/Q1c5VWwD/?symbol=nasdaq%3Aneo" TargetMode="External" Id="rId18"/><Relationship Type="http://schemas.openxmlformats.org/officeDocument/2006/relationships/hyperlink" Target="https://www.tradingview.com/chart/Q1c5VWwD/?symbol=nasdaq%3Aird" TargetMode="External" Id="rId19"/><Relationship Type="http://schemas.openxmlformats.org/officeDocument/2006/relationships/hyperlink" Target="https://www.tradingview.com/chart/Q1c5VWwD/?symbol=nyse%3Aamwl" TargetMode="External" Id="rId20"/><Relationship Type="http://schemas.openxmlformats.org/officeDocument/2006/relationships/hyperlink" Target="https://www.tradingview.com/chart/Q1c5VWwD/?symbol=nyse%3Adhx" TargetMode="External" Id="rId21"/><Relationship Type="http://schemas.openxmlformats.org/officeDocument/2006/relationships/hyperlink" Target="https://www.tradingview.com/chart/Q1c5VWwD/?symbol=nasdaq%3Amgni" TargetMode="External" Id="rId22"/><Relationship Type="http://schemas.openxmlformats.org/officeDocument/2006/relationships/hyperlink" Target="https://www.tradingview.com/chart/Q1c5VWwD/?symbol=nasdaq%3Asabr" TargetMode="External" Id="rId23"/><Relationship Type="http://schemas.openxmlformats.org/officeDocument/2006/relationships/hyperlink" Target="https://www.tradingview.com/chart/Q1c5VWwD/?symbol=nasdaq%3Avir" TargetMode="External" Id="rId24"/><Relationship Type="http://schemas.openxmlformats.org/officeDocument/2006/relationships/hyperlink" Target="https://www.tradingview.com/chart/Q1c5VWwD/?symbol=nasdaq%3Asgp" TargetMode="External" Id="rId25"/><Relationship Type="http://schemas.openxmlformats.org/officeDocument/2006/relationships/hyperlink" Target="https://www.tradingview.com/chart/Q1c5VWwD/?symbol=nyse%3Aangx" TargetMode="External" Id="rId26"/><Relationship Type="http://schemas.openxmlformats.org/officeDocument/2006/relationships/hyperlink" Target="https://www.tradingview.com/chart/Q1c5VWwD/?symbol=amex%3Arepx" TargetMode="External" Id="rId27"/><Relationship Type="http://schemas.openxmlformats.org/officeDocument/2006/relationships/hyperlink" Target="https://www.tradingview.com/chart/Q1c5VWwD/?symbol=nasdaq%3Aapa" TargetMode="External" Id="rId28"/><Relationship Type="http://schemas.openxmlformats.org/officeDocument/2006/relationships/hyperlink" Target="https://www.tradingview.com/chart/Q1c5VWwD/?symbol=nasdaq%3Abdsx" TargetMode="External" Id="rId29"/><Relationship Type="http://schemas.openxmlformats.org/officeDocument/2006/relationships/hyperlink" Target="https://www.tradingview.com/chart/Q1c5VWwD/?symbol=pyxs" TargetMode="External" Id="rId30"/><Relationship Type="http://schemas.openxmlformats.org/officeDocument/2006/relationships/hyperlink" Target="https://www.tradingview.com/chart/Q1c5VWwD/?symbol=nasdaq%3Adocu" TargetMode="External" Id="rId31"/><Relationship Type="http://schemas.openxmlformats.org/officeDocument/2006/relationships/hyperlink" Target="https://www.tradingview.com/chart/Q1c5VWwD/?symbol=nyse%3Afet" TargetMode="External" Id="rId32"/><Relationship Type="http://schemas.openxmlformats.org/officeDocument/2006/relationships/hyperlink" Target="https://www.tradingview.com/chart/Q1c5VWwD/?symbol=hnst" TargetMode="External" Id="rId33"/><Relationship Type="http://schemas.openxmlformats.org/officeDocument/2006/relationships/hyperlink" Target="https://www.tradingview.com/chart/Q1c5VWwD/?symbol=nasdaq%3Ansit" TargetMode="External" Id="rId34"/><Relationship Type="http://schemas.openxmlformats.org/officeDocument/2006/relationships/hyperlink" Target="https://www.tradingview.com/chart/Q1c5VWwD/?symbol=nasdaq%3Ardvt" TargetMode="External" Id="rId35"/><Relationship Type="http://schemas.openxmlformats.org/officeDocument/2006/relationships/hyperlink" Target="https://www.tradingview.com/chart/Q1c5VWwD/?symbol=dk" TargetMode="External" Id="rId36"/><Relationship Type="http://schemas.openxmlformats.org/officeDocument/2006/relationships/hyperlink" Target="https://www.tradingview.com/chart/Q1c5VWwD/?symbol=srpt" TargetMode="External" Id="rId37"/><Relationship Type="http://schemas.openxmlformats.org/officeDocument/2006/relationships/hyperlink" Target="https://www.tradingview.com/chart/Q1c5VWwD/?symbol=payc" TargetMode="External" Id="rId38"/><Relationship Type="http://schemas.openxmlformats.org/officeDocument/2006/relationships/hyperlink" Target="https://www.tradingview.com/chart/Q1c5VWwD/?symbol=hrmy" TargetMode="External" Id="rId39"/><Relationship Type="http://schemas.openxmlformats.org/officeDocument/2006/relationships/hyperlink" Target="https://www.tradingview.com/chart/Q1c5VWwD/?symbol=manh" TargetMode="External" Id="rId40"/><Relationship Type="http://schemas.openxmlformats.org/officeDocument/2006/relationships/hyperlink" Target="https://www.tradingview.com/chart/Q1c5VWwD/?symbol=aii" TargetMode="External" Id="rId41"/><Relationship Type="http://schemas.openxmlformats.org/officeDocument/2006/relationships/hyperlink" Target="https://www.tradingview.com/chart/Q1c5VWwD/?symbol=lfst" TargetMode="External" Id="rId42"/><Relationship Type="http://schemas.openxmlformats.org/officeDocument/2006/relationships/hyperlink" Target="https://www.tradingview.com/chart/Q1c5VWwD/?symbol=tars" TargetMode="External" Id="rId43"/><Relationship Type="http://schemas.openxmlformats.org/officeDocument/2006/relationships/hyperlink" Target="https://www.tradingview.com/chart/Q1c5VWwD/?symbol=mmed" TargetMode="External" Id="rId44"/><Relationship Type="http://schemas.openxmlformats.org/officeDocument/2006/relationships/hyperlink" Target="https://www.tradingview.com/chart/Q1c5VWwD/?symbol=nyse%3Ahrtg" TargetMode="External" Id="rId45"/><Relationship Type="http://schemas.openxmlformats.org/officeDocument/2006/relationships/hyperlink" Target="https://www.tradingview.com/chart/Q1c5VWwD/?symbol=nasdaq%3Aslde" TargetMode="External" Id="rId46"/></Relationships>
</file>

<file path=xl/worksheets/_rels/sheet12.xml.rels><Relationships xmlns="http://schemas.openxmlformats.org/package/2006/relationships"><Relationship Type="http://schemas.openxmlformats.org/officeDocument/2006/relationships/hyperlink" Target="https://www.tradingview.com/chart/Q1c5VWwD/?symbol=nasdaq%3Aclmt" TargetMode="External" Id="rId1"/><Relationship Type="http://schemas.openxmlformats.org/officeDocument/2006/relationships/hyperlink" Target="https://www.tradingview.com/chart/Q1c5VWwD/?symbol=nasdaq%3Aplse" TargetMode="External" Id="rId2"/><Relationship Type="http://schemas.openxmlformats.org/officeDocument/2006/relationships/hyperlink" Target="https://www.tradingview.com/chart/Q1c5VWwD/?symbol=nasdaq%3Aird" TargetMode="External" Id="rId3"/><Relationship Type="http://schemas.openxmlformats.org/officeDocument/2006/relationships/hyperlink" Target="https://www.tradingview.com/chart/Q1c5VWwD/?symbol=nyse%3Aamwl" TargetMode="External" Id="rId4"/><Relationship Type="http://schemas.openxmlformats.org/officeDocument/2006/relationships/hyperlink" Target="https://www.tradingview.com/chart/Q1c5VWwD/?symbol=nyse%3Adhx" TargetMode="External" Id="rId5"/><Relationship Type="http://schemas.openxmlformats.org/officeDocument/2006/relationships/hyperlink" Target="https://www.tradingview.com/chart/Q1c5VWwD/?symbol=nyse%3Adino" TargetMode="External" Id="rId6"/><Relationship Type="http://schemas.openxmlformats.org/officeDocument/2006/relationships/hyperlink" Target="https://www.tradingview.com/chart/Q1c5VWwD/?symbol=nyse%3Adino" TargetMode="External" Id="rId7"/><Relationship Type="http://schemas.openxmlformats.org/officeDocument/2006/relationships/hyperlink" Target="https://www.tradingview.com/chart/Q1c5VWwD/?symbol=nyse%3Avlo" TargetMode="External" Id="rId8"/><Relationship Type="http://schemas.openxmlformats.org/officeDocument/2006/relationships/hyperlink" Target="https://www.tradingview.com/chart/Q1c5VWwD/?symbol=nyse%3Avlo" TargetMode="External" Id="rId9"/><Relationship Type="http://schemas.openxmlformats.org/officeDocument/2006/relationships/hyperlink" Target="https://www.tradingview.com/chart/Q1c5VWwD/?symbol=nasdaq%3Asabr" TargetMode="External" Id="rId10"/><Relationship Type="http://schemas.openxmlformats.org/officeDocument/2006/relationships/hyperlink" Target="https://www.tradingview.com/chart/Q1c5VWwD/?symbol=nyse%3Ampc" TargetMode="External" Id="rId11"/><Relationship Type="http://schemas.openxmlformats.org/officeDocument/2006/relationships/hyperlink" Target="https://www.tradingview.com/chart/Q1c5VWwD/?symbol=nyse%3Ampc" TargetMode="External" Id="rId12"/><Relationship Type="http://schemas.openxmlformats.org/officeDocument/2006/relationships/hyperlink" Target="https://www.tradingview.com/chart/Q1c5VWwD/?symbol=nasdaq%3Asgp" TargetMode="External" Id="rId13"/><Relationship Type="http://schemas.openxmlformats.org/officeDocument/2006/relationships/hyperlink" Target="https://www.tradingview.com/chart/Q1c5VWwD/?symbol=nyse%3Apsx" TargetMode="External" Id="rId14"/></Relationships>
</file>

<file path=xl/worksheets/_rels/sheet13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tradingview.com/chart/Q1c5VWwD/?symbol=nasdaq%3Anutx" TargetMode="External" Id="rId2"/><Relationship Type="http://schemas.openxmlformats.org/officeDocument/2006/relationships/hyperlink" Target="https://www.tradingview.com/chart/Q1c5VWwD/?symbol=nasdaq%3Aclmt" TargetMode="External" Id="rId3"/><Relationship Type="http://schemas.openxmlformats.org/officeDocument/2006/relationships/hyperlink" Target="https://www.tradingview.com/chart/Q1c5VWwD/?symbol=nyse%3Aestc" TargetMode="External" Id="rId4"/><Relationship Type="http://schemas.openxmlformats.org/officeDocument/2006/relationships/hyperlink" Target="https://www.tradingview.com/chart/Q1c5VWwD/?symbol=nasdaq%3Aneo" TargetMode="External" Id="rId5"/><Relationship Type="http://schemas.openxmlformats.org/officeDocument/2006/relationships/hyperlink" Target="https://www.tradingview.com/chart/Q1c5VWwD/?symbol=nyse%3Anow" TargetMode="External" Id="rId6"/><Relationship Type="http://schemas.openxmlformats.org/officeDocument/2006/relationships/hyperlink" Target="https://www.tradingview.com/chart/Q1c5VWwD/?symbol=nyse%3Ahpq" TargetMode="External" Id="rId7"/><Relationship Type="http://schemas.openxmlformats.org/officeDocument/2006/relationships/hyperlink" Target="https://www.tradingview.com/chart/Q1c5VWwD/?symbol=nasdaq%3Aplse" TargetMode="External" Id="rId8"/><Relationship Type="http://schemas.openxmlformats.org/officeDocument/2006/relationships/hyperlink" Target="https://www.tradingview.com/chart/Q1c5VWwD/?symbol=nasdaq%3Aird" TargetMode="External" Id="rId9"/><Relationship Type="http://schemas.openxmlformats.org/officeDocument/2006/relationships/hyperlink" Target="https://www.tradingview.com/chart/Q1c5VWwD/?symbol=nyse%3Aamwl" TargetMode="External" Id="rId10"/><Relationship Type="http://schemas.openxmlformats.org/officeDocument/2006/relationships/hyperlink" Target="https://www.tradingview.com/chart/Q1c5VWwD/?symbol=nyse%3Asnow" TargetMode="External" Id="rId11"/><Relationship Type="http://schemas.openxmlformats.org/officeDocument/2006/relationships/hyperlink" Target="https://www.tradingview.com/chart/Q1c5VWwD/?symbol=nasdaq%3Aampl" TargetMode="External" Id="rId12"/><Relationship Type="http://schemas.openxmlformats.org/officeDocument/2006/relationships/hyperlink" Target="https://www.tradingview.com/chart/Q1c5VWwD/?symbol=nyse%3Adhx" TargetMode="External" Id="rId13"/><Relationship Type="http://schemas.openxmlformats.org/officeDocument/2006/relationships/hyperlink" Target="https://www.tradingview.com/chart/Q1c5VWwD/?symbol=nyse%3Azeta" TargetMode="External" Id="rId14"/><Relationship Type="http://schemas.openxmlformats.org/officeDocument/2006/relationships/hyperlink" Target="https://www.tradingview.com/chart/Q1c5VWwD/?symbol=nyse%3Adino" TargetMode="External" Id="rId15"/><Relationship Type="http://schemas.openxmlformats.org/officeDocument/2006/relationships/hyperlink" Target="https://www.tradingview.com/chart/Q1c5VWwD/?symbol=nasdaq%3Amgni" TargetMode="External" Id="rId16"/><Relationship Type="http://schemas.openxmlformats.org/officeDocument/2006/relationships/hyperlink" Target="https://www.tradingview.com/chart/Q1c5VWwD/?symbol=nyse%3Avlo" TargetMode="External" Id="rId17"/><Relationship Type="http://schemas.openxmlformats.org/officeDocument/2006/relationships/hyperlink" Target="https://www.tradingview.com/chart/Q1c5VWwD/?symbol=nasdaq%3Asabr" TargetMode="External" Id="rId18"/><Relationship Type="http://schemas.openxmlformats.org/officeDocument/2006/relationships/hyperlink" Target="https://www.tradingview.com/chart/Q1c5VWwD/?symbol=nasdaq%3Avir" TargetMode="External" Id="rId19"/><Relationship Type="http://schemas.openxmlformats.org/officeDocument/2006/relationships/hyperlink" Target="https://www.tradingview.com/chart/Q1c5VWwD/?symbol=nyse%3Ampc" TargetMode="External" Id="rId20"/><Relationship Type="http://schemas.openxmlformats.org/officeDocument/2006/relationships/hyperlink" Target="https://www.tradingview.com/chart/Q1c5VWwD/?symbol=nasdaq%3Asgp" TargetMode="External" Id="rId21"/><Relationship Type="http://schemas.openxmlformats.org/officeDocument/2006/relationships/hyperlink" Target="https://www.tradingview.com/chart/Q1c5VWwD/?symbol=nyse%3Aangx" TargetMode="External" Id="rId22"/><Relationship Type="http://schemas.openxmlformats.org/officeDocument/2006/relationships/hyperlink" Target="https://www.tradingview.com/chart/Q1c5VWwD/?symbol=nasdaq%3Adjco" TargetMode="External" Id="rId23"/><Relationship Type="http://schemas.openxmlformats.org/officeDocument/2006/relationships/hyperlink" Target="https://www.tradingview.com/chart/Q1c5VWwD/?symbol=nyse%3Apsx" TargetMode="External" Id="rId24"/><Relationship Type="http://schemas.openxmlformats.org/officeDocument/2006/relationships/hyperlink" Target="https://www.tradingview.com/chart/Q1c5VWwD/?symbol=nyse%3Alpg" TargetMode="External" Id="rId25"/><Relationship Type="http://schemas.openxmlformats.org/officeDocument/2006/relationships/hyperlink" Target="https://www.tradingview.com/chart/Q1c5VWwD/?symbol=amex%3Arepx" TargetMode="External" Id="rId26"/><Relationship Type="http://schemas.openxmlformats.org/officeDocument/2006/relationships/hyperlink" Target="https://www.tradingview.com/chart/Q1c5VWwD/?symbol=nasdaq%3Aapa" TargetMode="External" Id="rId27"/><Relationship Type="http://schemas.openxmlformats.org/officeDocument/2006/relationships/hyperlink" Target="https://www.tradingview.com/chart/Q1c5VWwD/?symbol=nasdaq%3Acbll" TargetMode="External" Id="rId28"/></Relationships>
</file>

<file path=xl/worksheets/_rels/sheet15.xml.rels><Relationships xmlns="http://schemas.openxmlformats.org/package/2006/relationships"><Relationship Type="http://schemas.openxmlformats.org/officeDocument/2006/relationships/hyperlink" Target="https://www.tradingview.com/chart/Q1c5VWwD/?symbol=nyse%3Aveev" TargetMode="External" Id="rId1"/><Relationship Type="http://schemas.openxmlformats.org/officeDocument/2006/relationships/hyperlink" Target="https://www.investing.com/news/company-news/veeva-q227-slides-revenue-beats-drive-raised-guidance-margins-hold-93CH-4878052" TargetMode="External" Id="rId2"/><Relationship Type="http://schemas.openxmlformats.org/officeDocument/2006/relationships/hyperlink" Target="https://www.tradingview.com/chart/Q1c5VWwD/?symbol=nasdaq%3Anutx" TargetMode="External" Id="rId3"/><Relationship Type="http://schemas.openxmlformats.org/officeDocument/2006/relationships/hyperlink" Target="https://www.investing.com/news/transcripts/earnings-call-transcript-nutex-health-tops-q2-2026-profit-estimates-93CH-4847159" TargetMode="External" Id="rId4"/><Relationship Type="http://schemas.openxmlformats.org/officeDocument/2006/relationships/hyperlink" Target="https://www.tradingview.com/chart/Q1c5VWwD/?symbol=nasdaq%3Aclmt" TargetMode="External" Id="rId5"/><Relationship Type="http://schemas.openxmlformats.org/officeDocument/2006/relationships/hyperlink" Target="https://finance.yahoo.com/markets/stocks/articles/calumet-clmt-stock-may-trade-011303325.html" TargetMode="External" Id="rId6"/><Relationship Type="http://schemas.openxmlformats.org/officeDocument/2006/relationships/hyperlink" Target="https://www.tradingview.com/chart/Q1c5VWwD/?symbol=nyse%3Aestc" TargetMode="External" Id="rId7"/><Relationship Type="http://schemas.openxmlformats.org/officeDocument/2006/relationships/hyperlink" Target="https://markets.financialcontent.com/stocks/article/stockstory-2026-7-21-why-elastic-estc-shares-are-trading-lower-today" TargetMode="External" Id="rId8"/><Relationship Type="http://schemas.openxmlformats.org/officeDocument/2006/relationships/hyperlink" Target="https://www.tradingview.com/chart/Q1c5VWwD/?symbol=nasdaq%3Aneo" TargetMode="External" Id="rId9"/><Relationship Type="http://schemas.openxmlformats.org/officeDocument/2006/relationships/hyperlink" Target="https://ir.neogenomics.com/news-events/press-releases/detail/333/neogenomics-to-report-second-quarter-2026-financial-results-on-july-28-2026" TargetMode="External" Id="rId10"/><Relationship Type="http://schemas.openxmlformats.org/officeDocument/2006/relationships/hyperlink" Target="https://www.tradingview.com/chart/Q1c5VWwD/?symbol=nyse%3Anow" TargetMode="External" Id="rId11"/><Relationship Type="http://schemas.openxmlformats.org/officeDocument/2006/relationships/hyperlink" Target="https://www.timothysykes.com/news/servicenow-inc-now-news-2026_07_23/" TargetMode="External" Id="rId12"/><Relationship Type="http://schemas.openxmlformats.org/officeDocument/2006/relationships/hyperlink" Target="https://www.tradingview.com/chart/Q1c5VWwD/?symbol=nyse%3Ahpq" TargetMode="External" Id="rId13"/><Relationship Type="http://schemas.openxmlformats.org/officeDocument/2006/relationships/hyperlink" Target="https://www.fool.com/investing/2026/08/28/why-hp-stock-topped-the-market-today/" TargetMode="External" Id="rId14"/><Relationship Type="http://schemas.openxmlformats.org/officeDocument/2006/relationships/hyperlink" Target="https://www.tradingview.com/chart/Q1c5VWwD/?symbol=nasdaq%3Aplse" TargetMode="External" Id="rId15"/><Relationship Type="http://schemas.openxmlformats.org/officeDocument/2006/relationships/hyperlink" Target="https://simplywall.st/stocks/us/healthcare/nasdaq-plse/pulse-biosciences/news/why-pulse-biosciences-plse-is-up-64-after-nanopulse-af-trial" TargetMode="External" Id="rId16"/><Relationship Type="http://schemas.openxmlformats.org/officeDocument/2006/relationships/hyperlink" Target="https://www.tradingview.com/chart/Q1c5VWwD/?symbol=nasdaq%3Aird" TargetMode="External" Id="rId17"/><Relationship Type="http://schemas.openxmlformats.org/officeDocument/2006/relationships/hyperlink" Target="https://www.stocktitan.net/news/IRD/opus-genetics-provides-best1-program-update-with-detailed-timeline-c1zyafhv8w60.html" TargetMode="External" Id="rId18"/><Relationship Type="http://schemas.openxmlformats.org/officeDocument/2006/relationships/hyperlink" Target="https://www.tradingview.com/chart/Q1c5VWwD/?symbol=nyse%3Aamwl" TargetMode="External" Id="rId19"/><Relationship Type="http://schemas.openxmlformats.org/officeDocument/2006/relationships/hyperlink" Target="https://upstox.com/us-stocks/amwl-share-price/" TargetMode="External" Id="rId20"/><Relationship Type="http://schemas.openxmlformats.org/officeDocument/2006/relationships/hyperlink" Target="https://www.tradingview.com/chart/Q1c5VWwD/?symbol=nyse%3Asnow" TargetMode="External" Id="rId21"/><Relationship Type="http://schemas.openxmlformats.org/officeDocument/2006/relationships/hyperlink" Target="https://www.cnbc.com/2026/09/02/snowflake-snow-q2-earnings-report-2027.html" TargetMode="External" Id="rId22"/><Relationship Type="http://schemas.openxmlformats.org/officeDocument/2006/relationships/hyperlink" Target="https://www.tradingview.com/chart/Q1c5VWwD/?symbol=nasdaq%3Aampl" TargetMode="External" Id="rId23"/><Relationship Type="http://schemas.openxmlformats.org/officeDocument/2006/relationships/hyperlink" Target="https://simplywall.st/stocks/us/software/nasdaq-ampl/amplitude/news/amplitude-ampl-is-up-268-after-raising-2026-revenue-outlook" TargetMode="External" Id="rId24"/><Relationship Type="http://schemas.openxmlformats.org/officeDocument/2006/relationships/hyperlink" Target="https://www.tradingview.com/chart/Q1c5VWwD/?symbol=nyse%3Adhx" TargetMode="External" Id="rId25"/><Relationship Type="http://schemas.openxmlformats.org/officeDocument/2006/relationships/hyperlink" Target="https://upstox.com/us-stocks/dhx-share-price/" TargetMode="External" Id="rId26"/><Relationship Type="http://schemas.openxmlformats.org/officeDocument/2006/relationships/hyperlink" Target="https://www.tradingview.com/chart/Q1c5VWwD/?symbol=nyse%3Azeta" TargetMode="External" Id="rId27"/><Relationship Type="http://schemas.openxmlformats.org/officeDocument/2006/relationships/hyperlink" Target="https://stockstory.org/us/stocks/nyse/zeta/news/why-up-down/why-are-zeta-global-zeta-shares-soaring-today" TargetMode="External" Id="rId28"/><Relationship Type="http://schemas.openxmlformats.org/officeDocument/2006/relationships/hyperlink" Target="https://www.tradingview.com/chart/Q1c5VWwD/?symbol=nyse%3Adino" TargetMode="External" Id="rId29"/><Relationship Type="http://schemas.openxmlformats.org/officeDocument/2006/relationships/hyperlink" Target="https://www.benzinga.com/markets/commodities/26/09/61881898/diesel-squeeze-oil-refiners-stocks-four-top-performing-six-weeks-of-gains" TargetMode="External" Id="rId30"/><Relationship Type="http://schemas.openxmlformats.org/officeDocument/2006/relationships/hyperlink" Target="https://www.tradingview.com/chart/Q1c5VWwD/?symbol=nasdaq%3Amgni" TargetMode="External" Id="rId31"/><Relationship Type="http://schemas.openxmlformats.org/officeDocument/2006/relationships/hyperlink" Target="https://simplywall.st/stocks/us/media/nasdaq-mgni/magnite/news/magnite-mgni-stock-may-be-11-undervalued-following-fresh-ai" TargetMode="External" Id="rId32"/><Relationship Type="http://schemas.openxmlformats.org/officeDocument/2006/relationships/hyperlink" Target="https://www.tradingview.com/chart/Q1c5VWwD/?symbol=nyse%3Avlo" TargetMode="External" Id="rId33"/><Relationship Type="http://schemas.openxmlformats.org/officeDocument/2006/relationships/hyperlink" Target="https://seekingalpha.com/news/4645636-valero-marathon-cut-at-jefferies-supporting-less-refining-exposure-after-big-gains" TargetMode="External" Id="rId34"/><Relationship Type="http://schemas.openxmlformats.org/officeDocument/2006/relationships/hyperlink" Target="https://www.tradingview.com/chart/Q1c5VWwD/?symbol=nasdaq%3Asabr" TargetMode="External" Id="rId35"/><Relationship Type="http://schemas.openxmlformats.org/officeDocument/2006/relationships/hyperlink" Target="https://markets.financialcontent.com/stocks/article/stockstory-2026-9-21-why-sabre-sabr-stock-is-trading-up-today" TargetMode="External" Id="rId36"/><Relationship Type="http://schemas.openxmlformats.org/officeDocument/2006/relationships/hyperlink" Target="https://www.tradingview.com/chart/Q1c5VWwD/?symbol=nasdaq%3Avir" TargetMode="External" Id="rId37"/><Relationship Type="http://schemas.openxmlformats.org/officeDocument/2006/relationships/hyperlink" Target="https://www.investing.com/equities/vir-biotechnology-inc" TargetMode="External" Id="rId38"/><Relationship Type="http://schemas.openxmlformats.org/officeDocument/2006/relationships/hyperlink" Target="https://www.tradingview.com/chart/Q1c5VWwD/?symbol=nyse%3Ampc" TargetMode="External" Id="rId39"/><Relationship Type="http://schemas.openxmlformats.org/officeDocument/2006/relationships/hyperlink" Target="https://seekingalpha.com/news/4645636-valero-marathon-cut-at-jefferies-supporting-less-refining-exposure-after-big-gains" TargetMode="External" Id="rId40"/><Relationship Type="http://schemas.openxmlformats.org/officeDocument/2006/relationships/hyperlink" Target="https://www.tradingview.com/chart/Q1c5VWwD/?symbol=nasdaq%3Asgp" TargetMode="External" Id="rId41"/><Relationship Type="http://schemas.openxmlformats.org/officeDocument/2006/relationships/hyperlink" Target="https://www.investing.com/news/analyst-ratings/raymond-james-initiates-spyglass-pharma-stock-coverage-with-outperform-rating-93CH-4860312" TargetMode="External" Id="rId42"/><Relationship Type="http://schemas.openxmlformats.org/officeDocument/2006/relationships/hyperlink" Target="https://www.tradingview.com/chart/Q1c5VWwD/?symbol=nyse%3Aangx" TargetMode="External" Id="rId43"/><Relationship Type="http://schemas.openxmlformats.org/officeDocument/2006/relationships/hyperlink" Target="https://www.timothysykes.com/news/angelstudiosinc-angx-news-2026_09_20/" TargetMode="External" Id="rId44"/><Relationship Type="http://schemas.openxmlformats.org/officeDocument/2006/relationships/hyperlink" Target="https://www.tradingview.com/chart/Q1c5VWwD/?symbol=nasdaq%3Adjco" TargetMode="External" Id="rId45"/><Relationship Type="http://schemas.openxmlformats.org/officeDocument/2006/relationships/hyperlink" Target="https://simplywall.st/stocks/us/software/nasdaq-djco/daily-journal" TargetMode="External" Id="rId46"/><Relationship Type="http://schemas.openxmlformats.org/officeDocument/2006/relationships/hyperlink" Target="https://www.tradingview.com/chart/Q1c5VWwD/?symbol=nyse%3Apsx" TargetMode="External" Id="rId47"/><Relationship Type="http://schemas.openxmlformats.org/officeDocument/2006/relationships/hyperlink" Target="https://www.benzinga.com/markets/commodities/26/09/61881898/diesel-squeeze-oil-refiners-stocks-four-top-performing-six-weeks-of-gains" TargetMode="External" Id="rId48"/><Relationship Type="http://schemas.openxmlformats.org/officeDocument/2006/relationships/hyperlink" Target="https://www.tradingview.com/chart/Q1c5VWwD/?symbol=nyse%3Alpg" TargetMode="External" Id="rId49"/><Relationship Type="http://schemas.openxmlformats.org/officeDocument/2006/relationships/hyperlink" Target="https://www.stocktitan.net/news/LPG/dorian-lpg-ltd-announces-vlgc-newbuilding-contracts-forward-9zhz9yb9avle.html" TargetMode="External" Id="rId50"/><Relationship Type="http://schemas.openxmlformats.org/officeDocument/2006/relationships/hyperlink" Target="https://www.tradingview.com/chart/Q1c5VWwD/?symbol=amex%3Arepx" TargetMode="External" Id="rId51"/><Relationship Type="http://schemas.openxmlformats.org/officeDocument/2006/relationships/hyperlink" Target="https://www.rileypermian.com/investors/press-releases/news-details/2026/Riley-Permian-Declares-Quarterly-Dividend-and-Schedules-Second-Quarter-2026-Earnings-Release-and-Conference-Call/default.aspx" TargetMode="External" Id="rId52"/><Relationship Type="http://schemas.openxmlformats.org/officeDocument/2006/relationships/hyperlink" Target="https://www.tradingview.com/chart/Q1c5VWwD/?symbol=nasdaq%3Aapa" TargetMode="External" Id="rId53"/><Relationship Type="http://schemas.openxmlformats.org/officeDocument/2006/relationships/hyperlink" Target="https://www.tradingview.com/chart/Q1c5VWwD/?symbol=nasdaq%3Acbll" TargetMode="External" Id="rId54"/><Relationship Type="http://schemas.openxmlformats.org/officeDocument/2006/relationships/hyperlink" Target="https://investors.ceribell.com/news-releases/news-release-details/ceribell-reports-second-quarter-2026-financial-results" TargetMode="External" Id="rId55"/><Relationship Type="http://schemas.openxmlformats.org/officeDocument/2006/relationships/hyperlink" Target="https://wtop.com/national/2026/09/how-major-us-stock-indexes-fared-friday-9-18-2026" TargetMode="External" Id="rId56"/><Relationship Type="http://schemas.openxmlformats.org/officeDocument/2006/relationships/hyperlink" Target="https://qz.com/sp500-nasdaq-dow-oil-yields-market-update-092126" TargetMode="External" Id="rId57"/><Relationship Type="http://schemas.openxmlformats.org/officeDocument/2006/relationships/hyperlink" Target="https://wtop.com/national/2026/09/how-major-us-stock-indexes-fared-tuesday-9-22-2026" TargetMode="External" Id="rId58"/><Relationship Type="http://schemas.openxmlformats.org/officeDocument/2006/relationships/hyperlink" Target="https://www.thestreet.com/stock-market-today/stock-market-today-dow-jones-sp-500-nasdaq-updates-sept-23-2026" TargetMode="External" Id="rId59"/><Relationship Type="http://schemas.openxmlformats.org/officeDocument/2006/relationships/hyperlink" Target="https://www.cnbc.com/2026/09/23/stock-market-today-live-updates.html" TargetMode="External" Id="rId60"/><Relationship Type="http://schemas.openxmlformats.org/officeDocument/2006/relationships/hyperlink" Target="https://seekingalpha.com/news/4645636-valero-marathon-cut-at-jefferies-supporting-less-refining-exposure-after-big-gains" TargetMode="External" Id="rId61"/><Relationship Type="http://schemas.openxmlformats.org/officeDocument/2006/relationships/hyperlink" Target="https://www.bloomberg.com/news/articles/2026-09-22/refining-stocks-rally-stalls-as-talk-of-diesel-export-ban-swirls" TargetMode="External" Id="rId6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4" customWidth="1" min="1" max="1"/>
    <col width="120" customWidth="1" min="2" max="2"/>
  </cols>
  <sheetData>
    <row r="1">
      <c r="A1" s="1" t="inlineStr">
        <is>
          <t>R21.00 更新重點</t>
        </is>
      </c>
    </row>
    <row r="3" ht="30" customHeight="1">
      <c r="A3" s="2" t="n">
        <v>1</v>
      </c>
      <c r="B3" s="3" t="inlineStr">
        <is>
          <t>篩選條件全面更新為「高動能 ＋ 回到上升中嘅 20MA」：先要 1／2／3／6 個月回報至少一個排全體合資格股票頭 10%，再要趨勢向上、兩至二十五日前見過期內高位、回調 3–30%、曾經離開 MA20 至少 8%、而家收市喺 MA20 ±3% 之內兼近 3 日觸及過。細節見「篩選規則」頁。</t>
        </is>
      </c>
    </row>
    <row r="4" ht="18" customHeight="1">
      <c r="A4" s="2" t="n">
        <v>2</v>
      </c>
      <c r="B4" s="3" t="inlineStr">
        <is>
          <t>數據更新至 2026-09-23 收市（186 個交易日）。價格改用 Yahoo 日線，因為「觸及 20MA」要用當日最低價；Nasdaq 序列同收市後快照做核對。</t>
        </is>
      </c>
    </row>
    <row r="5" ht="18" customHeight="1">
      <c r="A5" s="2" t="n">
        <v>3</v>
      </c>
      <c r="B5" s="3" t="inlineStr">
        <is>
          <t>合資格 2,766 隻 → 形態 37 隻 → 上榜 28 隻（1 個月頁 15、2 個月 19、3 個月 22、6 個月 13）。</t>
        </is>
      </c>
    </row>
    <row r="6" ht="18" customHeight="1">
      <c r="A6" s="2" t="n">
        <v>4</v>
      </c>
      <c r="B6" s="3" t="inlineStr">
        <is>
          <t>評分改為動能分數 × 回調質素（量縮、貼近 MA20、MA20 斜率、回調深度、企穩、波幅收窄），取代舊嘅 VCP × 底部確定性。</t>
        </is>
      </c>
    </row>
    <row r="7" ht="18" customHeight="1">
      <c r="A7" s="2" t="n">
        <v>5</v>
      </c>
      <c r="B7" s="3" t="inlineStr">
        <is>
          <t>批判性覆核改咗四個問題（Yahoo 缺 09-22、SPAC 空殼期扮動能、修正空殼期時會誤傷鏡像斷檔嘅大型股、兩源核對假警報），另外標記咗煉油股集中、事件驅動、流動性同低價股，詳見「審視標記」頁。</t>
        </is>
      </c>
    </row>
    <row r="8" ht="18" customHeight="1">
      <c r="A8" s="2" t="n">
        <v>6</v>
      </c>
      <c r="B8" s="3" t="inlineStr">
        <is>
          <t>獨立重寫嘅篩選程式（只按規則文字，唔共用代碼）得出同一份 28 隻名單，逐欄比對 0 個差異。</t>
        </is>
      </c>
    </row>
    <row r="9" ht="18" customHeight="1">
      <c r="A9" s="2" t="n">
        <v>7</v>
      </c>
      <c r="B9" s="3" t="inlineStr">
        <is>
          <t>所有代號都連去 TradingView 圖表；計得出嘅欄位（距 MA%、斜率、分數、排名、覆蓋度）全部係公式。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2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8" customWidth="1" min="2" max="2"/>
    <col width="28" customWidth="1" min="3" max="3"/>
    <col width="8" customWidth="1" min="4" max="4"/>
    <col width="10" customWidth="1" min="5" max="5"/>
    <col width="30" customWidth="1" min="6" max="6"/>
    <col width="10" customWidth="1" min="7" max="7"/>
    <col width="7" customWidth="1" min="8" max="8"/>
    <col width="10" customWidth="1" min="9" max="9"/>
    <col width="10" customWidth="1" min="10" max="10"/>
    <col width="8" customWidth="1" min="11" max="11"/>
    <col width="10" customWidth="1" min="12" max="12"/>
    <col width="10" customWidth="1" min="13" max="13"/>
    <col width="10" customWidth="1" min="14" max="14"/>
    <col width="8" customWidth="1" min="15" max="15"/>
    <col width="10" customWidth="1" min="16" max="16"/>
    <col width="8" customWidth="1" min="17" max="17"/>
    <col width="10" customWidth="1" min="18" max="18"/>
    <col width="8" customWidth="1" min="19" max="19"/>
    <col width="10" customWidth="1" min="20" max="20"/>
    <col width="10" customWidth="1" min="21" max="21"/>
    <col width="8" customWidth="1" min="22" max="22"/>
    <col width="8" customWidth="1" min="23" max="23"/>
    <col width="9" customWidth="1" min="24" max="24"/>
    <col width="10" customWidth="1" min="25" max="25"/>
    <col width="9" customWidth="1" min="26" max="26"/>
    <col width="10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16" customWidth="1" min="37" max="37"/>
    <col width="7" customWidth="1" min="38" max="38"/>
    <col width="8" customWidth="1" min="39" max="39"/>
    <col width="8" customWidth="1" min="40" max="40"/>
    <col width="7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8" customWidth="1" min="49" max="49"/>
    <col width="8" customWidth="1" min="50" max="50"/>
    <col width="9" customWidth="1" min="51" max="51"/>
    <col width="8" customWidth="1" min="52" max="52"/>
    <col width="8" customWidth="1" min="53" max="53"/>
    <col width="40" customWidth="1" min="54" max="54"/>
    <col width="8" customWidth="1" min="55" max="55"/>
  </cols>
  <sheetData>
    <row r="1" ht="42" customHeight="1">
      <c r="A1" s="4" t="inlineStr">
        <is>
          <t>排名</t>
        </is>
      </c>
      <c r="B1" s="4" t="inlineStr">
        <is>
          <t>代號</t>
        </is>
      </c>
      <c r="C1" s="4" t="inlineStr">
        <is>
          <t>公司</t>
        </is>
      </c>
      <c r="D1" s="4" t="inlineStr">
        <is>
          <t>交易所</t>
        </is>
      </c>
      <c r="E1" s="4" t="inlineStr">
        <is>
          <t>板塊</t>
        </is>
      </c>
      <c r="F1" s="4" t="inlineStr">
        <is>
          <t>行業</t>
        </is>
      </c>
      <c r="G1" s="4" t="inlineStr">
        <is>
          <t>市值(十億美元)</t>
        </is>
      </c>
      <c r="H1" s="4" t="inlineStr">
        <is>
          <t>市值組</t>
        </is>
      </c>
      <c r="I1" s="4" t="inlineStr">
        <is>
          <t>收市價</t>
        </is>
      </c>
      <c r="J1" s="4" t="inlineStr">
        <is>
          <t>前收</t>
        </is>
      </c>
      <c r="K1" s="4" t="inlineStr">
        <is>
          <t>當日%</t>
        </is>
      </c>
      <c r="L1" s="4" t="inlineStr">
        <is>
          <t>當日高</t>
        </is>
      </c>
      <c r="M1" s="4" t="inlineStr">
        <is>
          <t>當日低</t>
        </is>
      </c>
      <c r="N1" s="4" t="inlineStr">
        <is>
          <t>MA20</t>
        </is>
      </c>
      <c r="O1" s="4" t="inlineStr">
        <is>
          <t>距MA20%</t>
        </is>
      </c>
      <c r="P1" s="4" t="inlineStr">
        <is>
          <t>MA50</t>
        </is>
      </c>
      <c r="Q1" s="4" t="inlineStr">
        <is>
          <t>距MA50%</t>
        </is>
      </c>
      <c r="R1" s="4" t="inlineStr">
        <is>
          <t>MA20（5日前）</t>
        </is>
      </c>
      <c r="S1" s="4" t="inlineStr">
        <is>
          <t>MA20 5日斜率%</t>
        </is>
      </c>
      <c r="T1" s="4" t="inlineStr">
        <is>
          <t>63日最高收市</t>
        </is>
      </c>
      <c r="U1" s="4" t="inlineStr">
        <is>
          <t>高位日期</t>
        </is>
      </c>
      <c r="V1" s="4" t="inlineStr">
        <is>
          <t>高位至今（交易日）</t>
        </is>
      </c>
      <c r="W1" s="4" t="inlineStr">
        <is>
          <t>距高位%</t>
        </is>
      </c>
      <c r="X1" s="4" t="inlineStr">
        <is>
          <t>25日內最大偏離MA20%</t>
        </is>
      </c>
      <c r="Y1" s="4" t="inlineStr">
        <is>
          <t>偏離最大日期</t>
        </is>
      </c>
      <c r="Z1" s="4" t="inlineStr">
        <is>
          <t>近3日最低價距MA20%</t>
        </is>
      </c>
      <c r="AA1" s="4" t="inlineStr">
        <is>
          <t>升浪起點</t>
        </is>
      </c>
      <c r="AB1" s="4" t="inlineStr">
        <is>
          <t>升浪幅度%</t>
        </is>
      </c>
      <c r="AC1" s="4" t="inlineStr">
        <is>
          <t>1個月回報</t>
        </is>
      </c>
      <c r="AD1" s="4" t="inlineStr">
        <is>
          <t>2個月回報</t>
        </is>
      </c>
      <c r="AE1" s="4" t="inlineStr">
        <is>
          <t>3個月回報</t>
        </is>
      </c>
      <c r="AF1" s="4" t="inlineStr">
        <is>
          <t>6個月回報</t>
        </is>
      </c>
      <c r="AG1" s="4" t="inlineStr">
        <is>
          <t>1個月百分位</t>
        </is>
      </c>
      <c r="AH1" s="4" t="inlineStr">
        <is>
          <t>2個月百分位</t>
        </is>
      </c>
      <c r="AI1" s="4" t="inlineStr">
        <is>
          <t>3個月百分位</t>
        </is>
      </c>
      <c r="AJ1" s="4" t="inlineStr">
        <is>
          <t>6個月百分位</t>
        </is>
      </c>
      <c r="AK1" s="4" t="inlineStr">
        <is>
          <t>動能時間框</t>
        </is>
      </c>
      <c r="AL1" s="4" t="inlineStr">
        <is>
          <t>覆蓋度</t>
        </is>
      </c>
      <c r="AM1" s="4" t="inlineStr">
        <is>
          <t>回調量比</t>
        </is>
      </c>
      <c r="AN1" s="4" t="inlineStr">
        <is>
          <t>ATR5/ATR20</t>
        </is>
      </c>
      <c r="AO1" s="4" t="inlineStr">
        <is>
          <t>ATR14%</t>
        </is>
      </c>
      <c r="AP1" s="4" t="inlineStr">
        <is>
          <t>量縮</t>
        </is>
      </c>
      <c r="AQ1" s="4" t="inlineStr">
        <is>
          <t>貼近MA20</t>
        </is>
      </c>
      <c r="AR1" s="4" t="inlineStr">
        <is>
          <t>MA20斜率分</t>
        </is>
      </c>
      <c r="AS1" s="4" t="inlineStr">
        <is>
          <t>回調深度分</t>
        </is>
      </c>
      <c r="AT1" s="4" t="inlineStr">
        <is>
          <t>企穩</t>
        </is>
      </c>
      <c r="AU1" s="4" t="inlineStr">
        <is>
          <t>波幅收窄</t>
        </is>
      </c>
      <c r="AV1" s="4" t="inlineStr">
        <is>
          <t>動能分數</t>
        </is>
      </c>
      <c r="AW1" s="4" t="inlineStr">
        <is>
          <t>回調質素</t>
        </is>
      </c>
      <c r="AX1" s="4" t="inlineStr">
        <is>
          <t>綜合分數</t>
        </is>
      </c>
      <c r="AY1" s="4" t="inlineStr">
        <is>
          <t>爆發潛力分數</t>
        </is>
      </c>
      <c r="AZ1" s="4" t="inlineStr">
        <is>
          <t>R20 10MA名單</t>
        </is>
      </c>
      <c r="BA1" s="4" t="inlineStr">
        <is>
          <t>門檻測試留低</t>
        </is>
      </c>
      <c r="BB1" s="4" t="inlineStr">
        <is>
          <t>審視標記</t>
        </is>
      </c>
      <c r="BC1" s="4" t="inlineStr">
        <is>
          <t>兩源最大差%</t>
        </is>
      </c>
    </row>
    <row r="2">
      <c r="A2" s="2">
        <f>COUNTIF($AY$2:$AY$29,"&gt;"&amp;AY2)+1</f>
        <v/>
      </c>
      <c r="B2" s="5" t="inlineStr">
        <is>
          <t>VEEV</t>
        </is>
      </c>
      <c r="C2" s="2" t="inlineStr">
        <is>
          <t>Veeva Systems Inc. Class A</t>
        </is>
      </c>
      <c r="D2" s="2" t="inlineStr">
        <is>
          <t>NYSE</t>
        </is>
      </c>
      <c r="E2" s="2" t="inlineStr">
        <is>
          <t>醫療保健</t>
        </is>
      </c>
      <c r="F2" s="2" t="inlineStr">
        <is>
          <t>Computer Software: Prepackaged Software</t>
        </is>
      </c>
      <c r="G2" s="6" t="n">
        <v>43.837</v>
      </c>
      <c r="H2" s="2" t="inlineStr">
        <is>
          <t>大型</t>
        </is>
      </c>
      <c r="I2" s="7" t="n">
        <v>270.75</v>
      </c>
      <c r="J2" s="7" t="n">
        <v>260.91</v>
      </c>
      <c r="K2" s="8">
        <f>I2/J2-1</f>
        <v/>
      </c>
      <c r="L2" s="7" t="n">
        <v>272.18</v>
      </c>
      <c r="M2" s="7" t="n">
        <v>263</v>
      </c>
      <c r="N2" s="7" t="n">
        <v>268.5989999999998</v>
      </c>
      <c r="O2" s="8">
        <f>I2/N2-1</f>
        <v/>
      </c>
      <c r="P2" s="7" t="n">
        <v>238.3829999999999</v>
      </c>
      <c r="Q2" s="9">
        <f>I2/P2-1</f>
        <v/>
      </c>
      <c r="R2" s="7" t="n">
        <v>264.9859999999997</v>
      </c>
      <c r="S2" s="8">
        <f>N2/R2-1</f>
        <v/>
      </c>
      <c r="T2" s="7" t="n">
        <v>285.69</v>
      </c>
      <c r="U2" s="2" t="inlineStr">
        <is>
          <t>2026-08-31</t>
        </is>
      </c>
      <c r="V2" s="10" t="n">
        <v>16</v>
      </c>
      <c r="W2" s="9">
        <f>I2/T2-1</f>
        <v/>
      </c>
      <c r="X2" s="11" t="n">
        <v>0.1890071728997575</v>
      </c>
      <c r="Y2" s="2" t="inlineStr">
        <is>
          <t>2026-08-27</t>
        </is>
      </c>
      <c r="Z2" s="12" t="n">
        <v>-0.03339105923276853</v>
      </c>
      <c r="AA2" s="2" t="inlineStr">
        <is>
          <t>2026-06-22</t>
        </is>
      </c>
      <c r="AB2" s="13" t="n">
        <v>0.8653042569861582</v>
      </c>
      <c r="AC2" s="11" t="n">
        <v>0.08971262979956518</v>
      </c>
      <c r="AD2" s="11" t="n">
        <v>0.4537693298969072</v>
      </c>
      <c r="AE2" s="11" t="n">
        <v>0.6780291292221878</v>
      </c>
      <c r="AF2" s="11" t="n">
        <v>0.5116408910725252</v>
      </c>
      <c r="AG2" s="11" t="n">
        <v>0.9150090415913201</v>
      </c>
      <c r="AH2" s="11" t="n">
        <v>0.9649186256781194</v>
      </c>
      <c r="AI2" s="11" t="n">
        <v>0.9761301989150091</v>
      </c>
      <c r="AJ2" s="11" t="n">
        <v>0.8734409391049156</v>
      </c>
      <c r="AK2" s="2" t="inlineStr">
        <is>
          <t>1個月、2個月、3個月</t>
        </is>
      </c>
      <c r="AL2" s="14">
        <f>(AG2&gt;=0.9)*(AC2&gt;0)+(AH2&gt;=0.9)*(AD2&gt;0)+(AI2&gt;=0.9)*(AE2&gt;0)+IF(AJ2="",0,(AJ2&gt;=0.9)*(AF2&gt;0))</f>
        <v/>
      </c>
      <c r="AM2" s="6" t="n">
        <v>0.7575137508688902</v>
      </c>
      <c r="AN2" s="6" t="n">
        <v>0.5659076564548237</v>
      </c>
      <c r="AO2" s="11" t="n">
        <v>0.02786703601108029</v>
      </c>
      <c r="AP2" s="15">
        <f>MAX(0,MIN(1,(AM2-1.2)/(0.6-1.2)))</f>
        <v/>
      </c>
      <c r="AQ2" s="15">
        <f>MAX(0,MIN(1,(ABS(O2)-0.03)/(0-0.03)))</f>
        <v/>
      </c>
      <c r="AR2" s="15">
        <f>MAX(0,MIN(1,S2/0.03))</f>
        <v/>
      </c>
      <c r="AS2" s="15">
        <f>MAX(0,MIN(1,(-W2-0.3)/(0.15-0.3)))</f>
        <v/>
      </c>
      <c r="AT2" s="15">
        <f>0.5*IF(L2&gt;M2,(I2-M2)/(L2-M2),0.5)+0.5*(I2&gt;=N2)</f>
        <v/>
      </c>
      <c r="AU2" s="15">
        <f>MAX(0,MIN(1,(AN2-1.3)/(0.7-1.3)))</f>
        <v/>
      </c>
      <c r="AV2" s="16">
        <f>100*(0.2*AG2+0.2*AH2+0.3*AI2+IF(AJ2="",0,0.3*AJ2))/(0.7+IF(AJ2="",0,0.3))</f>
        <v/>
      </c>
      <c r="AW2" s="16">
        <f>100*(0.25*AP2+0.2*AQ2+0.15*AR2+0.15*AS2+0.15*AT2+0.1*AU2)</f>
        <v/>
      </c>
      <c r="AX2" s="17">
        <f>0.5*AV2+0.5*AW2</f>
        <v/>
      </c>
      <c r="AY2" s="17">
        <f>0.4*AV2+0.4*AW2+0.2*(AL2/4*100)</f>
        <v/>
      </c>
      <c r="AZ2" s="2" t="inlineStr"/>
      <c r="BA2" s="2" t="inlineStr">
        <is>
          <t>18/18</t>
        </is>
      </c>
      <c r="BB2" s="3" t="inlineStr"/>
      <c r="BC2" s="18" t="n">
        <v>0</v>
      </c>
    </row>
    <row r="3">
      <c r="A3" s="2">
        <f>COUNTIF($AY$2:$AY$29,"&gt;"&amp;AY3)+1</f>
        <v/>
      </c>
      <c r="B3" s="5" t="inlineStr">
        <is>
          <t>NUTX</t>
        </is>
      </c>
      <c r="C3" s="2" t="inlineStr">
        <is>
          <t>Nutex Health Inc.</t>
        </is>
      </c>
      <c r="D3" s="2" t="inlineStr">
        <is>
          <t>NASDAQ</t>
        </is>
      </c>
      <c r="E3" s="2" t="inlineStr">
        <is>
          <t>非必需消費</t>
        </is>
      </c>
      <c r="F3" s="2" t="inlineStr">
        <is>
          <t>Business Services</t>
        </is>
      </c>
      <c r="G3" s="6" t="n">
        <v>1.382</v>
      </c>
      <c r="H3" s="2" t="inlineStr">
        <is>
          <t>小型</t>
        </is>
      </c>
      <c r="I3" s="7" t="n">
        <v>201.86</v>
      </c>
      <c r="J3" s="7" t="n">
        <v>208.82</v>
      </c>
      <c r="K3" s="8">
        <f>I3/J3-1</f>
        <v/>
      </c>
      <c r="L3" s="7" t="n">
        <v>210.025</v>
      </c>
      <c r="M3" s="7" t="n">
        <v>199.92</v>
      </c>
      <c r="N3" s="7" t="n">
        <v>200.3407500000003</v>
      </c>
      <c r="O3" s="8">
        <f>I3/N3-1</f>
        <v/>
      </c>
      <c r="P3" s="7" t="n">
        <v>180.8067000000001</v>
      </c>
      <c r="Q3" s="9">
        <f>I3/P3-1</f>
        <v/>
      </c>
      <c r="R3" s="7" t="n">
        <v>195.6122500000001</v>
      </c>
      <c r="S3" s="8">
        <f>N3/R3-1</f>
        <v/>
      </c>
      <c r="T3" s="7" t="n">
        <v>217.325</v>
      </c>
      <c r="U3" s="2" t="inlineStr">
        <is>
          <t>2026-09-16</t>
        </is>
      </c>
      <c r="V3" s="10" t="n">
        <v>5</v>
      </c>
      <c r="W3" s="9">
        <f>I3/T3-1</f>
        <v/>
      </c>
      <c r="X3" s="11" t="n">
        <v>0.1576898433395797</v>
      </c>
      <c r="Y3" s="2" t="inlineStr">
        <is>
          <t>2026-08-19</t>
        </is>
      </c>
      <c r="Z3" s="12" t="n">
        <v>-0.002100171832242315</v>
      </c>
      <c r="AA3" s="2" t="inlineStr">
        <is>
          <t>2026-07-29</t>
        </is>
      </c>
      <c r="AB3" s="13" t="n">
        <v>0.5469072531852799</v>
      </c>
      <c r="AC3" s="11" t="n">
        <v>0.07601279317697229</v>
      </c>
      <c r="AD3" s="11" t="n">
        <v>0.3838349215054502</v>
      </c>
      <c r="AE3" s="11" t="n">
        <v>0.3681713433645115</v>
      </c>
      <c r="AF3" s="11" t="n">
        <v>1.028947632927933</v>
      </c>
      <c r="AG3" s="11" t="n">
        <v>0.901627486437613</v>
      </c>
      <c r="AH3" s="11" t="n">
        <v>0.9508137432188065</v>
      </c>
      <c r="AI3" s="11" t="n">
        <v>0.9247739602169982</v>
      </c>
      <c r="AJ3" s="11" t="n">
        <v>0.9534115920763023</v>
      </c>
      <c r="AK3" s="2" t="inlineStr">
        <is>
          <t>1個月、2個月、3個月、6個月</t>
        </is>
      </c>
      <c r="AL3" s="14">
        <f>(AG3&gt;=0.9)*(AC3&gt;0)+(AH3&gt;=0.9)*(AD3&gt;0)+(AI3&gt;=0.9)*(AE3&gt;0)+IF(AJ3="",0,(AJ3&gt;=0.9)*(AF3&gt;0))</f>
        <v/>
      </c>
      <c r="AM3" s="6" t="n">
        <v>0.9780776609115566</v>
      </c>
      <c r="AN3" s="6" t="n">
        <v>0.9586938050363049</v>
      </c>
      <c r="AO3" s="11" t="n">
        <v>0.05341042589630721</v>
      </c>
      <c r="AP3" s="15">
        <f>MAX(0,MIN(1,(AM3-1.2)/(0.6-1.2)))</f>
        <v/>
      </c>
      <c r="AQ3" s="15">
        <f>MAX(0,MIN(1,(ABS(O3)-0.03)/(0-0.03)))</f>
        <v/>
      </c>
      <c r="AR3" s="15">
        <f>MAX(0,MIN(1,S3/0.03))</f>
        <v/>
      </c>
      <c r="AS3" s="15">
        <f>MAX(0,MIN(1,(-W3-0.3)/(0.15-0.3)))</f>
        <v/>
      </c>
      <c r="AT3" s="15">
        <f>0.5*IF(L3&gt;M3,(I3-M3)/(L3-M3),0.5)+0.5*(I3&gt;=N3)</f>
        <v/>
      </c>
      <c r="AU3" s="15">
        <f>MAX(0,MIN(1,(AN3-1.3)/(0.7-1.3)))</f>
        <v/>
      </c>
      <c r="AV3" s="16">
        <f>100*(0.2*AG3+0.2*AH3+0.3*AI3+IF(AJ3="",0,0.3*AJ3))/(0.7+IF(AJ3="",0,0.3))</f>
        <v/>
      </c>
      <c r="AW3" s="16">
        <f>100*(0.25*AP3+0.2*AQ3+0.15*AR3+0.15*AS3+0.15*AT3+0.1*AU3)</f>
        <v/>
      </c>
      <c r="AX3" s="17">
        <f>0.5*AV3+0.5*AW3</f>
        <v/>
      </c>
      <c r="AY3" s="17">
        <f>0.4*AV3+0.4*AW3+0.2*(AL3/4*100)</f>
        <v/>
      </c>
      <c r="AZ3" s="2" t="inlineStr">
        <is>
          <t>有</t>
        </is>
      </c>
      <c r="BA3" s="2" t="inlineStr">
        <is>
          <t>18/18</t>
        </is>
      </c>
      <c r="BB3" s="3" t="inlineStr"/>
      <c r="BC3" s="18" t="n">
        <v>0</v>
      </c>
    </row>
    <row r="4">
      <c r="A4" s="2">
        <f>COUNTIF($AY$2:$AY$29,"&gt;"&amp;AY4)+1</f>
        <v/>
      </c>
      <c r="B4" s="19" t="inlineStr">
        <is>
          <t>CLMT</t>
        </is>
      </c>
      <c r="C4" s="2" t="inlineStr">
        <is>
          <t>Calumet Inc.</t>
        </is>
      </c>
      <c r="D4" s="2" t="inlineStr">
        <is>
          <t>NASDAQ</t>
        </is>
      </c>
      <c r="E4" s="2" t="inlineStr">
        <is>
          <t>能源</t>
        </is>
      </c>
      <c r="F4" s="2" t="inlineStr">
        <is>
          <t>Integrated oil Companies</t>
        </is>
      </c>
      <c r="G4" s="6" t="n">
        <v>4.78</v>
      </c>
      <c r="H4" s="2" t="inlineStr">
        <is>
          <t>中型</t>
        </is>
      </c>
      <c r="I4" s="7" t="n">
        <v>54.38</v>
      </c>
      <c r="J4" s="7" t="n">
        <v>56.42</v>
      </c>
      <c r="K4" s="8">
        <f>I4/J4-1</f>
        <v/>
      </c>
      <c r="L4" s="7" t="n">
        <v>57.16</v>
      </c>
      <c r="M4" s="7" t="n">
        <v>51.92</v>
      </c>
      <c r="N4" s="7" t="n">
        <v>54.20900000000002</v>
      </c>
      <c r="O4" s="8">
        <f>I4/N4-1</f>
        <v/>
      </c>
      <c r="P4" s="7" t="n">
        <v>48.36439999999996</v>
      </c>
      <c r="Q4" s="9">
        <f>I4/P4-1</f>
        <v/>
      </c>
      <c r="R4" s="7" t="n">
        <v>51.90249999999996</v>
      </c>
      <c r="S4" s="8">
        <f>N4/R4-1</f>
        <v/>
      </c>
      <c r="T4" s="7" t="n">
        <v>59.05</v>
      </c>
      <c r="U4" s="2" t="inlineStr">
        <is>
          <t>2026-09-17</t>
        </is>
      </c>
      <c r="V4" s="10" t="n">
        <v>4</v>
      </c>
      <c r="W4" s="9">
        <f>I4/T4-1</f>
        <v/>
      </c>
      <c r="X4" s="11" t="n">
        <v>0.1270051817427071</v>
      </c>
      <c r="Y4" s="2" t="inlineStr">
        <is>
          <t>2026-09-17</t>
        </is>
      </c>
      <c r="Z4" s="12" t="n">
        <v>-0.0422254607168554</v>
      </c>
      <c r="AA4" s="2" t="inlineStr">
        <is>
          <t>2026-06-18</t>
        </is>
      </c>
      <c r="AB4" s="13" t="n">
        <v>0.8091299019607843</v>
      </c>
      <c r="AC4" s="11" t="n">
        <v>0.1491969568892646</v>
      </c>
      <c r="AD4" s="11" t="n">
        <v>0.3043895418565605</v>
      </c>
      <c r="AE4" s="11" t="n">
        <v>0.660965180207697</v>
      </c>
      <c r="AF4" s="11" t="n">
        <v>0.8591452991452992</v>
      </c>
      <c r="AG4" s="11" t="n">
        <v>0.949005424954792</v>
      </c>
      <c r="AH4" s="11" t="n">
        <v>0.925497287522604</v>
      </c>
      <c r="AI4" s="11" t="n">
        <v>0.9750452079566003</v>
      </c>
      <c r="AJ4" s="11" t="n">
        <v>0.9358033749082906</v>
      </c>
      <c r="AK4" s="2" t="inlineStr">
        <is>
          <t>1個月、2個月、3個月、6個月</t>
        </is>
      </c>
      <c r="AL4" s="14">
        <f>(AG4&gt;=0.9)*(AC4&gt;0)+(AH4&gt;=0.9)*(AD4&gt;0)+(AI4&gt;=0.9)*(AE4&gt;0)+IF(AJ4="",0,(AJ4&gt;=0.9)*(AF4&gt;0))</f>
        <v/>
      </c>
      <c r="AM4" s="6" t="n">
        <v>1.674753676759407</v>
      </c>
      <c r="AN4" s="6" t="n">
        <v>1.059301380991063</v>
      </c>
      <c r="AO4" s="11" t="n">
        <v>0.04410760258498398</v>
      </c>
      <c r="AP4" s="15">
        <f>MAX(0,MIN(1,(AM4-1.2)/(0.6-1.2)))</f>
        <v/>
      </c>
      <c r="AQ4" s="15">
        <f>MAX(0,MIN(1,(ABS(O4)-0.03)/(0-0.03)))</f>
        <v/>
      </c>
      <c r="AR4" s="15">
        <f>MAX(0,MIN(1,S4/0.03))</f>
        <v/>
      </c>
      <c r="AS4" s="15">
        <f>MAX(0,MIN(1,(-W4-0.3)/(0.15-0.3)))</f>
        <v/>
      </c>
      <c r="AT4" s="15">
        <f>0.5*IF(L4&gt;M4,(I4-M4)/(L4-M4),0.5)+0.5*(I4&gt;=N4)</f>
        <v/>
      </c>
      <c r="AU4" s="15">
        <f>MAX(0,MIN(1,(AN4-1.3)/(0.7-1.3)))</f>
        <v/>
      </c>
      <c r="AV4" s="16">
        <f>100*(0.2*AG4+0.2*AH4+0.3*AI4+IF(AJ4="",0,0.3*AJ4))/(0.7+IF(AJ4="",0,0.3))</f>
        <v/>
      </c>
      <c r="AW4" s="16">
        <f>100*(0.25*AP4+0.2*AQ4+0.15*AR4+0.15*AS4+0.15*AT4+0.1*AU4)</f>
        <v/>
      </c>
      <c r="AX4" s="17">
        <f>0.5*AV4+0.5*AW4</f>
        <v/>
      </c>
      <c r="AY4" s="17">
        <f>0.4*AV4+0.4*AW4+0.2*(AL4/4*100)</f>
        <v/>
      </c>
      <c r="AZ4" s="2" t="inlineStr"/>
      <c r="BA4" s="2" t="inlineStr">
        <is>
          <t>18/18</t>
        </is>
      </c>
      <c r="BB4" s="20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BC4" s="18" t="n">
        <v>0</v>
      </c>
    </row>
    <row r="5">
      <c r="A5" s="2">
        <f>COUNTIF($AY$2:$AY$29,"&gt;"&amp;AY5)+1</f>
        <v/>
      </c>
      <c r="B5" s="5" t="inlineStr">
        <is>
          <t>ESTC</t>
        </is>
      </c>
      <c r="C5" s="2" t="inlineStr">
        <is>
          <t>Elastic N.V.</t>
        </is>
      </c>
      <c r="D5" s="2" t="inlineStr">
        <is>
          <t>NYSE</t>
        </is>
      </c>
      <c r="E5" s="2" t="inlineStr">
        <is>
          <t>科技</t>
        </is>
      </c>
      <c r="F5" s="2" t="inlineStr">
        <is>
          <t>Computer Software: Prepackaged Software</t>
        </is>
      </c>
      <c r="G5" s="6" t="n">
        <v>9.584</v>
      </c>
      <c r="H5" s="2" t="inlineStr">
        <is>
          <t>中型</t>
        </is>
      </c>
      <c r="I5" s="7" t="n">
        <v>91.28</v>
      </c>
      <c r="J5" s="7" t="n">
        <v>89.22</v>
      </c>
      <c r="K5" s="8">
        <f>I5/J5-1</f>
        <v/>
      </c>
      <c r="L5" s="7" t="n">
        <v>91.52</v>
      </c>
      <c r="M5" s="7" t="n">
        <v>88.77</v>
      </c>
      <c r="N5" s="7" t="n">
        <v>88.68349999999973</v>
      </c>
      <c r="O5" s="8">
        <f>I5/N5-1</f>
        <v/>
      </c>
      <c r="P5" s="7" t="n">
        <v>78.46859999999995</v>
      </c>
      <c r="Q5" s="9">
        <f>I5/P5-1</f>
        <v/>
      </c>
      <c r="R5" s="7" t="n">
        <v>87.51749999999984</v>
      </c>
      <c r="S5" s="8">
        <f>N5/R5-1</f>
        <v/>
      </c>
      <c r="T5" s="7" t="n">
        <v>99.91</v>
      </c>
      <c r="U5" s="2" t="inlineStr">
        <is>
          <t>2026-08-28</t>
        </is>
      </c>
      <c r="V5" s="10" t="n">
        <v>17</v>
      </c>
      <c r="W5" s="9">
        <f>I5/T5-1</f>
        <v/>
      </c>
      <c r="X5" s="11" t="n">
        <v>0.240124372397271</v>
      </c>
      <c r="Y5" s="2" t="inlineStr">
        <is>
          <t>2026-08-28</t>
        </is>
      </c>
      <c r="Z5" s="12" t="n">
        <v>-0.01002385004638773</v>
      </c>
      <c r="AA5" s="2" t="inlineStr">
        <is>
          <t>2026-06-25</t>
        </is>
      </c>
      <c r="AB5" s="13" t="n">
        <v>0.8639925373134327</v>
      </c>
      <c r="AC5" s="11" t="n">
        <v>0.09658817876021142</v>
      </c>
      <c r="AD5" s="11" t="n">
        <v>0.5555555555555556</v>
      </c>
      <c r="AE5" s="11" t="n">
        <v>0.5547606881280871</v>
      </c>
      <c r="AF5" s="11" t="n">
        <v>0.8377290114757399</v>
      </c>
      <c r="AG5" s="11" t="n">
        <v>0.9215189873417722</v>
      </c>
      <c r="AH5" s="11" t="n">
        <v>0.9757685352622062</v>
      </c>
      <c r="AI5" s="11" t="n">
        <v>0.962748643761302</v>
      </c>
      <c r="AJ5" s="11" t="n">
        <v>0.9325018341892883</v>
      </c>
      <c r="AK5" s="2" t="inlineStr">
        <is>
          <t>1個月、2個月、3個月、6個月</t>
        </is>
      </c>
      <c r="AL5" s="14">
        <f>(AG5&gt;=0.9)*(AC5&gt;0)+(AH5&gt;=0.9)*(AD5&gt;0)+(AI5&gt;=0.9)*(AE5&gt;0)+IF(AJ5="",0,(AJ5&gt;=0.9)*(AF5&gt;0))</f>
        <v/>
      </c>
      <c r="AM5" s="6" t="n">
        <v>0.8490807184829552</v>
      </c>
      <c r="AN5" s="6" t="n">
        <v>0.6174950298210737</v>
      </c>
      <c r="AO5" s="11" t="n">
        <v>0.03992425190935268</v>
      </c>
      <c r="AP5" s="15">
        <f>MAX(0,MIN(1,(AM5-1.2)/(0.6-1.2)))</f>
        <v/>
      </c>
      <c r="AQ5" s="15">
        <f>MAX(0,MIN(1,(ABS(O5)-0.03)/(0-0.03)))</f>
        <v/>
      </c>
      <c r="AR5" s="15">
        <f>MAX(0,MIN(1,S5/0.03))</f>
        <v/>
      </c>
      <c r="AS5" s="15">
        <f>MAX(0,MIN(1,(-W5-0.3)/(0.15-0.3)))</f>
        <v/>
      </c>
      <c r="AT5" s="15">
        <f>0.5*IF(L5&gt;M5,(I5-M5)/(L5-M5),0.5)+0.5*(I5&gt;=N5)</f>
        <v/>
      </c>
      <c r="AU5" s="15">
        <f>MAX(0,MIN(1,(AN5-1.3)/(0.7-1.3)))</f>
        <v/>
      </c>
      <c r="AV5" s="16">
        <f>100*(0.2*AG5+0.2*AH5+0.3*AI5+IF(AJ5="",0,0.3*AJ5))/(0.7+IF(AJ5="",0,0.3))</f>
        <v/>
      </c>
      <c r="AW5" s="16">
        <f>100*(0.25*AP5+0.2*AQ5+0.15*AR5+0.15*AS5+0.15*AT5+0.1*AU5)</f>
        <v/>
      </c>
      <c r="AX5" s="17">
        <f>0.5*AV5+0.5*AW5</f>
        <v/>
      </c>
      <c r="AY5" s="17">
        <f>0.4*AV5+0.4*AW5+0.2*(AL5/4*100)</f>
        <v/>
      </c>
      <c r="AZ5" s="2" t="inlineStr"/>
      <c r="BA5" s="2" t="inlineStr">
        <is>
          <t>17/18</t>
        </is>
      </c>
      <c r="BB5" s="3" t="inlineStr"/>
      <c r="BC5" s="18" t="n">
        <v>0</v>
      </c>
    </row>
    <row r="6">
      <c r="A6" s="2">
        <f>COUNTIF($AY$2:$AY$29,"&gt;"&amp;AY6)+1</f>
        <v/>
      </c>
      <c r="B6" s="5" t="inlineStr">
        <is>
          <t>NEO</t>
        </is>
      </c>
      <c r="C6" s="2" t="inlineStr">
        <is>
          <t>NeoGenomics Inc.</t>
        </is>
      </c>
      <c r="D6" s="2" t="inlineStr">
        <is>
          <t>NASDAQ</t>
        </is>
      </c>
      <c r="E6" s="2" t="inlineStr">
        <is>
          <t>醫療保健</t>
        </is>
      </c>
      <c r="F6" s="2" t="inlineStr">
        <is>
          <t>Precision Instruments</t>
        </is>
      </c>
      <c r="G6" s="6" t="n">
        <v>2.359</v>
      </c>
      <c r="H6" s="2" t="inlineStr">
        <is>
          <t>中型</t>
        </is>
      </c>
      <c r="I6" s="7" t="n">
        <v>18.36</v>
      </c>
      <c r="J6" s="7" t="n">
        <v>18.89</v>
      </c>
      <c r="K6" s="8">
        <f>I6/J6-1</f>
        <v/>
      </c>
      <c r="L6" s="7" t="n">
        <v>19.08</v>
      </c>
      <c r="M6" s="7" t="n">
        <v>18.27</v>
      </c>
      <c r="N6" s="7" t="n">
        <v>18.2255</v>
      </c>
      <c r="O6" s="8">
        <f>I6/N6-1</f>
        <v/>
      </c>
      <c r="P6" s="7" t="n">
        <v>16.59200000000001</v>
      </c>
      <c r="Q6" s="9">
        <f>I6/P6-1</f>
        <v/>
      </c>
      <c r="R6" s="7" t="n">
        <v>17.57100000000003</v>
      </c>
      <c r="S6" s="8">
        <f>N6/R6-1</f>
        <v/>
      </c>
      <c r="T6" s="7" t="n">
        <v>19.91</v>
      </c>
      <c r="U6" s="2" t="inlineStr">
        <is>
          <t>2026-09-18</t>
        </is>
      </c>
      <c r="V6" s="10" t="n">
        <v>3</v>
      </c>
      <c r="W6" s="9">
        <f>I6/T6-1</f>
        <v/>
      </c>
      <c r="X6" s="11" t="n">
        <v>0.1344064753674332</v>
      </c>
      <c r="Y6" s="2" t="inlineStr">
        <is>
          <t>2026-08-27</t>
        </is>
      </c>
      <c r="Z6" s="12" t="n">
        <v>0.002441633974376467</v>
      </c>
      <c r="AA6" s="2" t="inlineStr">
        <is>
          <t>2026-06-18</t>
        </is>
      </c>
      <c r="AB6" s="13" t="n">
        <v>0.788858939802336</v>
      </c>
      <c r="AC6" s="11" t="n">
        <v>0.1188299817184644</v>
      </c>
      <c r="AD6" s="11" t="n">
        <v>0.3218142548596112</v>
      </c>
      <c r="AE6" s="11" t="n">
        <v>0.4232558139534883</v>
      </c>
      <c r="AF6" s="11" t="n">
        <v>1.33587786259542</v>
      </c>
      <c r="AG6" s="11" t="n">
        <v>0.935623869801085</v>
      </c>
      <c r="AH6" s="11" t="n">
        <v>0.9312839059674503</v>
      </c>
      <c r="AI6" s="11" t="n">
        <v>0.9385171790235082</v>
      </c>
      <c r="AJ6" s="11" t="n">
        <v>0.9732208363903155</v>
      </c>
      <c r="AK6" s="2" t="inlineStr">
        <is>
          <t>1個月、2個月、3個月、6個月</t>
        </is>
      </c>
      <c r="AL6" s="14">
        <f>(AG6&gt;=0.9)*(AC6&gt;0)+(AH6&gt;=0.9)*(AD6&gt;0)+(AI6&gt;=0.9)*(AE6&gt;0)+IF(AJ6="",0,(AJ6&gt;=0.9)*(AF6&gt;0))</f>
        <v/>
      </c>
      <c r="AM6" s="6" t="n">
        <v>1.530073423134841</v>
      </c>
      <c r="AN6" s="6" t="n">
        <v>0.846950517836594</v>
      </c>
      <c r="AO6" s="11" t="n">
        <v>0.04158885776532835</v>
      </c>
      <c r="AP6" s="15">
        <f>MAX(0,MIN(1,(AM6-1.2)/(0.6-1.2)))</f>
        <v/>
      </c>
      <c r="AQ6" s="15">
        <f>MAX(0,MIN(1,(ABS(O6)-0.03)/(0-0.03)))</f>
        <v/>
      </c>
      <c r="AR6" s="15">
        <f>MAX(0,MIN(1,S6/0.03))</f>
        <v/>
      </c>
      <c r="AS6" s="15">
        <f>MAX(0,MIN(1,(-W6-0.3)/(0.15-0.3)))</f>
        <v/>
      </c>
      <c r="AT6" s="15">
        <f>0.5*IF(L6&gt;M6,(I6-M6)/(L6-M6),0.5)+0.5*(I6&gt;=N6)</f>
        <v/>
      </c>
      <c r="AU6" s="15">
        <f>MAX(0,MIN(1,(AN6-1.3)/(0.7-1.3)))</f>
        <v/>
      </c>
      <c r="AV6" s="16">
        <f>100*(0.2*AG6+0.2*AH6+0.3*AI6+IF(AJ6="",0,0.3*AJ6))/(0.7+IF(AJ6="",0,0.3))</f>
        <v/>
      </c>
      <c r="AW6" s="16">
        <f>100*(0.25*AP6+0.2*AQ6+0.15*AR6+0.15*AS6+0.15*AT6+0.1*AU6)</f>
        <v/>
      </c>
      <c r="AX6" s="17">
        <f>0.5*AV6+0.5*AW6</f>
        <v/>
      </c>
      <c r="AY6" s="17">
        <f>0.4*AV6+0.4*AW6+0.2*(AL6/4*100)</f>
        <v/>
      </c>
      <c r="AZ6" s="2" t="inlineStr"/>
      <c r="BA6" s="2" t="inlineStr">
        <is>
          <t>17/18</t>
        </is>
      </c>
      <c r="BB6" s="3" t="inlineStr"/>
      <c r="BC6" s="18" t="n">
        <v>0.0003</v>
      </c>
    </row>
    <row r="7">
      <c r="A7" s="2">
        <f>COUNTIF($AY$2:$AY$29,"&gt;"&amp;AY7)+1</f>
        <v/>
      </c>
      <c r="B7" s="5" t="inlineStr">
        <is>
          <t>NOW</t>
        </is>
      </c>
      <c r="C7" s="2" t="inlineStr">
        <is>
          <t>ServiceNow Inc.</t>
        </is>
      </c>
      <c r="D7" s="2" t="inlineStr">
        <is>
          <t>NYSE</t>
        </is>
      </c>
      <c r="E7" s="2" t="inlineStr">
        <is>
          <t>科技</t>
        </is>
      </c>
      <c r="F7" s="2" t="inlineStr">
        <is>
          <t>Computer Software: Prepackaged Software</t>
        </is>
      </c>
      <c r="G7" s="6" t="n">
        <v>145.567</v>
      </c>
      <c r="H7" s="2" t="inlineStr">
        <is>
          <t>大型</t>
        </is>
      </c>
      <c r="I7" s="7" t="n">
        <v>140.78</v>
      </c>
      <c r="J7" s="7" t="n">
        <v>137</v>
      </c>
      <c r="K7" s="8">
        <f>I7/J7-1</f>
        <v/>
      </c>
      <c r="L7" s="7" t="n">
        <v>141.54</v>
      </c>
      <c r="M7" s="7" t="n">
        <v>136.15</v>
      </c>
      <c r="N7" s="7" t="n">
        <v>138.2945</v>
      </c>
      <c r="O7" s="8">
        <f>I7/N7-1</f>
        <v/>
      </c>
      <c r="P7" s="7" t="n">
        <v>124.4934</v>
      </c>
      <c r="Q7" s="9">
        <f>I7/P7-1</f>
        <v/>
      </c>
      <c r="R7" s="7" t="n">
        <v>135.8484999999999</v>
      </c>
      <c r="S7" s="8">
        <f>N7/R7-1</f>
        <v/>
      </c>
      <c r="T7" s="7" t="n">
        <v>147.99</v>
      </c>
      <c r="U7" s="2" t="inlineStr">
        <is>
          <t>2026-08-31</t>
        </is>
      </c>
      <c r="V7" s="10" t="n">
        <v>16</v>
      </c>
      <c r="W7" s="9">
        <f>I7/T7-1</f>
        <v/>
      </c>
      <c r="X7" s="11" t="n">
        <v>0.1637361600402607</v>
      </c>
      <c r="Y7" s="2" t="inlineStr">
        <is>
          <t>2026-08-31</t>
        </is>
      </c>
      <c r="Z7" s="12" t="n">
        <v>-0.01726311811664538</v>
      </c>
      <c r="AA7" s="2" t="inlineStr">
        <is>
          <t>2026-06-25</t>
        </is>
      </c>
      <c r="AB7" s="13" t="n">
        <v>0.6531501340482575</v>
      </c>
      <c r="AC7" s="11" t="n">
        <v>0.09941429129246382</v>
      </c>
      <c r="AD7" s="11" t="n">
        <v>0.425187284875481</v>
      </c>
      <c r="AE7" s="11" t="n">
        <v>0.5008528784648187</v>
      </c>
      <c r="AF7" s="11" t="n">
        <v>0.3452460582895365</v>
      </c>
      <c r="AG7" s="11" t="n">
        <v>0.9226039783001808</v>
      </c>
      <c r="AH7" s="11" t="n">
        <v>0.9587703435804702</v>
      </c>
      <c r="AI7" s="11" t="n">
        <v>0.9533453887884268</v>
      </c>
      <c r="AJ7" s="11" t="n">
        <v>0.8004402054292002</v>
      </c>
      <c r="AK7" s="2" t="inlineStr">
        <is>
          <t>1個月、2個月、3個月</t>
        </is>
      </c>
      <c r="AL7" s="14">
        <f>(AG7&gt;=0.9)*(AC7&gt;0)+(AH7&gt;=0.9)*(AD7&gt;0)+(AI7&gt;=0.9)*(AE7&gt;0)+IF(AJ7="",0,(AJ7&gt;=0.9)*(AF7&gt;0))</f>
        <v/>
      </c>
      <c r="AM7" s="6" t="n">
        <v>0.7438259225303691</v>
      </c>
      <c r="AN7" s="6" t="n">
        <v>0.7880418535127053</v>
      </c>
      <c r="AO7" s="11" t="n">
        <v>0.04408093682138287</v>
      </c>
      <c r="AP7" s="15">
        <f>MAX(0,MIN(1,(AM7-1.2)/(0.6-1.2)))</f>
        <v/>
      </c>
      <c r="AQ7" s="15">
        <f>MAX(0,MIN(1,(ABS(O7)-0.03)/(0-0.03)))</f>
        <v/>
      </c>
      <c r="AR7" s="15">
        <f>MAX(0,MIN(1,S7/0.03))</f>
        <v/>
      </c>
      <c r="AS7" s="15">
        <f>MAX(0,MIN(1,(-W7-0.3)/(0.15-0.3)))</f>
        <v/>
      </c>
      <c r="AT7" s="15">
        <f>0.5*IF(L7&gt;M7,(I7-M7)/(L7-M7),0.5)+0.5*(I7&gt;=N7)</f>
        <v/>
      </c>
      <c r="AU7" s="15">
        <f>MAX(0,MIN(1,(AN7-1.3)/(0.7-1.3)))</f>
        <v/>
      </c>
      <c r="AV7" s="16">
        <f>100*(0.2*AG7+0.2*AH7+0.3*AI7+IF(AJ7="",0,0.3*AJ7))/(0.7+IF(AJ7="",0,0.3))</f>
        <v/>
      </c>
      <c r="AW7" s="16">
        <f>100*(0.25*AP7+0.2*AQ7+0.15*AR7+0.15*AS7+0.15*AT7+0.1*AU7)</f>
        <v/>
      </c>
      <c r="AX7" s="17">
        <f>0.5*AV7+0.5*AW7</f>
        <v/>
      </c>
      <c r="AY7" s="17">
        <f>0.4*AV7+0.4*AW7+0.2*(AL7/4*100)</f>
        <v/>
      </c>
      <c r="AZ7" s="2" t="inlineStr">
        <is>
          <t>有</t>
        </is>
      </c>
      <c r="BA7" s="2" t="inlineStr">
        <is>
          <t>16/18</t>
        </is>
      </c>
      <c r="BB7" s="3" t="inlineStr"/>
      <c r="BC7" s="18" t="n">
        <v>0</v>
      </c>
    </row>
    <row r="8">
      <c r="A8" s="2">
        <f>COUNTIF($AY$2:$AY$29,"&gt;"&amp;AY8)+1</f>
        <v/>
      </c>
      <c r="B8" s="5" t="inlineStr">
        <is>
          <t>HPQ</t>
        </is>
      </c>
      <c r="C8" s="2" t="inlineStr">
        <is>
          <t>HP Inc.</t>
        </is>
      </c>
      <c r="D8" s="2" t="inlineStr">
        <is>
          <t>NYSE</t>
        </is>
      </c>
      <c r="E8" s="2" t="inlineStr">
        <is>
          <t>科技</t>
        </is>
      </c>
      <c r="F8" s="2" t="inlineStr">
        <is>
          <t>Computer Manufacturing</t>
        </is>
      </c>
      <c r="G8" s="6" t="n">
        <v>29.002</v>
      </c>
      <c r="H8" s="2" t="inlineStr">
        <is>
          <t>大型</t>
        </is>
      </c>
      <c r="I8" s="7" t="n">
        <v>32.16</v>
      </c>
      <c r="J8" s="7" t="n">
        <v>32.04</v>
      </c>
      <c r="K8" s="8">
        <f>I8/J8-1</f>
        <v/>
      </c>
      <c r="L8" s="7" t="n">
        <v>32.72</v>
      </c>
      <c r="M8" s="7" t="n">
        <v>31.61</v>
      </c>
      <c r="N8" s="7" t="n">
        <v>32.35449999999994</v>
      </c>
      <c r="O8" s="8">
        <f>I8/N8-1</f>
        <v/>
      </c>
      <c r="P8" s="7" t="n">
        <v>29.60839999999999</v>
      </c>
      <c r="Q8" s="9">
        <f>I8/P8-1</f>
        <v/>
      </c>
      <c r="R8" s="7" t="n">
        <v>31.40499999999997</v>
      </c>
      <c r="S8" s="8">
        <f>N8/R8-1</f>
        <v/>
      </c>
      <c r="T8" s="7" t="n">
        <v>35.48</v>
      </c>
      <c r="U8" s="2" t="inlineStr">
        <is>
          <t>2026-09-11</t>
        </is>
      </c>
      <c r="V8" s="10" t="n">
        <v>8</v>
      </c>
      <c r="W8" s="9">
        <f>I8/T8-1</f>
        <v/>
      </c>
      <c r="X8" s="11" t="n">
        <v>0.150025120334506</v>
      </c>
      <c r="Y8" s="2" t="inlineStr">
        <is>
          <t>2026-09-11</t>
        </is>
      </c>
      <c r="Z8" s="12" t="n">
        <v>-0.02301070948399575</v>
      </c>
      <c r="AA8" s="2" t="inlineStr">
        <is>
          <t>2026-07-02</t>
        </is>
      </c>
      <c r="AB8" s="13" t="n">
        <v>0.6178750569995439</v>
      </c>
      <c r="AC8" s="11" t="n">
        <v>0.1252624212736178</v>
      </c>
      <c r="AD8" s="11" t="n">
        <v>0.2489320388349514</v>
      </c>
      <c r="AE8" s="11" t="n">
        <v>0.3808501502790897</v>
      </c>
      <c r="AF8" s="11" t="n">
        <v>0.7024880889359446</v>
      </c>
      <c r="AG8" s="11" t="n">
        <v>0.9396021699819168</v>
      </c>
      <c r="AH8" s="11" t="n">
        <v>0.9037974683544304</v>
      </c>
      <c r="AI8" s="11" t="n">
        <v>0.9294755877034359</v>
      </c>
      <c r="AJ8" s="11" t="n">
        <v>0.9156272927366104</v>
      </c>
      <c r="AK8" s="2" t="inlineStr">
        <is>
          <t>1個月、2個月、3個月、6個月</t>
        </is>
      </c>
      <c r="AL8" s="14">
        <f>(AG8&gt;=0.9)*(AC8&gt;0)+(AH8&gt;=0.9)*(AD8&gt;0)+(AI8&gt;=0.9)*(AE8&gt;0)+IF(AJ8="",0,(AJ8&gt;=0.9)*(AF8&gt;0))</f>
        <v/>
      </c>
      <c r="AM8" s="6" t="n">
        <v>1.15511118336704</v>
      </c>
      <c r="AN8" s="6" t="n">
        <v>0.9124212936462509</v>
      </c>
      <c r="AO8" s="11" t="n">
        <v>0.05201670220326937</v>
      </c>
      <c r="AP8" s="15">
        <f>MAX(0,MIN(1,(AM8-1.2)/(0.6-1.2)))</f>
        <v/>
      </c>
      <c r="AQ8" s="15">
        <f>MAX(0,MIN(1,(ABS(O8)-0.03)/(0-0.03)))</f>
        <v/>
      </c>
      <c r="AR8" s="15">
        <f>MAX(0,MIN(1,S8/0.03))</f>
        <v/>
      </c>
      <c r="AS8" s="15">
        <f>MAX(0,MIN(1,(-W8-0.3)/(0.15-0.3)))</f>
        <v/>
      </c>
      <c r="AT8" s="15">
        <f>0.5*IF(L8&gt;M8,(I8-M8)/(L8-M8),0.5)+0.5*(I8&gt;=N8)</f>
        <v/>
      </c>
      <c r="AU8" s="15">
        <f>MAX(0,MIN(1,(AN8-1.3)/(0.7-1.3)))</f>
        <v/>
      </c>
      <c r="AV8" s="16">
        <f>100*(0.2*AG8+0.2*AH8+0.3*AI8+IF(AJ8="",0,0.3*AJ8))/(0.7+IF(AJ8="",0,0.3))</f>
        <v/>
      </c>
      <c r="AW8" s="16">
        <f>100*(0.25*AP8+0.2*AQ8+0.15*AR8+0.15*AS8+0.15*AT8+0.1*AU8)</f>
        <v/>
      </c>
      <c r="AX8" s="17">
        <f>0.5*AV8+0.5*AW8</f>
        <v/>
      </c>
      <c r="AY8" s="17">
        <f>0.4*AV8+0.4*AW8+0.2*(AL8/4*100)</f>
        <v/>
      </c>
      <c r="AZ8" s="2" t="inlineStr">
        <is>
          <t>有</t>
        </is>
      </c>
      <c r="BA8" s="2" t="inlineStr">
        <is>
          <t>17/18</t>
        </is>
      </c>
      <c r="BB8" s="3" t="inlineStr"/>
      <c r="BC8" s="18" t="n">
        <v>0</v>
      </c>
    </row>
    <row r="9">
      <c r="A9" s="2">
        <f>COUNTIF($AY$2:$AY$29,"&gt;"&amp;AY9)+1</f>
        <v/>
      </c>
      <c r="B9" s="19" t="inlineStr">
        <is>
          <t>PLSE</t>
        </is>
      </c>
      <c r="C9" s="2" t="inlineStr">
        <is>
          <t>Pulse Biosciences Inc</t>
        </is>
      </c>
      <c r="D9" s="2" t="inlineStr">
        <is>
          <t>NASDAQ</t>
        </is>
      </c>
      <c r="E9" s="2" t="inlineStr">
        <is>
          <t>醫療保健</t>
        </is>
      </c>
      <c r="F9" s="2" t="inlineStr">
        <is>
          <t>Medical/Dental Instruments</t>
        </is>
      </c>
      <c r="G9" s="6" t="n">
        <v>3.707</v>
      </c>
      <c r="H9" s="2" t="inlineStr">
        <is>
          <t>中型</t>
        </is>
      </c>
      <c r="I9" s="7" t="n">
        <v>51.98</v>
      </c>
      <c r="J9" s="7" t="n">
        <v>52.69</v>
      </c>
      <c r="K9" s="8">
        <f>I9/J9-1</f>
        <v/>
      </c>
      <c r="L9" s="7" t="n">
        <v>56.74</v>
      </c>
      <c r="M9" s="7" t="n">
        <v>51.87</v>
      </c>
      <c r="N9" s="7" t="n">
        <v>51.90299999999995</v>
      </c>
      <c r="O9" s="8">
        <f>I9/N9-1</f>
        <v/>
      </c>
      <c r="P9" s="7" t="n">
        <v>43.9136</v>
      </c>
      <c r="Q9" s="9">
        <f>I9/P9-1</f>
        <v/>
      </c>
      <c r="R9" s="7" t="n">
        <v>50.951</v>
      </c>
      <c r="S9" s="8">
        <f>N9/R9-1</f>
        <v/>
      </c>
      <c r="T9" s="7" t="n">
        <v>55.2</v>
      </c>
      <c r="U9" s="2" t="inlineStr">
        <is>
          <t>2026-09-15</t>
        </is>
      </c>
      <c r="V9" s="10" t="n">
        <v>6</v>
      </c>
      <c r="W9" s="9">
        <f>I9/T9-1</f>
        <v/>
      </c>
      <c r="X9" s="11" t="n">
        <v>0.2239349435611115</v>
      </c>
      <c r="Y9" s="2" t="inlineStr">
        <is>
          <t>2026-08-21</t>
        </is>
      </c>
      <c r="Z9" s="12" t="n">
        <v>-0.0006358013987621813</v>
      </c>
      <c r="AA9" s="2" t="inlineStr">
        <is>
          <t>2026-06-16</t>
        </is>
      </c>
      <c r="AB9" s="13" t="n">
        <v>1.198327359617682</v>
      </c>
      <c r="AC9" s="11" t="n">
        <v>0.05800936291471603</v>
      </c>
      <c r="AD9" s="11" t="n">
        <v>0.7194839563347666</v>
      </c>
      <c r="AE9" s="11" t="n">
        <v>1.03046875</v>
      </c>
      <c r="AF9" s="11" t="n">
        <v>1.441521841240019</v>
      </c>
      <c r="AG9" s="11" t="n">
        <v>0.8795660036166365</v>
      </c>
      <c r="AH9" s="11" t="n">
        <v>0.9880650994575045</v>
      </c>
      <c r="AI9" s="11" t="n">
        <v>0.9920433996383363</v>
      </c>
      <c r="AJ9" s="11" t="n">
        <v>0.9783565663976522</v>
      </c>
      <c r="AK9" s="2" t="inlineStr">
        <is>
          <t>2個月、3個月、6個月</t>
        </is>
      </c>
      <c r="AL9" s="14">
        <f>(AG9&gt;=0.9)*(AC9&gt;0)+(AH9&gt;=0.9)*(AD9&gt;0)+(AI9&gt;=0.9)*(AE9&gt;0)+IF(AJ9="",0,(AJ9&gt;=0.9)*(AF9&gt;0))</f>
        <v/>
      </c>
      <c r="AM9" s="6" t="n">
        <v>1.048687137666084</v>
      </c>
      <c r="AN9" s="6" t="n">
        <v>0.8440719270391023</v>
      </c>
      <c r="AO9" s="11" t="n">
        <v>0.08884461056450285</v>
      </c>
      <c r="AP9" s="15">
        <f>MAX(0,MIN(1,(AM9-1.2)/(0.6-1.2)))</f>
        <v/>
      </c>
      <c r="AQ9" s="15">
        <f>MAX(0,MIN(1,(ABS(O9)-0.03)/(0-0.03)))</f>
        <v/>
      </c>
      <c r="AR9" s="15">
        <f>MAX(0,MIN(1,S9/0.03))</f>
        <v/>
      </c>
      <c r="AS9" s="15">
        <f>MAX(0,MIN(1,(-W9-0.3)/(0.15-0.3)))</f>
        <v/>
      </c>
      <c r="AT9" s="15">
        <f>0.5*IF(L9&gt;M9,(I9-M9)/(L9-M9),0.5)+0.5*(I9&gt;=N9)</f>
        <v/>
      </c>
      <c r="AU9" s="15">
        <f>MAX(0,MIN(1,(AN9-1.3)/(0.7-1.3)))</f>
        <v/>
      </c>
      <c r="AV9" s="16">
        <f>100*(0.2*AG9+0.2*AH9+0.3*AI9+IF(AJ9="",0,0.3*AJ9))/(0.7+IF(AJ9="",0,0.3))</f>
        <v/>
      </c>
      <c r="AW9" s="16">
        <f>100*(0.25*AP9+0.2*AQ9+0.15*AR9+0.15*AS9+0.15*AT9+0.1*AU9)</f>
        <v/>
      </c>
      <c r="AX9" s="17">
        <f>0.5*AV9+0.5*AW9</f>
        <v/>
      </c>
      <c r="AY9" s="17">
        <f>0.4*AV9+0.4*AW9+0.2*(AL9/4*100)</f>
        <v/>
      </c>
      <c r="AZ9" s="2" t="inlineStr"/>
      <c r="BA9" s="2" t="inlineStr">
        <is>
          <t>18/18</t>
        </is>
      </c>
      <c r="BB9" s="20" t="inlineStr">
        <is>
          <t>回調唔係有序回落：期內有一日跌 -10.1%</t>
        </is>
      </c>
      <c r="BC9" s="18" t="n">
        <v>0</v>
      </c>
    </row>
    <row r="10">
      <c r="A10" s="2">
        <f>COUNTIF($AY$2:$AY$29,"&gt;"&amp;AY10)+1</f>
        <v/>
      </c>
      <c r="B10" s="19" t="inlineStr">
        <is>
          <t>IRD</t>
        </is>
      </c>
      <c r="C10" s="2" t="inlineStr">
        <is>
          <t>Opus Genetics Inc.</t>
        </is>
      </c>
      <c r="D10" s="2" t="inlineStr">
        <is>
          <t>NASDAQ</t>
        </is>
      </c>
      <c r="E10" s="2" t="inlineStr">
        <is>
          <t>醫療保健</t>
        </is>
      </c>
      <c r="F10" s="2" t="inlineStr">
        <is>
          <t>Biotechnology: Pharmaceutical Preparations</t>
        </is>
      </c>
      <c r="G10" s="6" t="n">
        <v>0.402</v>
      </c>
      <c r="H10" s="2" t="inlineStr">
        <is>
          <t>小型</t>
        </is>
      </c>
      <c r="I10" s="7" t="n">
        <v>4.83</v>
      </c>
      <c r="J10" s="7" t="n">
        <v>5.16</v>
      </c>
      <c r="K10" s="8">
        <f>I10/J10-1</f>
        <v/>
      </c>
      <c r="L10" s="7" t="n">
        <v>5.16</v>
      </c>
      <c r="M10" s="7" t="n">
        <v>4.65</v>
      </c>
      <c r="N10" s="7" t="n">
        <v>4.878000000000009</v>
      </c>
      <c r="O10" s="8">
        <f>I10/N10-1</f>
        <v/>
      </c>
      <c r="P10" s="7" t="n">
        <v>4.107800000000002</v>
      </c>
      <c r="Q10" s="9">
        <f>I10/P10-1</f>
        <v/>
      </c>
      <c r="R10" s="7" t="n">
        <v>4.613500000000011</v>
      </c>
      <c r="S10" s="8">
        <f>N10/R10-1</f>
        <v/>
      </c>
      <c r="T10" s="7" t="n">
        <v>6.07</v>
      </c>
      <c r="U10" s="2" t="inlineStr">
        <is>
          <t>2026-09-10</t>
        </is>
      </c>
      <c r="V10" s="10" t="n">
        <v>9</v>
      </c>
      <c r="W10" s="9">
        <f>I10/T10-1</f>
        <v/>
      </c>
      <c r="X10" s="11" t="n">
        <v>0.4504181600955748</v>
      </c>
      <c r="Y10" s="2" t="inlineStr">
        <is>
          <t>2026-09-10</t>
        </is>
      </c>
      <c r="Z10" s="12" t="n">
        <v>-0.04674046740467575</v>
      </c>
      <c r="AA10" s="2" t="inlineStr">
        <is>
          <t>2026-07-23</t>
        </is>
      </c>
      <c r="AB10" s="13" t="n">
        <v>1.078767123287671</v>
      </c>
      <c r="AC10" s="11" t="n">
        <v>0.1985111662531016</v>
      </c>
      <c r="AD10" s="11" t="n">
        <v>0.5681818181818181</v>
      </c>
      <c r="AE10" s="11" t="n">
        <v>0.3018867924528301</v>
      </c>
      <c r="AF10" s="11" t="n">
        <v>0.07095343680709543</v>
      </c>
      <c r="AG10" s="11" t="n">
        <v>0.966003616636528</v>
      </c>
      <c r="AH10" s="11" t="n">
        <v>0.9786618444846293</v>
      </c>
      <c r="AI10" s="11" t="n">
        <v>0.9099457504520796</v>
      </c>
      <c r="AJ10" s="11" t="n">
        <v>0.4977989728539985</v>
      </c>
      <c r="AK10" s="2" t="inlineStr">
        <is>
          <t>1個月、2個月、3個月</t>
        </is>
      </c>
      <c r="AL10" s="14">
        <f>(AG10&gt;=0.9)*(AC10&gt;0)+(AH10&gt;=0.9)*(AD10&gt;0)+(AI10&gt;=0.9)*(AE10&gt;0)+IF(AJ10="",0,(AJ10&gt;=0.9)*(AF10&gt;0))</f>
        <v/>
      </c>
      <c r="AM10" s="6" t="n">
        <v>0.6384362064619433</v>
      </c>
      <c r="AN10" s="6" t="n">
        <v>0.6032660902977901</v>
      </c>
      <c r="AO10" s="11" t="n">
        <v>0.1249630286897368</v>
      </c>
      <c r="AP10" s="15">
        <f>MAX(0,MIN(1,(AM10-1.2)/(0.6-1.2)))</f>
        <v/>
      </c>
      <c r="AQ10" s="15">
        <f>MAX(0,MIN(1,(ABS(O10)-0.03)/(0-0.03)))</f>
        <v/>
      </c>
      <c r="AR10" s="15">
        <f>MAX(0,MIN(1,S10/0.03))</f>
        <v/>
      </c>
      <c r="AS10" s="15">
        <f>MAX(0,MIN(1,(-W10-0.3)/(0.15-0.3)))</f>
        <v/>
      </c>
      <c r="AT10" s="15">
        <f>0.5*IF(L10&gt;M10,(I10-M10)/(L10-M10),0.5)+0.5*(I10&gt;=N10)</f>
        <v/>
      </c>
      <c r="AU10" s="15">
        <f>MAX(0,MIN(1,(AN10-1.3)/(0.7-1.3)))</f>
        <v/>
      </c>
      <c r="AV10" s="16">
        <f>100*(0.2*AG10+0.2*AH10+0.3*AI10+IF(AJ10="",0,0.3*AJ10))/(0.7+IF(AJ10="",0,0.3))</f>
        <v/>
      </c>
      <c r="AW10" s="16">
        <f>100*(0.25*AP10+0.2*AQ10+0.15*AR10+0.15*AS10+0.15*AT10+0.1*AU10)</f>
        <v/>
      </c>
      <c r="AX10" s="17">
        <f>0.5*AV10+0.5*AW10</f>
        <v/>
      </c>
      <c r="AY10" s="17">
        <f>0.4*AV10+0.4*AW10+0.2*(AL10/4*100)</f>
        <v/>
      </c>
      <c r="AZ10" s="2" t="inlineStr"/>
      <c r="BA10" s="2" t="inlineStr">
        <is>
          <t>18/18</t>
        </is>
      </c>
      <c r="BB10" s="20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BC10" s="18" t="n">
        <v>0</v>
      </c>
    </row>
    <row r="11">
      <c r="A11" s="2">
        <f>COUNTIF($AY$2:$AY$29,"&gt;"&amp;AY11)+1</f>
        <v/>
      </c>
      <c r="B11" s="19" t="inlineStr">
        <is>
          <t>AMWL</t>
        </is>
      </c>
      <c r="C11" s="2" t="inlineStr">
        <is>
          <t>American Well Corporation Class A</t>
        </is>
      </c>
      <c r="D11" s="2" t="inlineStr">
        <is>
          <t>NYSE</t>
        </is>
      </c>
      <c r="E11" s="2" t="inlineStr">
        <is>
          <t>非必需消費</t>
        </is>
      </c>
      <c r="F11" s="2" t="inlineStr">
        <is>
          <t>Business Services</t>
        </is>
      </c>
      <c r="G11" s="6" t="n">
        <v>0.225</v>
      </c>
      <c r="H11" s="2" t="inlineStr">
        <is>
          <t>小型</t>
        </is>
      </c>
      <c r="I11" s="7" t="n">
        <v>13.21</v>
      </c>
      <c r="J11" s="7" t="n">
        <v>13.21</v>
      </c>
      <c r="K11" s="8">
        <f>I11/J11-1</f>
        <v/>
      </c>
      <c r="L11" s="7" t="n">
        <v>13.685</v>
      </c>
      <c r="M11" s="7" t="n">
        <v>13.07</v>
      </c>
      <c r="N11" s="7" t="n">
        <v>12.9115</v>
      </c>
      <c r="O11" s="8">
        <f>I11/N11-1</f>
        <v/>
      </c>
      <c r="P11" s="7" t="n">
        <v>12.31400000000001</v>
      </c>
      <c r="Q11" s="9">
        <f>I11/P11-1</f>
        <v/>
      </c>
      <c r="R11" s="7" t="n">
        <v>12.534</v>
      </c>
      <c r="S11" s="8">
        <f>N11/R11-1</f>
        <v/>
      </c>
      <c r="T11" s="7" t="n">
        <v>13.87</v>
      </c>
      <c r="U11" s="2" t="inlineStr">
        <is>
          <t>2026-09-14</t>
        </is>
      </c>
      <c r="V11" s="10" t="n">
        <v>7</v>
      </c>
      <c r="W11" s="9">
        <f>I11/T11-1</f>
        <v/>
      </c>
      <c r="X11" s="11" t="n">
        <v>0.1175570058818789</v>
      </c>
      <c r="Y11" s="2" t="inlineStr">
        <is>
          <t>2026-09-14</t>
        </is>
      </c>
      <c r="Z11" s="12" t="n">
        <v>0.01227587809317265</v>
      </c>
      <c r="AA11" s="2" t="inlineStr">
        <is>
          <t>2026-06-22</t>
        </is>
      </c>
      <c r="AB11" s="13" t="n">
        <v>0.6873479318734792</v>
      </c>
      <c r="AC11" s="11" t="n">
        <v>0.1082214765100671</v>
      </c>
      <c r="AD11" s="11" t="n">
        <v>0.2220166512488437</v>
      </c>
      <c r="AE11" s="11" t="n">
        <v>0.5559481743227326</v>
      </c>
      <c r="AF11" s="11" t="n">
        <v>1.293402777777778</v>
      </c>
      <c r="AG11" s="11" t="n">
        <v>0.9283905967450271</v>
      </c>
      <c r="AH11" s="11" t="n">
        <v>0.8907775768535262</v>
      </c>
      <c r="AI11" s="11" t="n">
        <v>0.9634719710669077</v>
      </c>
      <c r="AJ11" s="11" t="n">
        <v>0.9717534849596479</v>
      </c>
      <c r="AK11" s="2" t="inlineStr">
        <is>
          <t>1個月、3個月、6個月</t>
        </is>
      </c>
      <c r="AL11" s="14">
        <f>(AG11&gt;=0.9)*(AC11&gt;0)+(AH11&gt;=0.9)*(AD11&gt;0)+(AI11&gt;=0.9)*(AE11&gt;0)+IF(AJ11="",0,(AJ11&gt;=0.9)*(AF11&gt;0))</f>
        <v/>
      </c>
      <c r="AM11" s="6" t="n">
        <v>0.9960265289353211</v>
      </c>
      <c r="AN11" s="6" t="n">
        <v>0.796514684894464</v>
      </c>
      <c r="AO11" s="11" t="n">
        <v>0.051508597382935</v>
      </c>
      <c r="AP11" s="15">
        <f>MAX(0,MIN(1,(AM11-1.2)/(0.6-1.2)))</f>
        <v/>
      </c>
      <c r="AQ11" s="15">
        <f>MAX(0,MIN(1,(ABS(O11)-0.03)/(0-0.03)))</f>
        <v/>
      </c>
      <c r="AR11" s="15">
        <f>MAX(0,MIN(1,S11/0.03))</f>
        <v/>
      </c>
      <c r="AS11" s="15">
        <f>MAX(0,MIN(1,(-W11-0.3)/(0.15-0.3)))</f>
        <v/>
      </c>
      <c r="AT11" s="15">
        <f>0.5*IF(L11&gt;M11,(I11-M11)/(L11-M11),0.5)+0.5*(I11&gt;=N11)</f>
        <v/>
      </c>
      <c r="AU11" s="15">
        <f>MAX(0,MIN(1,(AN11-1.3)/(0.7-1.3)))</f>
        <v/>
      </c>
      <c r="AV11" s="16">
        <f>100*(0.2*AG11+0.2*AH11+0.3*AI11+IF(AJ11="",0,0.3*AJ11))/(0.7+IF(AJ11="",0,0.3))</f>
        <v/>
      </c>
      <c r="AW11" s="16">
        <f>100*(0.25*AP11+0.2*AQ11+0.15*AR11+0.15*AS11+0.15*AT11+0.1*AU11)</f>
        <v/>
      </c>
      <c r="AX11" s="17">
        <f>0.5*AV11+0.5*AW11</f>
        <v/>
      </c>
      <c r="AY11" s="17">
        <f>0.4*AV11+0.4*AW11+0.2*(AL11/4*100)</f>
        <v/>
      </c>
      <c r="AZ11" s="2" t="inlineStr"/>
      <c r="BA11" s="2" t="inlineStr">
        <is>
          <t>15/18</t>
        </is>
      </c>
      <c r="BB11" s="20" t="inlineStr">
        <is>
          <t>20 日成交額中位數只有 $1.3M（股票池下限 $1M），入市出市都會有滑價</t>
        </is>
      </c>
      <c r="BC11" s="18" t="n">
        <v>0</v>
      </c>
    </row>
    <row r="12">
      <c r="A12" s="2">
        <f>COUNTIF($AY$2:$AY$29,"&gt;"&amp;AY12)+1</f>
        <v/>
      </c>
      <c r="B12" s="5" t="inlineStr">
        <is>
          <t>SNOW</t>
        </is>
      </c>
      <c r="C12" s="2" t="inlineStr">
        <is>
          <t>Snowflake Inc.</t>
        </is>
      </c>
      <c r="D12" s="2" t="inlineStr">
        <is>
          <t>NYSE</t>
        </is>
      </c>
      <c r="E12" s="2" t="inlineStr">
        <is>
          <t>科技</t>
        </is>
      </c>
      <c r="F12" s="2" t="inlineStr">
        <is>
          <t>Computer Software: Prepackaged Software</t>
        </is>
      </c>
      <c r="G12" s="6" t="n">
        <v>118.121</v>
      </c>
      <c r="H12" s="2" t="inlineStr">
        <is>
          <t>大型</t>
        </is>
      </c>
      <c r="I12" s="7" t="n">
        <v>334.81</v>
      </c>
      <c r="J12" s="7" t="n">
        <v>336.59</v>
      </c>
      <c r="K12" s="8">
        <f>I12/J12-1</f>
        <v/>
      </c>
      <c r="L12" s="7" t="n">
        <v>348.61</v>
      </c>
      <c r="M12" s="7" t="n">
        <v>333.16</v>
      </c>
      <c r="N12" s="7" t="n">
        <v>330.8424999999999</v>
      </c>
      <c r="O12" s="8">
        <f>I12/N12-1</f>
        <v/>
      </c>
      <c r="P12" s="7" t="n">
        <v>314.4721999999999</v>
      </c>
      <c r="Q12" s="9">
        <f>I12/P12-1</f>
        <v/>
      </c>
      <c r="R12" s="7" t="n">
        <v>327.7060000000001</v>
      </c>
      <c r="S12" s="8">
        <f>N12/R12-1</f>
        <v/>
      </c>
      <c r="T12" s="7" t="n">
        <v>356.47</v>
      </c>
      <c r="U12" s="2" t="inlineStr">
        <is>
          <t>2026-09-03</t>
        </is>
      </c>
      <c r="V12" s="10" t="n">
        <v>13</v>
      </c>
      <c r="W12" s="9">
        <f>I12/T12-1</f>
        <v/>
      </c>
      <c r="X12" s="11" t="n">
        <v>0.08709209649554794</v>
      </c>
      <c r="Y12" s="2" t="inlineStr">
        <is>
          <t>2026-09-03</t>
        </is>
      </c>
      <c r="Z12" s="12" t="n">
        <v>-0.0004024144869214652</v>
      </c>
      <c r="AA12" s="2" t="inlineStr">
        <is>
          <t>2026-06-24</t>
        </is>
      </c>
      <c r="AB12" s="13" t="n">
        <v>0.5776499225492369</v>
      </c>
      <c r="AC12" s="11" t="n">
        <v>0.03726996716029496</v>
      </c>
      <c r="AD12" s="11" t="n">
        <v>0.2490114153547713</v>
      </c>
      <c r="AE12" s="11" t="n">
        <v>0.4817880061960611</v>
      </c>
      <c r="AF12" s="11" t="n">
        <v>1.075182843684145</v>
      </c>
      <c r="AG12" s="11" t="n">
        <v>0.8491862567811935</v>
      </c>
      <c r="AH12" s="11" t="n">
        <v>0.9041591320072333</v>
      </c>
      <c r="AI12" s="11" t="n">
        <v>0.9500904159132008</v>
      </c>
      <c r="AJ12" s="11" t="n">
        <v>0.9574468085106383</v>
      </c>
      <c r="AK12" s="2" t="inlineStr">
        <is>
          <t>2個月、3個月、6個月</t>
        </is>
      </c>
      <c r="AL12" s="14">
        <f>(AG12&gt;=0.9)*(AC12&gt;0)+(AH12&gt;=0.9)*(AD12&gt;0)+(AI12&gt;=0.9)*(AE12&gt;0)+IF(AJ12="",0,(AJ12&gt;=0.9)*(AF12&gt;0))</f>
        <v/>
      </c>
      <c r="AM12" s="6" t="n">
        <v>0.898855550700155</v>
      </c>
      <c r="AN12" s="6" t="n">
        <v>0.6704598028672188</v>
      </c>
      <c r="AO12" s="11" t="n">
        <v>0.05322613678546895</v>
      </c>
      <c r="AP12" s="15">
        <f>MAX(0,MIN(1,(AM12-1.2)/(0.6-1.2)))</f>
        <v/>
      </c>
      <c r="AQ12" s="15">
        <f>MAX(0,MIN(1,(ABS(O12)-0.03)/(0-0.03)))</f>
        <v/>
      </c>
      <c r="AR12" s="15">
        <f>MAX(0,MIN(1,S12/0.03))</f>
        <v/>
      </c>
      <c r="AS12" s="15">
        <f>MAX(0,MIN(1,(-W12-0.3)/(0.15-0.3)))</f>
        <v/>
      </c>
      <c r="AT12" s="15">
        <f>0.5*IF(L12&gt;M12,(I12-M12)/(L12-M12),0.5)+0.5*(I12&gt;=N12)</f>
        <v/>
      </c>
      <c r="AU12" s="15">
        <f>MAX(0,MIN(1,(AN12-1.3)/(0.7-1.3)))</f>
        <v/>
      </c>
      <c r="AV12" s="16">
        <f>100*(0.2*AG12+0.2*AH12+0.3*AI12+IF(AJ12="",0,0.3*AJ12))/(0.7+IF(AJ12="",0,0.3))</f>
        <v/>
      </c>
      <c r="AW12" s="16">
        <f>100*(0.25*AP12+0.2*AQ12+0.15*AR12+0.15*AS12+0.15*AT12+0.1*AU12)</f>
        <v/>
      </c>
      <c r="AX12" s="17">
        <f>0.5*AV12+0.5*AW12</f>
        <v/>
      </c>
      <c r="AY12" s="17">
        <f>0.4*AV12+0.4*AW12+0.2*(AL12/4*100)</f>
        <v/>
      </c>
      <c r="AZ12" s="2" t="inlineStr"/>
      <c r="BA12" s="2" t="inlineStr">
        <is>
          <t>17/18</t>
        </is>
      </c>
      <c r="BB12" s="3" t="inlineStr"/>
      <c r="BC12" s="18" t="n">
        <v>0</v>
      </c>
    </row>
    <row r="13">
      <c r="A13" s="2">
        <f>COUNTIF($AY$2:$AY$29,"&gt;"&amp;AY13)+1</f>
        <v/>
      </c>
      <c r="B13" s="5" t="inlineStr">
        <is>
          <t>AMPL</t>
        </is>
      </c>
      <c r="C13" s="2" t="inlineStr">
        <is>
          <t>Amplitude Inc. Class A</t>
        </is>
      </c>
      <c r="D13" s="2" t="inlineStr">
        <is>
          <t>NASDAQ</t>
        </is>
      </c>
      <c r="E13" s="2" t="inlineStr">
        <is>
          <t>科技</t>
        </is>
      </c>
      <c r="F13" s="2" t="inlineStr">
        <is>
          <t>Computer Software: Prepackaged Software</t>
        </is>
      </c>
      <c r="G13" s="6" t="n">
        <v>1.718</v>
      </c>
      <c r="H13" s="2" t="inlineStr">
        <is>
          <t>小型</t>
        </is>
      </c>
      <c r="I13" s="7" t="n">
        <v>13.755</v>
      </c>
      <c r="J13" s="7" t="n">
        <v>13.14</v>
      </c>
      <c r="K13" s="8">
        <f>I13/J13-1</f>
        <v/>
      </c>
      <c r="L13" s="7" t="n">
        <v>13.775</v>
      </c>
      <c r="M13" s="7" t="n">
        <v>12.842</v>
      </c>
      <c r="N13" s="7" t="n">
        <v>13.35575</v>
      </c>
      <c r="O13" s="8">
        <f>I13/N13-1</f>
        <v/>
      </c>
      <c r="P13" s="7" t="n">
        <v>11.7929</v>
      </c>
      <c r="Q13" s="9">
        <f>I13/P13-1</f>
        <v/>
      </c>
      <c r="R13" s="7" t="n">
        <v>13.25449999999998</v>
      </c>
      <c r="S13" s="8">
        <f>N13/R13-1</f>
        <v/>
      </c>
      <c r="T13" s="7" t="n">
        <v>14.3</v>
      </c>
      <c r="U13" s="2" t="inlineStr">
        <is>
          <t>2026-08-28</t>
        </is>
      </c>
      <c r="V13" s="10" t="n">
        <v>17</v>
      </c>
      <c r="W13" s="9">
        <f>I13/T13-1</f>
        <v/>
      </c>
      <c r="X13" s="11" t="n">
        <v>0.2046948356807512</v>
      </c>
      <c r="Y13" s="2" t="inlineStr">
        <is>
          <t>2026-08-19</t>
        </is>
      </c>
      <c r="Z13" s="12" t="n">
        <v>-0.03846657806562714</v>
      </c>
      <c r="AA13" s="2" t="inlineStr">
        <is>
          <t>2026-06-22</t>
        </is>
      </c>
      <c r="AB13" s="13" t="n">
        <v>1.213622291021672</v>
      </c>
      <c r="AC13" s="11" t="n">
        <v>0.04600760456273778</v>
      </c>
      <c r="AD13" s="11" t="n">
        <v>0.6981481481481484</v>
      </c>
      <c r="AE13" s="11" t="n">
        <v>1.013909224011713</v>
      </c>
      <c r="AF13" s="11" t="n">
        <v>1.037777777777778</v>
      </c>
      <c r="AG13" s="11" t="n">
        <v>0.8622061482820976</v>
      </c>
      <c r="AH13" s="11" t="n">
        <v>0.9869801084990958</v>
      </c>
      <c r="AI13" s="11" t="n">
        <v>0.9916817359855334</v>
      </c>
      <c r="AJ13" s="11" t="n">
        <v>0.9548789435069699</v>
      </c>
      <c r="AK13" s="2" t="inlineStr">
        <is>
          <t>2個月、3個月、6個月</t>
        </is>
      </c>
      <c r="AL13" s="14">
        <f>(AG13&gt;=0.9)*(AC13&gt;0)+(AH13&gt;=0.9)*(AD13&gt;0)+(AI13&gt;=0.9)*(AE13&gt;0)+IF(AJ13="",0,(AJ13&gt;=0.9)*(AF13&gt;0))</f>
        <v/>
      </c>
      <c r="AM13" s="6" t="n">
        <v>0.7151941192006338</v>
      </c>
      <c r="AN13" s="6" t="n">
        <v>0.9664490663427964</v>
      </c>
      <c r="AO13" s="11" t="n">
        <v>0.04703744093057071</v>
      </c>
      <c r="AP13" s="15">
        <f>MAX(0,MIN(1,(AM13-1.2)/(0.6-1.2)))</f>
        <v/>
      </c>
      <c r="AQ13" s="15">
        <f>MAX(0,MIN(1,(ABS(O13)-0.03)/(0-0.03)))</f>
        <v/>
      </c>
      <c r="AR13" s="15">
        <f>MAX(0,MIN(1,S13/0.03))</f>
        <v/>
      </c>
      <c r="AS13" s="15">
        <f>MAX(0,MIN(1,(-W13-0.3)/(0.15-0.3)))</f>
        <v/>
      </c>
      <c r="AT13" s="15">
        <f>0.5*IF(L13&gt;M13,(I13-M13)/(L13-M13),0.5)+0.5*(I13&gt;=N13)</f>
        <v/>
      </c>
      <c r="AU13" s="15">
        <f>MAX(0,MIN(1,(AN13-1.3)/(0.7-1.3)))</f>
        <v/>
      </c>
      <c r="AV13" s="16">
        <f>100*(0.2*AG13+0.2*AH13+0.3*AI13+IF(AJ13="",0,0.3*AJ13))/(0.7+IF(AJ13="",0,0.3))</f>
        <v/>
      </c>
      <c r="AW13" s="16">
        <f>100*(0.25*AP13+0.2*AQ13+0.15*AR13+0.15*AS13+0.15*AT13+0.1*AU13)</f>
        <v/>
      </c>
      <c r="AX13" s="17">
        <f>0.5*AV13+0.5*AW13</f>
        <v/>
      </c>
      <c r="AY13" s="17">
        <f>0.4*AV13+0.4*AW13+0.2*(AL13/4*100)</f>
        <v/>
      </c>
      <c r="AZ13" s="2" t="inlineStr"/>
      <c r="BA13" s="2" t="inlineStr">
        <is>
          <t>16/18</t>
        </is>
      </c>
      <c r="BB13" s="3" t="inlineStr"/>
      <c r="BC13" s="18" t="n">
        <v>0</v>
      </c>
    </row>
    <row r="14">
      <c r="A14" s="2">
        <f>COUNTIF($AY$2:$AY$29,"&gt;"&amp;AY14)+1</f>
        <v/>
      </c>
      <c r="B14" s="19" t="inlineStr">
        <is>
          <t>DHX</t>
        </is>
      </c>
      <c r="C14" s="2" t="inlineStr">
        <is>
          <t>DHI Group Inc.</t>
        </is>
      </c>
      <c r="D14" s="2" t="inlineStr">
        <is>
          <t>NYSE</t>
        </is>
      </c>
      <c r="E14" s="2" t="inlineStr">
        <is>
          <t>非必需消費</t>
        </is>
      </c>
      <c r="F14" s="2" t="inlineStr">
        <is>
          <t>Business Services</t>
        </is>
      </c>
      <c r="G14" s="6" t="n">
        <v>0.2</v>
      </c>
      <c r="H14" s="2" t="inlineStr">
        <is>
          <t>小型</t>
        </is>
      </c>
      <c r="I14" s="7" t="n">
        <v>4.6</v>
      </c>
      <c r="J14" s="7" t="n">
        <v>4.71</v>
      </c>
      <c r="K14" s="8">
        <f>I14/J14-1</f>
        <v/>
      </c>
      <c r="L14" s="7" t="n">
        <v>4.72</v>
      </c>
      <c r="M14" s="7" t="n">
        <v>4.56</v>
      </c>
      <c r="N14" s="7" t="n">
        <v>4.574499999999998</v>
      </c>
      <c r="O14" s="8">
        <f>I14/N14-1</f>
        <v/>
      </c>
      <c r="P14" s="7" t="n">
        <v>4.262799999999999</v>
      </c>
      <c r="Q14" s="9">
        <f>I14/P14-1</f>
        <v/>
      </c>
      <c r="R14" s="7" t="n">
        <v>4.433999999999997</v>
      </c>
      <c r="S14" s="8">
        <f>N14/R14-1</f>
        <v/>
      </c>
      <c r="T14" s="7" t="n">
        <v>4.99</v>
      </c>
      <c r="U14" s="2" t="inlineStr">
        <is>
          <t>2026-09-17</t>
        </is>
      </c>
      <c r="V14" s="10" t="n">
        <v>4</v>
      </c>
      <c r="W14" s="9">
        <f>I14/T14-1</f>
        <v/>
      </c>
      <c r="X14" s="11" t="n">
        <v>0.1183417691009885</v>
      </c>
      <c r="Y14" s="2" t="inlineStr">
        <is>
          <t>2026-09-02</t>
        </is>
      </c>
      <c r="Z14" s="12" t="n">
        <v>-0.003169745327357809</v>
      </c>
      <c r="AA14" s="2" t="inlineStr">
        <is>
          <t>2026-06-25</t>
        </is>
      </c>
      <c r="AB14" s="13" t="n">
        <v>0.4096045197740112</v>
      </c>
      <c r="AC14" s="11" t="n">
        <v>0.09004739336492884</v>
      </c>
      <c r="AD14" s="11" t="n">
        <v>0.1948051948051948</v>
      </c>
      <c r="AE14" s="11" t="n">
        <v>0.256830601092896</v>
      </c>
      <c r="AF14" s="11" t="n">
        <v>0.7037037037037035</v>
      </c>
      <c r="AG14" s="11" t="n">
        <v>0.915370705244123</v>
      </c>
      <c r="AH14" s="11" t="n">
        <v>0.8759493670886076</v>
      </c>
      <c r="AI14" s="11" t="n">
        <v>0.8886075949367088</v>
      </c>
      <c r="AJ14" s="11" t="n">
        <v>0.9159941305942774</v>
      </c>
      <c r="AK14" s="2" t="inlineStr">
        <is>
          <t>1個月、6個月</t>
        </is>
      </c>
      <c r="AL14" s="14">
        <f>(AG14&gt;=0.9)*(AC14&gt;0)+(AH14&gt;=0.9)*(AD14&gt;0)+(AI14&gt;=0.9)*(AE14&gt;0)+IF(AJ14="",0,(AJ14&gt;=0.9)*(AF14&gt;0))</f>
        <v/>
      </c>
      <c r="AM14" s="6" t="n">
        <v>1.068417368114009</v>
      </c>
      <c r="AN14" s="6" t="n">
        <v>0.665447897623401</v>
      </c>
      <c r="AO14" s="11" t="n">
        <v>0.05481366459627331</v>
      </c>
      <c r="AP14" s="15">
        <f>MAX(0,MIN(1,(AM14-1.2)/(0.6-1.2)))</f>
        <v/>
      </c>
      <c r="AQ14" s="15">
        <f>MAX(0,MIN(1,(ABS(O14)-0.03)/(0-0.03)))</f>
        <v/>
      </c>
      <c r="AR14" s="15">
        <f>MAX(0,MIN(1,S14/0.03))</f>
        <v/>
      </c>
      <c r="AS14" s="15">
        <f>MAX(0,MIN(1,(-W14-0.3)/(0.15-0.3)))</f>
        <v/>
      </c>
      <c r="AT14" s="15">
        <f>0.5*IF(L14&gt;M14,(I14-M14)/(L14-M14),0.5)+0.5*(I14&gt;=N14)</f>
        <v/>
      </c>
      <c r="AU14" s="15">
        <f>MAX(0,MIN(1,(AN14-1.3)/(0.7-1.3)))</f>
        <v/>
      </c>
      <c r="AV14" s="16">
        <f>100*(0.2*AG14+0.2*AH14+0.3*AI14+IF(AJ14="",0,0.3*AJ14))/(0.7+IF(AJ14="",0,0.3))</f>
        <v/>
      </c>
      <c r="AW14" s="16">
        <f>100*(0.25*AP14+0.2*AQ14+0.15*AR14+0.15*AS14+0.15*AT14+0.1*AU14)</f>
        <v/>
      </c>
      <c r="AX14" s="17">
        <f>0.5*AV14+0.5*AW14</f>
        <v/>
      </c>
      <c r="AY14" s="17">
        <f>0.4*AV14+0.4*AW14+0.2*(AL14/4*100)</f>
        <v/>
      </c>
      <c r="AZ14" s="2" t="inlineStr"/>
      <c r="BA14" s="2" t="inlineStr">
        <is>
          <t>17/18</t>
        </is>
      </c>
      <c r="BB14" s="20" t="inlineStr">
        <is>
          <t>20 日成交額中位數只有 $1.3M（股票池下限 $1M），入市出市都會有滑價</t>
        </is>
      </c>
      <c r="BC14" s="18" t="n">
        <v>0</v>
      </c>
    </row>
    <row r="15">
      <c r="A15" s="2">
        <f>COUNTIF($AY$2:$AY$29,"&gt;"&amp;AY15)+1</f>
        <v/>
      </c>
      <c r="B15" s="5" t="inlineStr">
        <is>
          <t>ZETA</t>
        </is>
      </c>
      <c r="C15" s="2" t="inlineStr">
        <is>
          <t>Zeta Global Holdings Corp. Class A</t>
        </is>
      </c>
      <c r="D15" s="2" t="inlineStr">
        <is>
          <t>NYSE</t>
        </is>
      </c>
      <c r="E15" s="2" t="inlineStr">
        <is>
          <t>科技</t>
        </is>
      </c>
      <c r="F15" s="2" t="inlineStr">
        <is>
          <t>Computer Software: Prepackaged Software</t>
        </is>
      </c>
      <c r="G15" s="6" t="n">
        <v>7.478</v>
      </c>
      <c r="H15" s="2" t="inlineStr">
        <is>
          <t>中型</t>
        </is>
      </c>
      <c r="I15" s="7" t="n">
        <v>29.79</v>
      </c>
      <c r="J15" s="7" t="n">
        <v>30.13</v>
      </c>
      <c r="K15" s="8">
        <f>I15/J15-1</f>
        <v/>
      </c>
      <c r="L15" s="7" t="n">
        <v>30.875</v>
      </c>
      <c r="M15" s="7" t="n">
        <v>29.76</v>
      </c>
      <c r="N15" s="7" t="n">
        <v>30.62549999999997</v>
      </c>
      <c r="O15" s="8">
        <f>I15/N15-1</f>
        <v/>
      </c>
      <c r="P15" s="7" t="n">
        <v>27.12039999999998</v>
      </c>
      <c r="Q15" s="9">
        <f>I15/P15-1</f>
        <v/>
      </c>
      <c r="R15" s="7" t="n">
        <v>30.14499999999996</v>
      </c>
      <c r="S15" s="8">
        <f>N15/R15-1</f>
        <v/>
      </c>
      <c r="T15" s="7" t="n">
        <v>32.68</v>
      </c>
      <c r="U15" s="2" t="inlineStr">
        <is>
          <t>2026-09-03</t>
        </is>
      </c>
      <c r="V15" s="10" t="n">
        <v>13</v>
      </c>
      <c r="W15" s="9">
        <f>I15/T15-1</f>
        <v/>
      </c>
      <c r="X15" s="11" t="n">
        <v>0.1469205640984783</v>
      </c>
      <c r="Y15" s="2" t="inlineStr">
        <is>
          <t>2026-08-19</t>
        </is>
      </c>
      <c r="Z15" s="12" t="n">
        <v>-0.03288568621028409</v>
      </c>
      <c r="AA15" s="2" t="inlineStr">
        <is>
          <t>2026-06-25</t>
        </is>
      </c>
      <c r="AB15" s="13" t="n">
        <v>0.8277404921700224</v>
      </c>
      <c r="AC15" s="11" t="n">
        <v>0.04636459430979989</v>
      </c>
      <c r="AD15" s="11" t="n">
        <v>0.5572399372713017</v>
      </c>
      <c r="AE15" s="11" t="n">
        <v>0.5812101910828025</v>
      </c>
      <c r="AF15" s="11" t="n">
        <v>0.8445820433436533</v>
      </c>
      <c r="AG15" s="11" t="n">
        <v>0.8625678119349005</v>
      </c>
      <c r="AH15" s="11" t="n">
        <v>0.976491862567812</v>
      </c>
      <c r="AI15" s="11" t="n">
        <v>0.9681735985533454</v>
      </c>
      <c r="AJ15" s="11" t="n">
        <v>0.933969185619956</v>
      </c>
      <c r="AK15" s="2" t="inlineStr">
        <is>
          <t>2個月、3個月、6個月</t>
        </is>
      </c>
      <c r="AL15" s="14">
        <f>(AG15&gt;=0.9)*(AC15&gt;0)+(AH15&gt;=0.9)*(AD15&gt;0)+(AI15&gt;=0.9)*(AE15&gt;0)+IF(AJ15="",0,(AJ15&gt;=0.9)*(AF15&gt;0))</f>
        <v/>
      </c>
      <c r="AM15" s="6" t="n">
        <v>0.6436999172169847</v>
      </c>
      <c r="AN15" s="6" t="n">
        <v>1.006842553191489</v>
      </c>
      <c r="AO15" s="11" t="n">
        <v>0.04809379945331604</v>
      </c>
      <c r="AP15" s="15">
        <f>MAX(0,MIN(1,(AM15-1.2)/(0.6-1.2)))</f>
        <v/>
      </c>
      <c r="AQ15" s="15">
        <f>MAX(0,MIN(1,(ABS(O15)-0.03)/(0-0.03)))</f>
        <v/>
      </c>
      <c r="AR15" s="15">
        <f>MAX(0,MIN(1,S15/0.03))</f>
        <v/>
      </c>
      <c r="AS15" s="15">
        <f>MAX(0,MIN(1,(-W15-0.3)/(0.15-0.3)))</f>
        <v/>
      </c>
      <c r="AT15" s="15">
        <f>0.5*IF(L15&gt;M15,(I15-M15)/(L15-M15),0.5)+0.5*(I15&gt;=N15)</f>
        <v/>
      </c>
      <c r="AU15" s="15">
        <f>MAX(0,MIN(1,(AN15-1.3)/(0.7-1.3)))</f>
        <v/>
      </c>
      <c r="AV15" s="16">
        <f>100*(0.2*AG15+0.2*AH15+0.3*AI15+IF(AJ15="",0,0.3*AJ15))/(0.7+IF(AJ15="",0,0.3))</f>
        <v/>
      </c>
      <c r="AW15" s="16">
        <f>100*(0.25*AP15+0.2*AQ15+0.15*AR15+0.15*AS15+0.15*AT15+0.1*AU15)</f>
        <v/>
      </c>
      <c r="AX15" s="17">
        <f>0.5*AV15+0.5*AW15</f>
        <v/>
      </c>
      <c r="AY15" s="17">
        <f>0.4*AV15+0.4*AW15+0.2*(AL15/4*100)</f>
        <v/>
      </c>
      <c r="AZ15" s="2" t="inlineStr"/>
      <c r="BA15" s="2" t="inlineStr">
        <is>
          <t>17/18</t>
        </is>
      </c>
      <c r="BB15" s="3" t="inlineStr"/>
      <c r="BC15" s="18" t="n">
        <v>0</v>
      </c>
    </row>
    <row r="16">
      <c r="A16" s="2">
        <f>COUNTIF($AY$2:$AY$29,"&gt;"&amp;AY16)+1</f>
        <v/>
      </c>
      <c r="B16" s="19" t="inlineStr">
        <is>
          <t>DINO</t>
        </is>
      </c>
      <c r="C16" s="2" t="inlineStr">
        <is>
          <t>HF Sinclair Corporation</t>
        </is>
      </c>
      <c r="D16" s="2" t="inlineStr">
        <is>
          <t>NYSE</t>
        </is>
      </c>
      <c r="E16" s="2" t="inlineStr">
        <is>
          <t>能源</t>
        </is>
      </c>
      <c r="F16" s="2" t="inlineStr">
        <is>
          <t>Natural Gas Distribution</t>
        </is>
      </c>
      <c r="G16" s="6" t="n">
        <v>18.87</v>
      </c>
      <c r="H16" s="2" t="inlineStr">
        <is>
          <t>大型</t>
        </is>
      </c>
      <c r="I16" s="7" t="n">
        <v>106.14</v>
      </c>
      <c r="J16" s="7" t="n">
        <v>106.69</v>
      </c>
      <c r="K16" s="8">
        <f>I16/J16-1</f>
        <v/>
      </c>
      <c r="L16" s="7" t="n">
        <v>110.84</v>
      </c>
      <c r="M16" s="7" t="n">
        <v>103</v>
      </c>
      <c r="N16" s="7" t="n">
        <v>106.8104999999999</v>
      </c>
      <c r="O16" s="8">
        <f>I16/N16-1</f>
        <v/>
      </c>
      <c r="P16" s="7" t="n">
        <v>96.64259999999994</v>
      </c>
      <c r="Q16" s="9">
        <f>I16/P16-1</f>
        <v/>
      </c>
      <c r="R16" s="7" t="n">
        <v>102.7324999999998</v>
      </c>
      <c r="S16" s="8">
        <f>N16/R16-1</f>
        <v/>
      </c>
      <c r="T16" s="7" t="n">
        <v>116.62</v>
      </c>
      <c r="U16" s="2" t="inlineStr">
        <is>
          <t>2026-09-17</t>
        </is>
      </c>
      <c r="V16" s="10" t="n">
        <v>4</v>
      </c>
      <c r="W16" s="9">
        <f>I16/T16-1</f>
        <v/>
      </c>
      <c r="X16" s="11" t="n">
        <v>0.1299748030321599</v>
      </c>
      <c r="Y16" s="2" t="inlineStr">
        <is>
          <t>2026-09-02</t>
        </is>
      </c>
      <c r="Z16" s="12" t="n">
        <v>-0.03567533154511837</v>
      </c>
      <c r="AA16" s="2" t="inlineStr">
        <is>
          <t>2026-06-18</t>
        </is>
      </c>
      <c r="AB16" s="13" t="n">
        <v>0.808062015503876</v>
      </c>
      <c r="AC16" s="11" t="n">
        <v>0.1151502416474048</v>
      </c>
      <c r="AD16" s="11" t="n">
        <v>0.2020385050962628</v>
      </c>
      <c r="AE16" s="11" t="n">
        <v>0.6140510948905109</v>
      </c>
      <c r="AF16" s="11" t="n">
        <v>0.7275390625</v>
      </c>
      <c r="AG16" s="11" t="n">
        <v>0.9327305605786619</v>
      </c>
      <c r="AH16" s="11" t="n">
        <v>0.8784810126582279</v>
      </c>
      <c r="AI16" s="11" t="n">
        <v>0.9717902350813743</v>
      </c>
      <c r="AJ16" s="11" t="n">
        <v>0.9196625091709465</v>
      </c>
      <c r="AK16" s="2" t="inlineStr">
        <is>
          <t>1個月、3個月、6個月</t>
        </is>
      </c>
      <c r="AL16" s="14">
        <f>(AG16&gt;=0.9)*(AC16&gt;0)+(AH16&gt;=0.9)*(AD16&gt;0)+(AI16&gt;=0.9)*(AE16&gt;0)+IF(AJ16="",0,(AJ16&gt;=0.9)*(AF16&gt;0))</f>
        <v/>
      </c>
      <c r="AM16" s="6" t="n">
        <v>1.96621042777415</v>
      </c>
      <c r="AN16" s="6" t="n">
        <v>1.223653643083422</v>
      </c>
      <c r="AO16" s="11" t="n">
        <v>0.04681821852539773</v>
      </c>
      <c r="AP16" s="15">
        <f>MAX(0,MIN(1,(AM16-1.2)/(0.6-1.2)))</f>
        <v/>
      </c>
      <c r="AQ16" s="15">
        <f>MAX(0,MIN(1,(ABS(O16)-0.03)/(0-0.03)))</f>
        <v/>
      </c>
      <c r="AR16" s="15">
        <f>MAX(0,MIN(1,S16/0.03))</f>
        <v/>
      </c>
      <c r="AS16" s="15">
        <f>MAX(0,MIN(1,(-W16-0.3)/(0.15-0.3)))</f>
        <v/>
      </c>
      <c r="AT16" s="15">
        <f>0.5*IF(L16&gt;M16,(I16-M16)/(L16-M16),0.5)+0.5*(I16&gt;=N16)</f>
        <v/>
      </c>
      <c r="AU16" s="15">
        <f>MAX(0,MIN(1,(AN16-1.3)/(0.7-1.3)))</f>
        <v/>
      </c>
      <c r="AV16" s="16">
        <f>100*(0.2*AG16+0.2*AH16+0.3*AI16+IF(AJ16="",0,0.3*AJ16))/(0.7+IF(AJ16="",0,0.3))</f>
        <v/>
      </c>
      <c r="AW16" s="16">
        <f>100*(0.25*AP16+0.2*AQ16+0.15*AR16+0.15*AS16+0.15*AT16+0.1*AU16)</f>
        <v/>
      </c>
      <c r="AX16" s="17">
        <f>0.5*AV16+0.5*AW16</f>
        <v/>
      </c>
      <c r="AY16" s="17">
        <f>0.4*AV16+0.4*AW16+0.2*(AL16/4*100)</f>
        <v/>
      </c>
      <c r="AZ16" s="2" t="inlineStr"/>
      <c r="BA16" s="2" t="inlineStr">
        <is>
          <t>18/18</t>
        </is>
      </c>
      <c r="BB16" s="20" t="inlineStr">
        <is>
          <t>今日放量（1.7×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BC16" s="18" t="n">
        <v>0</v>
      </c>
    </row>
    <row r="17">
      <c r="A17" s="2">
        <f>COUNTIF($AY$2:$AY$29,"&gt;"&amp;AY17)+1</f>
        <v/>
      </c>
      <c r="B17" s="5" t="inlineStr">
        <is>
          <t>MGNI</t>
        </is>
      </c>
      <c r="C17" s="2" t="inlineStr">
        <is>
          <t>Magnite Inc.</t>
        </is>
      </c>
      <c r="D17" s="2" t="inlineStr">
        <is>
          <t>NASDAQ</t>
        </is>
      </c>
      <c r="E17" s="2" t="inlineStr">
        <is>
          <t>科技</t>
        </is>
      </c>
      <c r="F17" s="2" t="inlineStr">
        <is>
          <t>Computer Software: Programming Data Processing</t>
        </is>
      </c>
      <c r="G17" s="6" t="n">
        <v>3.451</v>
      </c>
      <c r="H17" s="2" t="inlineStr">
        <is>
          <t>中型</t>
        </is>
      </c>
      <c r="I17" s="7" t="n">
        <v>24.06</v>
      </c>
      <c r="J17" s="7" t="n">
        <v>24.8</v>
      </c>
      <c r="K17" s="8">
        <f>I17/J17-1</f>
        <v/>
      </c>
      <c r="L17" s="7" t="n">
        <v>24.71</v>
      </c>
      <c r="M17" s="7" t="n">
        <v>23.87</v>
      </c>
      <c r="N17" s="7" t="n">
        <v>24.06750000000002</v>
      </c>
      <c r="O17" s="8">
        <f>I17/N17-1</f>
        <v/>
      </c>
      <c r="P17" s="7" t="n">
        <v>22.59920000000003</v>
      </c>
      <c r="Q17" s="9">
        <f>I17/P17-1</f>
        <v/>
      </c>
      <c r="R17" s="7" t="n">
        <v>23.72749999999998</v>
      </c>
      <c r="S17" s="8">
        <f>N17/R17-1</f>
        <v/>
      </c>
      <c r="T17" s="7" t="n">
        <v>25.63</v>
      </c>
      <c r="U17" s="2" t="inlineStr">
        <is>
          <t>2026-09-17</t>
        </is>
      </c>
      <c r="V17" s="10" t="n">
        <v>4</v>
      </c>
      <c r="W17" s="9">
        <f>I17/T17-1</f>
        <v/>
      </c>
      <c r="X17" s="11" t="n">
        <v>0.08777450913319829</v>
      </c>
      <c r="Y17" s="2" t="inlineStr">
        <is>
          <t>2026-08-19</t>
        </is>
      </c>
      <c r="Z17" s="12" t="n">
        <v>-0.00820608704684811</v>
      </c>
      <c r="AA17" s="2" t="inlineStr">
        <is>
          <t>2026-06-25</t>
        </is>
      </c>
      <c r="AB17" s="13" t="n">
        <v>0.4797921478060045</v>
      </c>
      <c r="AC17" s="11" t="n">
        <v>0.02122241086587429</v>
      </c>
      <c r="AD17" s="11" t="n">
        <v>0.2998379254457049</v>
      </c>
      <c r="AE17" s="11" t="n">
        <v>0.3154729360306179</v>
      </c>
      <c r="AF17" s="11" t="n">
        <v>1</v>
      </c>
      <c r="AG17" s="11" t="n">
        <v>0.8220614828209765</v>
      </c>
      <c r="AH17" s="11" t="n">
        <v>0.9236889692585896</v>
      </c>
      <c r="AI17" s="11" t="n">
        <v>0.9139240506329114</v>
      </c>
      <c r="AJ17" s="11" t="n">
        <v>0.950476889214967</v>
      </c>
      <c r="AK17" s="2" t="inlineStr">
        <is>
          <t>2個月、3個月、6個月</t>
        </is>
      </c>
      <c r="AL17" s="14">
        <f>(AG17&gt;=0.9)*(AC17&gt;0)+(AH17&gt;=0.9)*(AD17&gt;0)+(AI17&gt;=0.9)*(AE17&gt;0)+IF(AJ17="",0,(AJ17&gt;=0.9)*(AF17&gt;0))</f>
        <v/>
      </c>
      <c r="AM17" s="6" t="n">
        <v>1.054642350827133</v>
      </c>
      <c r="AN17" s="6" t="n">
        <v>1.270750988142293</v>
      </c>
      <c r="AO17" s="11" t="n">
        <v>0.03992993706210663</v>
      </c>
      <c r="AP17" s="15">
        <f>MAX(0,MIN(1,(AM17-1.2)/(0.6-1.2)))</f>
        <v/>
      </c>
      <c r="AQ17" s="15">
        <f>MAX(0,MIN(1,(ABS(O17)-0.03)/(0-0.03)))</f>
        <v/>
      </c>
      <c r="AR17" s="15">
        <f>MAX(0,MIN(1,S17/0.03))</f>
        <v/>
      </c>
      <c r="AS17" s="15">
        <f>MAX(0,MIN(1,(-W17-0.3)/(0.15-0.3)))</f>
        <v/>
      </c>
      <c r="AT17" s="15">
        <f>0.5*IF(L17&gt;M17,(I17-M17)/(L17-M17),0.5)+0.5*(I17&gt;=N17)</f>
        <v/>
      </c>
      <c r="AU17" s="15">
        <f>MAX(0,MIN(1,(AN17-1.3)/(0.7-1.3)))</f>
        <v/>
      </c>
      <c r="AV17" s="16">
        <f>100*(0.2*AG17+0.2*AH17+0.3*AI17+IF(AJ17="",0,0.3*AJ17))/(0.7+IF(AJ17="",0,0.3))</f>
        <v/>
      </c>
      <c r="AW17" s="16">
        <f>100*(0.25*AP17+0.2*AQ17+0.15*AR17+0.15*AS17+0.15*AT17+0.1*AU17)</f>
        <v/>
      </c>
      <c r="AX17" s="17">
        <f>0.5*AV17+0.5*AW17</f>
        <v/>
      </c>
      <c r="AY17" s="17">
        <f>0.4*AV17+0.4*AW17+0.2*(AL17/4*100)</f>
        <v/>
      </c>
      <c r="AZ17" s="2" t="inlineStr"/>
      <c r="BA17" s="2" t="inlineStr">
        <is>
          <t>17/18</t>
        </is>
      </c>
      <c r="BB17" s="3" t="inlineStr"/>
      <c r="BC17" s="18" t="n">
        <v>0</v>
      </c>
    </row>
    <row r="18">
      <c r="A18" s="2">
        <f>COUNTIF($AY$2:$AY$29,"&gt;"&amp;AY18)+1</f>
        <v/>
      </c>
      <c r="B18" s="19" t="inlineStr">
        <is>
          <t>VLO</t>
        </is>
      </c>
      <c r="C18" s="2" t="inlineStr">
        <is>
          <t>Valero Energy Corporation</t>
        </is>
      </c>
      <c r="D18" s="2" t="inlineStr">
        <is>
          <t>NYSE</t>
        </is>
      </c>
      <c r="E18" s="2" t="inlineStr">
        <is>
          <t>能源</t>
        </is>
      </c>
      <c r="F18" s="2" t="inlineStr">
        <is>
          <t>Integrated oil Companies</t>
        </is>
      </c>
      <c r="G18" s="6" t="n">
        <v>108.215</v>
      </c>
      <c r="H18" s="2" t="inlineStr">
        <is>
          <t>大型</t>
        </is>
      </c>
      <c r="I18" s="7" t="n">
        <v>375.84</v>
      </c>
      <c r="J18" s="7" t="n">
        <v>377.14</v>
      </c>
      <c r="K18" s="8">
        <f>I18/J18-1</f>
        <v/>
      </c>
      <c r="L18" s="7" t="n">
        <v>388.01</v>
      </c>
      <c r="M18" s="7" t="n">
        <v>364.96</v>
      </c>
      <c r="N18" s="7" t="n">
        <v>378.9184999999987</v>
      </c>
      <c r="O18" s="8">
        <f>I18/N18-1</f>
        <v/>
      </c>
      <c r="P18" s="7" t="n">
        <v>343.0275999999995</v>
      </c>
      <c r="Q18" s="9">
        <f>I18/P18-1</f>
        <v/>
      </c>
      <c r="R18" s="7" t="n">
        <v>366.4674999999996</v>
      </c>
      <c r="S18" s="8">
        <f>N18/R18-1</f>
        <v/>
      </c>
      <c r="T18" s="7" t="n">
        <v>413.28</v>
      </c>
      <c r="U18" s="2" t="inlineStr">
        <is>
          <t>2026-09-18</t>
        </is>
      </c>
      <c r="V18" s="10" t="n">
        <v>3</v>
      </c>
      <c r="W18" s="9">
        <f>I18/T18-1</f>
        <v/>
      </c>
      <c r="X18" s="11" t="n">
        <v>0.1156062642483</v>
      </c>
      <c r="Y18" s="2" t="inlineStr">
        <is>
          <t>2026-09-17</t>
        </is>
      </c>
      <c r="Z18" s="12" t="n">
        <v>-0.03683773687481284</v>
      </c>
      <c r="AA18" s="2" t="inlineStr">
        <is>
          <t>2026-06-18</t>
        </is>
      </c>
      <c r="AB18" s="13" t="n">
        <v>0.7489631823952601</v>
      </c>
      <c r="AC18" s="11" t="n">
        <v>0.086242774566474</v>
      </c>
      <c r="AD18" s="11" t="n">
        <v>0.2424462809917354</v>
      </c>
      <c r="AE18" s="11" t="n">
        <v>0.5503031802994678</v>
      </c>
      <c r="AF18" s="11" t="n">
        <v>0.5546639089968974</v>
      </c>
      <c r="AG18" s="11" t="n">
        <v>0.9110307414104882</v>
      </c>
      <c r="AH18" s="11" t="n">
        <v>0.9009041591320073</v>
      </c>
      <c r="AI18" s="11" t="n">
        <v>0.9605786618444846</v>
      </c>
      <c r="AJ18" s="11" t="n">
        <v>0.8840792369772561</v>
      </c>
      <c r="AK18" s="2" t="inlineStr">
        <is>
          <t>1個月、2個月、3個月</t>
        </is>
      </c>
      <c r="AL18" s="14">
        <f>(AG18&gt;=0.9)*(AC18&gt;0)+(AH18&gt;=0.9)*(AD18&gt;0)+(AI18&gt;=0.9)*(AE18&gt;0)+IF(AJ18="",0,(AJ18&gt;=0.9)*(AF18&gt;0))</f>
        <v/>
      </c>
      <c r="AM18" s="6" t="n">
        <v>1.956858511929497</v>
      </c>
      <c r="AN18" s="6" t="n">
        <v>1.290680929849826</v>
      </c>
      <c r="AO18" s="11" t="n">
        <v>0.0433866234871982</v>
      </c>
      <c r="AP18" s="15">
        <f>MAX(0,MIN(1,(AM18-1.2)/(0.6-1.2)))</f>
        <v/>
      </c>
      <c r="AQ18" s="15">
        <f>MAX(0,MIN(1,(ABS(O18)-0.03)/(0-0.03)))</f>
        <v/>
      </c>
      <c r="AR18" s="15">
        <f>MAX(0,MIN(1,S18/0.03))</f>
        <v/>
      </c>
      <c r="AS18" s="15">
        <f>MAX(0,MIN(1,(-W18-0.3)/(0.15-0.3)))</f>
        <v/>
      </c>
      <c r="AT18" s="15">
        <f>0.5*IF(L18&gt;M18,(I18-M18)/(L18-M18),0.5)+0.5*(I18&gt;=N18)</f>
        <v/>
      </c>
      <c r="AU18" s="15">
        <f>MAX(0,MIN(1,(AN18-1.3)/(0.7-1.3)))</f>
        <v/>
      </c>
      <c r="AV18" s="16">
        <f>100*(0.2*AG18+0.2*AH18+0.3*AI18+IF(AJ18="",0,0.3*AJ18))/(0.7+IF(AJ18="",0,0.3))</f>
        <v/>
      </c>
      <c r="AW18" s="16">
        <f>100*(0.25*AP18+0.2*AQ18+0.15*AR18+0.15*AS18+0.15*AT18+0.1*AU18)</f>
        <v/>
      </c>
      <c r="AX18" s="17">
        <f>0.5*AV18+0.5*AW18</f>
        <v/>
      </c>
      <c r="AY18" s="17">
        <f>0.4*AV18+0.4*AW18+0.2*(AL18/4*100)</f>
        <v/>
      </c>
      <c r="AZ18" s="2" t="inlineStr"/>
      <c r="BA18" s="2" t="inlineStr">
        <is>
          <t>18/18</t>
        </is>
      </c>
      <c r="BB18" s="20" t="inlineStr">
        <is>
          <t>今日放量（2.3×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BC18" s="18" t="n">
        <v>0</v>
      </c>
    </row>
    <row r="19">
      <c r="A19" s="2">
        <f>COUNTIF($AY$2:$AY$29,"&gt;"&amp;AY19)+1</f>
        <v/>
      </c>
      <c r="B19" s="19" t="inlineStr">
        <is>
          <t>SABR</t>
        </is>
      </c>
      <c r="C19" s="2" t="inlineStr">
        <is>
          <t>Sabre Corporation</t>
        </is>
      </c>
      <c r="D19" s="2" t="inlineStr">
        <is>
          <t>NASDAQ</t>
        </is>
      </c>
      <c r="E19" s="2" t="inlineStr">
        <is>
          <t>科技</t>
        </is>
      </c>
      <c r="F19" s="2" t="inlineStr">
        <is>
          <t>Computer Software: Programming Data Processing</t>
        </is>
      </c>
      <c r="G19" s="6" t="n">
        <v>0.884</v>
      </c>
      <c r="H19" s="2" t="inlineStr">
        <is>
          <t>小型</t>
        </is>
      </c>
      <c r="I19" s="7" t="n">
        <v>2.19</v>
      </c>
      <c r="J19" s="7" t="n">
        <v>2.27</v>
      </c>
      <c r="K19" s="8">
        <f>I19/J19-1</f>
        <v/>
      </c>
      <c r="L19" s="7" t="n">
        <v>2.25</v>
      </c>
      <c r="M19" s="7" t="n">
        <v>2.16</v>
      </c>
      <c r="N19" s="7" t="n">
        <v>2.181749999999994</v>
      </c>
      <c r="O19" s="8">
        <f>I19/N19-1</f>
        <v/>
      </c>
      <c r="P19" s="7" t="n">
        <v>2.054799999999998</v>
      </c>
      <c r="Q19" s="9">
        <f>I19/P19-1</f>
        <v/>
      </c>
      <c r="R19" s="7" t="n">
        <v>2.153749999999997</v>
      </c>
      <c r="S19" s="8">
        <f>N19/R19-1</f>
        <v/>
      </c>
      <c r="T19" s="7" t="n">
        <v>2.33</v>
      </c>
      <c r="U19" s="2" t="inlineStr">
        <is>
          <t>2026-09-21</t>
        </is>
      </c>
      <c r="V19" s="10" t="n">
        <v>2</v>
      </c>
      <c r="W19" s="9">
        <f>I19/T19-1</f>
        <v/>
      </c>
      <c r="X19" s="11" t="n">
        <v>0.09429851107614007</v>
      </c>
      <c r="Y19" s="2" t="inlineStr">
        <is>
          <t>2026-08-24</t>
        </is>
      </c>
      <c r="Z19" s="12" t="n">
        <v>-0.009969061533170009</v>
      </c>
      <c r="AA19" s="2" t="inlineStr">
        <is>
          <t>2026-07-22</t>
        </is>
      </c>
      <c r="AB19" s="13" t="n">
        <v>0.4036144578313254</v>
      </c>
      <c r="AC19" s="11" t="n">
        <v>-0.03097345132743357</v>
      </c>
      <c r="AD19" s="11" t="n">
        <v>0.3192771084337349</v>
      </c>
      <c r="AE19" s="11" t="n">
        <v>0.1648936170212767</v>
      </c>
      <c r="AF19" s="11" t="n">
        <v>0.5422535211267605</v>
      </c>
      <c r="AG19" s="11" t="n">
        <v>0.6249547920433997</v>
      </c>
      <c r="AH19" s="11" t="n">
        <v>0.9305605786618445</v>
      </c>
      <c r="AI19" s="11" t="n">
        <v>0.8311030741410488</v>
      </c>
      <c r="AJ19" s="11" t="n">
        <v>0.8811445341159208</v>
      </c>
      <c r="AK19" s="2" t="inlineStr">
        <is>
          <t>2個月</t>
        </is>
      </c>
      <c r="AL19" s="14">
        <f>(AG19&gt;=0.9)*(AC19&gt;0)+(AH19&gt;=0.9)*(AD19&gt;0)+(AI19&gt;=0.9)*(AE19&gt;0)+IF(AJ19="",0,(AJ19&gt;=0.9)*(AF19&gt;0))</f>
        <v/>
      </c>
      <c r="AM19" s="6" t="n">
        <v>0.838355120537757</v>
      </c>
      <c r="AN19" s="6" t="n">
        <v>0.8833522083805202</v>
      </c>
      <c r="AO19" s="11" t="n">
        <v>0.06079582517938684</v>
      </c>
      <c r="AP19" s="15">
        <f>MAX(0,MIN(1,(AM19-1.2)/(0.6-1.2)))</f>
        <v/>
      </c>
      <c r="AQ19" s="15">
        <f>MAX(0,MIN(1,(ABS(O19)-0.03)/(0-0.03)))</f>
        <v/>
      </c>
      <c r="AR19" s="15">
        <f>MAX(0,MIN(1,S19/0.03))</f>
        <v/>
      </c>
      <c r="AS19" s="15">
        <f>MAX(0,MIN(1,(-W19-0.3)/(0.15-0.3)))</f>
        <v/>
      </c>
      <c r="AT19" s="15">
        <f>0.5*IF(L19&gt;M19,(I19-M19)/(L19-M19),0.5)+0.5*(I19&gt;=N19)</f>
        <v/>
      </c>
      <c r="AU19" s="15">
        <f>MAX(0,MIN(1,(AN19-1.3)/(0.7-1.3)))</f>
        <v/>
      </c>
      <c r="AV19" s="16">
        <f>100*(0.2*AG19+0.2*AH19+0.3*AI19+IF(AJ19="",0,0.3*AJ19))/(0.7+IF(AJ19="",0,0.3))</f>
        <v/>
      </c>
      <c r="AW19" s="16">
        <f>100*(0.25*AP19+0.2*AQ19+0.15*AR19+0.15*AS19+0.15*AT19+0.1*AU19)</f>
        <v/>
      </c>
      <c r="AX19" s="17">
        <f>0.5*AV19+0.5*AW19</f>
        <v/>
      </c>
      <c r="AY19" s="17">
        <f>0.4*AV19+0.4*AW19+0.2*(AL19/4*100)</f>
        <v/>
      </c>
      <c r="AZ19" s="2" t="inlineStr"/>
      <c r="BA19" s="2" t="inlineStr">
        <is>
          <t>16/18</t>
        </is>
      </c>
      <c r="BB19" s="20" t="inlineStr">
        <is>
          <t>收市 $2.19，貼近股票池 $2 下限；1 個月回報 -3%，靠 2個月 動能上榜</t>
        </is>
      </c>
      <c r="BC19" s="18" t="n">
        <v>0</v>
      </c>
    </row>
    <row r="20">
      <c r="A20" s="2">
        <f>COUNTIF($AY$2:$AY$29,"&gt;"&amp;AY20)+1</f>
        <v/>
      </c>
      <c r="B20" s="5" t="inlineStr">
        <is>
          <t>VIR</t>
        </is>
      </c>
      <c r="C20" s="2" t="inlineStr">
        <is>
          <t>Vir Biotechnology Inc.</t>
        </is>
      </c>
      <c r="D20" s="2" t="inlineStr">
        <is>
          <t>NASDAQ</t>
        </is>
      </c>
      <c r="E20" s="2" t="inlineStr">
        <is>
          <t>醫療保健</t>
        </is>
      </c>
      <c r="F20" s="2" t="inlineStr">
        <is>
          <t>Biotechnology: Biological Products (No Diagnostic Substances)</t>
        </is>
      </c>
      <c r="G20" s="6" t="n">
        <v>1.877</v>
      </c>
      <c r="H20" s="2" t="inlineStr">
        <is>
          <t>小型</t>
        </is>
      </c>
      <c r="I20" s="7" t="n">
        <v>11.09</v>
      </c>
      <c r="J20" s="7" t="n">
        <v>11.5</v>
      </c>
      <c r="K20" s="8">
        <f>I20/J20-1</f>
        <v/>
      </c>
      <c r="L20" s="7" t="n">
        <v>11.53</v>
      </c>
      <c r="M20" s="7" t="n">
        <v>10.85</v>
      </c>
      <c r="N20" s="7" t="n">
        <v>11.0015</v>
      </c>
      <c r="O20" s="8">
        <f>I20/N20-1</f>
        <v/>
      </c>
      <c r="P20" s="7" t="n">
        <v>9.927900000000013</v>
      </c>
      <c r="Q20" s="9">
        <f>I20/P20-1</f>
        <v/>
      </c>
      <c r="R20" s="7" t="n">
        <v>10.721</v>
      </c>
      <c r="S20" s="8">
        <f>N20/R20-1</f>
        <v/>
      </c>
      <c r="T20" s="7" t="n">
        <v>11.63</v>
      </c>
      <c r="U20" s="2" t="inlineStr">
        <is>
          <t>2026-09-01</t>
        </is>
      </c>
      <c r="V20" s="10" t="n">
        <v>15</v>
      </c>
      <c r="W20" s="9">
        <f>I20/T20-1</f>
        <v/>
      </c>
      <c r="X20" s="11" t="n">
        <v>0.1962241201512438</v>
      </c>
      <c r="Y20" s="2" t="inlineStr">
        <is>
          <t>2026-08-27</t>
        </is>
      </c>
      <c r="Z20" s="12" t="n">
        <v>-0.0222874438228019</v>
      </c>
      <c r="AA20" s="2" t="inlineStr">
        <is>
          <t>2026-06-10</t>
        </is>
      </c>
      <c r="AB20" s="13" t="n">
        <v>0.4096969696969699</v>
      </c>
      <c r="AC20" s="11" t="n">
        <v>0.119071644803229</v>
      </c>
      <c r="AD20" s="11" t="n">
        <v>0.2761795166858458</v>
      </c>
      <c r="AE20" s="11" t="n">
        <v>0.1145728643216082</v>
      </c>
      <c r="AF20" s="11" t="n">
        <v>0.294049008168028</v>
      </c>
      <c r="AG20" s="11" t="n">
        <v>0.9363471971066908</v>
      </c>
      <c r="AH20" s="11" t="n">
        <v>0.9171790235081374</v>
      </c>
      <c r="AI20" s="11" t="n">
        <v>0.7714285714285715</v>
      </c>
      <c r="AJ20" s="11" t="n">
        <v>0.768892149669846</v>
      </c>
      <c r="AK20" s="2" t="inlineStr">
        <is>
          <t>1個月、2個月</t>
        </is>
      </c>
      <c r="AL20" s="14">
        <f>(AG20&gt;=0.9)*(AC20&gt;0)+(AH20&gt;=0.9)*(AD20&gt;0)+(AI20&gt;=0.9)*(AE20&gt;0)+IF(AJ20="",0,(AJ20&gt;=0.9)*(AF20&gt;0))</f>
        <v/>
      </c>
      <c r="AM20" s="6" t="n">
        <v>1.273759229295691</v>
      </c>
      <c r="AN20" s="6" t="n">
        <v>1.035749484813189</v>
      </c>
      <c r="AO20" s="11" t="n">
        <v>0.04515007084889862</v>
      </c>
      <c r="AP20" s="15">
        <f>MAX(0,MIN(1,(AM20-1.2)/(0.6-1.2)))</f>
        <v/>
      </c>
      <c r="AQ20" s="15">
        <f>MAX(0,MIN(1,(ABS(O20)-0.03)/(0-0.03)))</f>
        <v/>
      </c>
      <c r="AR20" s="15">
        <f>MAX(0,MIN(1,S20/0.03))</f>
        <v/>
      </c>
      <c r="AS20" s="15">
        <f>MAX(0,MIN(1,(-W20-0.3)/(0.15-0.3)))</f>
        <v/>
      </c>
      <c r="AT20" s="15">
        <f>0.5*IF(L20&gt;M20,(I20-M20)/(L20-M20),0.5)+0.5*(I20&gt;=N20)</f>
        <v/>
      </c>
      <c r="AU20" s="15">
        <f>MAX(0,MIN(1,(AN20-1.3)/(0.7-1.3)))</f>
        <v/>
      </c>
      <c r="AV20" s="16">
        <f>100*(0.2*AG20+0.2*AH20+0.3*AI20+IF(AJ20="",0,0.3*AJ20))/(0.7+IF(AJ20="",0,0.3))</f>
        <v/>
      </c>
      <c r="AW20" s="16">
        <f>100*(0.25*AP20+0.2*AQ20+0.15*AR20+0.15*AS20+0.15*AT20+0.1*AU20)</f>
        <v/>
      </c>
      <c r="AX20" s="17">
        <f>0.5*AV20+0.5*AW20</f>
        <v/>
      </c>
      <c r="AY20" s="17">
        <f>0.4*AV20+0.4*AW20+0.2*(AL20/4*100)</f>
        <v/>
      </c>
      <c r="AZ20" s="2" t="inlineStr"/>
      <c r="BA20" s="2" t="inlineStr">
        <is>
          <t>16/18</t>
        </is>
      </c>
      <c r="BB20" s="3" t="inlineStr"/>
      <c r="BC20" s="18" t="n">
        <v>0</v>
      </c>
    </row>
    <row r="21">
      <c r="A21" s="2">
        <f>COUNTIF($AY$2:$AY$29,"&gt;"&amp;AY21)+1</f>
        <v/>
      </c>
      <c r="B21" s="19" t="inlineStr">
        <is>
          <t>MPC</t>
        </is>
      </c>
      <c r="C21" s="2" t="inlineStr">
        <is>
          <t>Marathon Petroleum Corporation</t>
        </is>
      </c>
      <c r="D21" s="2" t="inlineStr">
        <is>
          <t>NYSE</t>
        </is>
      </c>
      <c r="E21" s="2" t="inlineStr">
        <is>
          <t>能源</t>
        </is>
      </c>
      <c r="F21" s="2" t="inlineStr">
        <is>
          <t>Integrated oil Companies</t>
        </is>
      </c>
      <c r="G21" s="6" t="n">
        <v>109.067</v>
      </c>
      <c r="H21" s="2" t="inlineStr">
        <is>
          <t>大型</t>
        </is>
      </c>
      <c r="I21" s="7" t="n">
        <v>388.38</v>
      </c>
      <c r="J21" s="7" t="n">
        <v>389.68</v>
      </c>
      <c r="K21" s="8">
        <f>I21/J21-1</f>
        <v/>
      </c>
      <c r="L21" s="7" t="n">
        <v>400.72</v>
      </c>
      <c r="M21" s="7" t="n">
        <v>378.8</v>
      </c>
      <c r="N21" s="7" t="n">
        <v>392.4314999999991</v>
      </c>
      <c r="O21" s="8">
        <f>I21/N21-1</f>
        <v/>
      </c>
      <c r="P21" s="7" t="n">
        <v>352.9887999999995</v>
      </c>
      <c r="Q21" s="9">
        <f>I21/P21-1</f>
        <v/>
      </c>
      <c r="R21" s="7" t="n">
        <v>380.9219999999994</v>
      </c>
      <c r="S21" s="8">
        <f>N21/R21-1</f>
        <v/>
      </c>
      <c r="T21" s="7" t="n">
        <v>424.89</v>
      </c>
      <c r="U21" s="2" t="inlineStr">
        <is>
          <t>2026-09-18</t>
        </is>
      </c>
      <c r="V21" s="10" t="n">
        <v>3</v>
      </c>
      <c r="W21" s="9">
        <f>I21/T21-1</f>
        <v/>
      </c>
      <c r="X21" s="11" t="n">
        <v>0.1106937564078494</v>
      </c>
      <c r="Y21" s="2" t="inlineStr">
        <is>
          <t>2026-08-19</t>
        </is>
      </c>
      <c r="Z21" s="12" t="n">
        <v>-0.03473599851183995</v>
      </c>
      <c r="AA21" s="2" t="inlineStr">
        <is>
          <t>2026-06-18</t>
        </is>
      </c>
      <c r="AB21" s="13" t="n">
        <v>0.7491663579103371</v>
      </c>
      <c r="AC21" s="11" t="n">
        <v>0.07133399536577301</v>
      </c>
      <c r="AD21" s="11" t="n">
        <v>0.2559177337989911</v>
      </c>
      <c r="AE21" s="11" t="n">
        <v>0.5755141779238164</v>
      </c>
      <c r="AF21" s="11" t="n">
        <v>0.5923086384322087</v>
      </c>
      <c r="AG21" s="11" t="n">
        <v>0.894755877034358</v>
      </c>
      <c r="AH21" s="11" t="n">
        <v>0.9077757685352622</v>
      </c>
      <c r="AI21" s="11" t="n">
        <v>0.966003616636528</v>
      </c>
      <c r="AJ21" s="11" t="n">
        <v>0.8928833455612619</v>
      </c>
      <c r="AK21" s="2" t="inlineStr">
        <is>
          <t>2個月、3個月</t>
        </is>
      </c>
      <c r="AL21" s="14">
        <f>(AG21&gt;=0.9)*(AC21&gt;0)+(AH21&gt;=0.9)*(AD21&gt;0)+(AI21&gt;=0.9)*(AE21&gt;0)+IF(AJ21="",0,(AJ21&gt;=0.9)*(AF21&gt;0))</f>
        <v/>
      </c>
      <c r="AM21" s="6" t="n">
        <v>1.568782734449555</v>
      </c>
      <c r="AN21" s="6" t="n">
        <v>1.27232421198476</v>
      </c>
      <c r="AO21" s="11" t="n">
        <v>0.04101469106103739</v>
      </c>
      <c r="AP21" s="15">
        <f>MAX(0,MIN(1,(AM21-1.2)/(0.6-1.2)))</f>
        <v/>
      </c>
      <c r="AQ21" s="15">
        <f>MAX(0,MIN(1,(ABS(O21)-0.03)/(0-0.03)))</f>
        <v/>
      </c>
      <c r="AR21" s="15">
        <f>MAX(0,MIN(1,S21/0.03))</f>
        <v/>
      </c>
      <c r="AS21" s="15">
        <f>MAX(0,MIN(1,(-W21-0.3)/(0.15-0.3)))</f>
        <v/>
      </c>
      <c r="AT21" s="15">
        <f>0.5*IF(L21&gt;M21,(I21-M21)/(L21-M21),0.5)+0.5*(I21&gt;=N21)</f>
        <v/>
      </c>
      <c r="AU21" s="15">
        <f>MAX(0,MIN(1,(AN21-1.3)/(0.7-1.3)))</f>
        <v/>
      </c>
      <c r="AV21" s="16">
        <f>100*(0.2*AG21+0.2*AH21+0.3*AI21+IF(AJ21="",0,0.3*AJ21))/(0.7+IF(AJ21="",0,0.3))</f>
        <v/>
      </c>
      <c r="AW21" s="16">
        <f>100*(0.25*AP21+0.2*AQ21+0.15*AR21+0.15*AS21+0.15*AT21+0.1*AU21)</f>
        <v/>
      </c>
      <c r="AX21" s="17">
        <f>0.5*AV21+0.5*AW21</f>
        <v/>
      </c>
      <c r="AY21" s="17">
        <f>0.4*AV21+0.4*AW21+0.2*(AL21/4*100)</f>
        <v/>
      </c>
      <c r="AZ21" s="2" t="inlineStr"/>
      <c r="BA21" s="2" t="inlineStr">
        <is>
          <t>18/18</t>
        </is>
      </c>
      <c r="BB21" s="20" t="inlineStr">
        <is>
          <t>今日放量（1.6× 50日均量）收喺 20MA 下面；09-22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BC21" s="18" t="n">
        <v>0</v>
      </c>
    </row>
    <row r="22">
      <c r="A22" s="2">
        <f>COUNTIF($AY$2:$AY$29,"&gt;"&amp;AY22)+1</f>
        <v/>
      </c>
      <c r="B22" s="19" t="inlineStr">
        <is>
          <t>SGP</t>
        </is>
      </c>
      <c r="C22" s="2" t="inlineStr">
        <is>
          <t>SpyGlass Pharma Inc.</t>
        </is>
      </c>
      <c r="D22" s="2" t="inlineStr">
        <is>
          <t>NASDAQ</t>
        </is>
      </c>
      <c r="E22" s="2" t="inlineStr">
        <is>
          <t>醫療保健</t>
        </is>
      </c>
      <c r="F22" s="2" t="inlineStr">
        <is>
          <t>Medical/Dental Instruments</t>
        </is>
      </c>
      <c r="G22" s="6" t="n">
        <v>0.9419999999999999</v>
      </c>
      <c r="H22" s="2" t="inlineStr">
        <is>
          <t>小型</t>
        </is>
      </c>
      <c r="I22" s="7" t="n">
        <v>28.16</v>
      </c>
      <c r="J22" s="7" t="n">
        <v>28.69</v>
      </c>
      <c r="K22" s="8">
        <f>I22/J22-1</f>
        <v/>
      </c>
      <c r="L22" s="7" t="n">
        <v>29.28</v>
      </c>
      <c r="M22" s="7" t="n">
        <v>27.76</v>
      </c>
      <c r="N22" s="7" t="n">
        <v>27.99249999999997</v>
      </c>
      <c r="O22" s="8">
        <f>I22/N22-1</f>
        <v/>
      </c>
      <c r="P22" s="7" t="n">
        <v>25.28819999999999</v>
      </c>
      <c r="Q22" s="9">
        <f>I22/P22-1</f>
        <v/>
      </c>
      <c r="R22" s="7" t="n">
        <v>27.473</v>
      </c>
      <c r="S22" s="8">
        <f>N22/R22-1</f>
        <v/>
      </c>
      <c r="T22" s="7" t="n">
        <v>29.33</v>
      </c>
      <c r="U22" s="2" t="inlineStr">
        <is>
          <t>2026-09-17</t>
        </is>
      </c>
      <c r="V22" s="10" t="n">
        <v>4</v>
      </c>
      <c r="W22" s="9">
        <f>I22/T22-1</f>
        <v/>
      </c>
      <c r="X22" s="11" t="n">
        <v>0.1417190775681354</v>
      </c>
      <c r="Y22" s="2" t="inlineStr">
        <is>
          <t>2026-08-19</t>
        </is>
      </c>
      <c r="Z22" s="12" t="n">
        <v>-0.01809808225092602</v>
      </c>
      <c r="AA22" s="2" t="inlineStr">
        <is>
          <t>2026-06-17</t>
        </is>
      </c>
      <c r="AB22" s="13" t="n">
        <v>0.6115384615384616</v>
      </c>
      <c r="AC22" s="11" t="n">
        <v>0.07235338918507228</v>
      </c>
      <c r="AD22" s="11" t="n">
        <v>0.3743289409468034</v>
      </c>
      <c r="AE22" s="11" t="n">
        <v>0.4404092071611252</v>
      </c>
      <c r="AF22" s="11" t="n">
        <v>0.186183656276327</v>
      </c>
      <c r="AG22" s="11" t="n">
        <v>0.8969258589511754</v>
      </c>
      <c r="AH22" s="11" t="n">
        <v>0.9479204339963834</v>
      </c>
      <c r="AI22" s="11" t="n">
        <v>0.94249547920434</v>
      </c>
      <c r="AJ22" s="11" t="n">
        <v>0.6595744680851063</v>
      </c>
      <c r="AK22" s="2" t="inlineStr">
        <is>
          <t>2個月、3個月</t>
        </is>
      </c>
      <c r="AL22" s="14">
        <f>(AG22&gt;=0.9)*(AC22&gt;0)+(AH22&gt;=0.9)*(AD22&gt;0)+(AI22&gt;=0.9)*(AE22&gt;0)+IF(AJ22="",0,(AJ22&gt;=0.9)*(AF22&gt;0))</f>
        <v/>
      </c>
      <c r="AM22" s="6" t="n">
        <v>2.73033234859675</v>
      </c>
      <c r="AN22" s="6" t="n">
        <v>1.085619834710744</v>
      </c>
      <c r="AO22" s="11" t="n">
        <v>0.05653916396103896</v>
      </c>
      <c r="AP22" s="15">
        <f>MAX(0,MIN(1,(AM22-1.2)/(0.6-1.2)))</f>
        <v/>
      </c>
      <c r="AQ22" s="15">
        <f>MAX(0,MIN(1,(ABS(O22)-0.03)/(0-0.03)))</f>
        <v/>
      </c>
      <c r="AR22" s="15">
        <f>MAX(0,MIN(1,S22/0.03))</f>
        <v/>
      </c>
      <c r="AS22" s="15">
        <f>MAX(0,MIN(1,(-W22-0.3)/(0.15-0.3)))</f>
        <v/>
      </c>
      <c r="AT22" s="15">
        <f>0.5*IF(L22&gt;M22,(I22-M22)/(L22-M22),0.5)+0.5*(I22&gt;=N22)</f>
        <v/>
      </c>
      <c r="AU22" s="15">
        <f>MAX(0,MIN(1,(AN22-1.3)/(0.7-1.3)))</f>
        <v/>
      </c>
      <c r="AV22" s="16">
        <f>100*(0.2*AG22+0.2*AH22+0.3*AI22+IF(AJ22="",0,0.3*AJ22))/(0.7+IF(AJ22="",0,0.3))</f>
        <v/>
      </c>
      <c r="AW22" s="16">
        <f>100*(0.25*AP22+0.2*AQ22+0.15*AR22+0.15*AS22+0.15*AT22+0.1*AU22)</f>
        <v/>
      </c>
      <c r="AX22" s="17">
        <f>0.5*AV22+0.5*AW22</f>
        <v/>
      </c>
      <c r="AY22" s="17">
        <f>0.4*AV22+0.4*AW22+0.2*(AL22/4*100)</f>
        <v/>
      </c>
      <c r="AZ22" s="2" t="inlineStr">
        <is>
          <t>有</t>
        </is>
      </c>
      <c r="BA22" s="2" t="inlineStr">
        <is>
          <t>16/18</t>
        </is>
      </c>
      <c r="BB22" s="20" t="inlineStr">
        <is>
          <t>20 日成交額中位數只有 $3.3M（股票池下限 $1M），入市出市都會有滑價</t>
        </is>
      </c>
      <c r="BC22" s="18" t="n">
        <v>0</v>
      </c>
    </row>
    <row r="23">
      <c r="A23" s="2">
        <f>COUNTIF($AY$2:$AY$29,"&gt;"&amp;AY23)+1</f>
        <v/>
      </c>
      <c r="B23" s="5" t="inlineStr">
        <is>
          <t>ANGX</t>
        </is>
      </c>
      <c r="C23" s="2" t="inlineStr">
        <is>
          <t>Angel Studios Inc. Class A</t>
        </is>
      </c>
      <c r="D23" s="2" t="inlineStr">
        <is>
          <t>NYSE</t>
        </is>
      </c>
      <c r="E23" s="2" t="inlineStr">
        <is>
          <t>非必需消費</t>
        </is>
      </c>
      <c r="F23" s="2" t="inlineStr">
        <is>
          <t>Movies/Entertainment</t>
        </is>
      </c>
      <c r="G23" s="6" t="n">
        <v>0.906</v>
      </c>
      <c r="H23" s="2" t="inlineStr">
        <is>
          <t>小型</t>
        </is>
      </c>
      <c r="I23" s="7" t="n">
        <v>4.85</v>
      </c>
      <c r="J23" s="7" t="n">
        <v>5.1</v>
      </c>
      <c r="K23" s="8">
        <f>I23/J23-1</f>
        <v/>
      </c>
      <c r="L23" s="7" t="n">
        <v>5.04</v>
      </c>
      <c r="M23" s="7" t="n">
        <v>4.73</v>
      </c>
      <c r="N23" s="7" t="n">
        <v>4.871000000000009</v>
      </c>
      <c r="O23" s="8">
        <f>I23/N23-1</f>
        <v/>
      </c>
      <c r="P23" s="7" t="n">
        <v>4.505800000000005</v>
      </c>
      <c r="Q23" s="9">
        <f>I23/P23-1</f>
        <v/>
      </c>
      <c r="R23" s="7" t="n">
        <v>4.724000000000006</v>
      </c>
      <c r="S23" s="8">
        <f>N23/R23-1</f>
        <v/>
      </c>
      <c r="T23" s="7" t="n">
        <v>5.48</v>
      </c>
      <c r="U23" s="2" t="inlineStr">
        <is>
          <t>2026-09-14</t>
        </is>
      </c>
      <c r="V23" s="10" t="n">
        <v>7</v>
      </c>
      <c r="W23" s="9">
        <f>I23/T23-1</f>
        <v/>
      </c>
      <c r="X23" s="11" t="n">
        <v>0.180164573408399</v>
      </c>
      <c r="Y23" s="2" t="inlineStr">
        <is>
          <t>2026-09-11</t>
        </is>
      </c>
      <c r="Z23" s="12" t="n">
        <v>-0.02894682816670269</v>
      </c>
      <c r="AA23" s="2" t="inlineStr">
        <is>
          <t>2026-06-12</t>
        </is>
      </c>
      <c r="AB23" s="13" t="n">
        <v>0.8896551724137933</v>
      </c>
      <c r="AC23" s="11" t="n">
        <v>0.06828193832599116</v>
      </c>
      <c r="AD23" s="11" t="n">
        <v>0.1975308641975309</v>
      </c>
      <c r="AE23" s="11" t="n">
        <v>0.5348101265822782</v>
      </c>
      <c r="AF23" s="11" t="n"/>
      <c r="AG23" s="11" t="n">
        <v>0.8929475587703436</v>
      </c>
      <c r="AH23" s="11" t="n">
        <v>0.8777576853526221</v>
      </c>
      <c r="AI23" s="11" t="n">
        <v>0.9584086799276673</v>
      </c>
      <c r="AJ23" s="11" t="n"/>
      <c r="AK23" s="2" t="inlineStr">
        <is>
          <t>3個月</t>
        </is>
      </c>
      <c r="AL23" s="14">
        <f>(AG23&gt;=0.9)*(AC23&gt;0)+(AH23&gt;=0.9)*(AD23&gt;0)+(AI23&gt;=0.9)*(AE23&gt;0)+IF(AJ23="",0,(AJ23&gt;=0.9)*(AF23&gt;0))</f>
        <v/>
      </c>
      <c r="AM23" s="6" t="n">
        <v>1.845240913255091</v>
      </c>
      <c r="AN23" s="6" t="n">
        <v>1.156050955414012</v>
      </c>
      <c r="AO23" s="11" t="n">
        <v>0.07216494845360821</v>
      </c>
      <c r="AP23" s="15">
        <f>MAX(0,MIN(1,(AM23-1.2)/(0.6-1.2)))</f>
        <v/>
      </c>
      <c r="AQ23" s="15">
        <f>MAX(0,MIN(1,(ABS(O23)-0.03)/(0-0.03)))</f>
        <v/>
      </c>
      <c r="AR23" s="15">
        <f>MAX(0,MIN(1,S23/0.03))</f>
        <v/>
      </c>
      <c r="AS23" s="15">
        <f>MAX(0,MIN(1,(-W23-0.3)/(0.15-0.3)))</f>
        <v/>
      </c>
      <c r="AT23" s="15">
        <f>0.5*IF(L23&gt;M23,(I23-M23)/(L23-M23),0.5)+0.5*(I23&gt;=N23)</f>
        <v/>
      </c>
      <c r="AU23" s="15">
        <f>MAX(0,MIN(1,(AN23-1.3)/(0.7-1.3)))</f>
        <v/>
      </c>
      <c r="AV23" s="16">
        <f>100*(0.2*AG23+0.2*AH23+0.3*AI23+IF(AJ23="",0,0.3*AJ23))/(0.7+IF(AJ23="",0,0.3))</f>
        <v/>
      </c>
      <c r="AW23" s="16">
        <f>100*(0.25*AP23+0.2*AQ23+0.15*AR23+0.15*AS23+0.15*AT23+0.1*AU23)</f>
        <v/>
      </c>
      <c r="AX23" s="17">
        <f>0.5*AV23+0.5*AW23</f>
        <v/>
      </c>
      <c r="AY23" s="17">
        <f>0.4*AV23+0.4*AW23+0.2*(AL23/4*100)</f>
        <v/>
      </c>
      <c r="AZ23" s="2" t="inlineStr"/>
      <c r="BA23" s="2" t="inlineStr">
        <is>
          <t>18/18</t>
        </is>
      </c>
      <c r="BB23" s="3" t="inlineStr"/>
      <c r="BC23" s="18" t="n">
        <v>0</v>
      </c>
    </row>
    <row r="24">
      <c r="A24" s="2">
        <f>COUNTIF($AY$2:$AY$29,"&gt;"&amp;AY24)+1</f>
        <v/>
      </c>
      <c r="B24" s="5" t="inlineStr">
        <is>
          <t>DJCO</t>
        </is>
      </c>
      <c r="C24" s="2" t="inlineStr">
        <is>
          <t>Daily Journal Corp. (S.C.)</t>
        </is>
      </c>
      <c r="D24" s="2" t="inlineStr">
        <is>
          <t>NASDAQ</t>
        </is>
      </c>
      <c r="E24" s="2" t="inlineStr">
        <is>
          <t>非必需消費</t>
        </is>
      </c>
      <c r="F24" s="2" t="inlineStr">
        <is>
          <t>Newspapers/Magazines</t>
        </is>
      </c>
      <c r="G24" s="6" t="n">
        <v>0.909</v>
      </c>
      <c r="H24" s="2" t="inlineStr">
        <is>
          <t>小型</t>
        </is>
      </c>
      <c r="I24" s="7" t="n">
        <v>659.4</v>
      </c>
      <c r="J24" s="7" t="n">
        <v>657.01</v>
      </c>
      <c r="K24" s="8">
        <f>I24/J24-1</f>
        <v/>
      </c>
      <c r="L24" s="7" t="n">
        <v>666.83</v>
      </c>
      <c r="M24" s="7" t="n">
        <v>650.21</v>
      </c>
      <c r="N24" s="7" t="n">
        <v>645.8339999999989</v>
      </c>
      <c r="O24" s="8">
        <f>I24/N24-1</f>
        <v/>
      </c>
      <c r="P24" s="7" t="n">
        <v>612.2837999999989</v>
      </c>
      <c r="Q24" s="9">
        <f>I24/P24-1</f>
        <v/>
      </c>
      <c r="R24" s="7" t="n">
        <v>632.6374999999992</v>
      </c>
      <c r="S24" s="8">
        <f>N24/R24-1</f>
        <v/>
      </c>
      <c r="T24" s="7" t="n">
        <v>687.66</v>
      </c>
      <c r="U24" s="2" t="inlineStr">
        <is>
          <t>2026-09-15</t>
        </is>
      </c>
      <c r="V24" s="10" t="n">
        <v>6</v>
      </c>
      <c r="W24" s="9">
        <f>I24/T24-1</f>
        <v/>
      </c>
      <c r="X24" s="11" t="n">
        <v>0.09340776846455467</v>
      </c>
      <c r="Y24" s="2" t="inlineStr">
        <is>
          <t>2026-09-15</t>
        </is>
      </c>
      <c r="Z24" s="12" t="n">
        <v>2.728778871574633e-05</v>
      </c>
      <c r="AA24" s="2" t="inlineStr">
        <is>
          <t>2026-06-22</t>
        </is>
      </c>
      <c r="AB24" s="13" t="n">
        <v>0.3042884509606811</v>
      </c>
      <c r="AC24" s="11" t="n">
        <v>0.08586108092085754</v>
      </c>
      <c r="AD24" s="11" t="n">
        <v>0.1465832029212311</v>
      </c>
      <c r="AE24" s="11" t="n">
        <v>0.2167623124757811</v>
      </c>
      <c r="AF24" s="11" t="n">
        <v>0.3511741322076964</v>
      </c>
      <c r="AG24" s="11" t="n">
        <v>0.9099457504520796</v>
      </c>
      <c r="AH24" s="11" t="n">
        <v>0.8419529837251356</v>
      </c>
      <c r="AI24" s="11" t="n">
        <v>0.8694394213381555</v>
      </c>
      <c r="AJ24" s="11" t="n">
        <v>0.8033749082905356</v>
      </c>
      <c r="AK24" s="2" t="inlineStr">
        <is>
          <t>1個月</t>
        </is>
      </c>
      <c r="AL24" s="14">
        <f>(AG24&gt;=0.9)*(AC24&gt;0)+(AH24&gt;=0.9)*(AD24&gt;0)+(AI24&gt;=0.9)*(AE24&gt;0)+IF(AJ24="",0,(AJ24&gt;=0.9)*(AF24&gt;0))</f>
        <v/>
      </c>
      <c r="AM24" s="6" t="n">
        <v>1.136140268421327</v>
      </c>
      <c r="AN24" s="6" t="n">
        <v>0.8106598066603691</v>
      </c>
      <c r="AO24" s="11" t="n">
        <v>0.03472745786212575</v>
      </c>
      <c r="AP24" s="15">
        <f>MAX(0,MIN(1,(AM24-1.2)/(0.6-1.2)))</f>
        <v/>
      </c>
      <c r="AQ24" s="15">
        <f>MAX(0,MIN(1,(ABS(O24)-0.03)/(0-0.03)))</f>
        <v/>
      </c>
      <c r="AR24" s="15">
        <f>MAX(0,MIN(1,S24/0.03))</f>
        <v/>
      </c>
      <c r="AS24" s="15">
        <f>MAX(0,MIN(1,(-W24-0.3)/(0.15-0.3)))</f>
        <v/>
      </c>
      <c r="AT24" s="15">
        <f>0.5*IF(L24&gt;M24,(I24-M24)/(L24-M24),0.5)+0.5*(I24&gt;=N24)</f>
        <v/>
      </c>
      <c r="AU24" s="15">
        <f>MAX(0,MIN(1,(AN24-1.3)/(0.7-1.3)))</f>
        <v/>
      </c>
      <c r="AV24" s="16">
        <f>100*(0.2*AG24+0.2*AH24+0.3*AI24+IF(AJ24="",0,0.3*AJ24))/(0.7+IF(AJ24="",0,0.3))</f>
        <v/>
      </c>
      <c r="AW24" s="16">
        <f>100*(0.25*AP24+0.2*AQ24+0.15*AR24+0.15*AS24+0.15*AT24+0.1*AU24)</f>
        <v/>
      </c>
      <c r="AX24" s="17">
        <f>0.5*AV24+0.5*AW24</f>
        <v/>
      </c>
      <c r="AY24" s="17">
        <f>0.4*AV24+0.4*AW24+0.2*(AL24/4*100)</f>
        <v/>
      </c>
      <c r="AZ24" s="2" t="inlineStr"/>
      <c r="BA24" s="2" t="inlineStr">
        <is>
          <t>13/18</t>
        </is>
      </c>
      <c r="BB24" s="3" t="inlineStr"/>
      <c r="BC24" s="18" t="n">
        <v>1e-05</v>
      </c>
    </row>
    <row r="25">
      <c r="A25" s="2">
        <f>COUNTIF($AY$2:$AY$29,"&gt;"&amp;AY25)+1</f>
        <v/>
      </c>
      <c r="B25" s="19" t="inlineStr">
        <is>
          <t>PSX</t>
        </is>
      </c>
      <c r="C25" s="2" t="inlineStr">
        <is>
          <t>Phillips 66</t>
        </is>
      </c>
      <c r="D25" s="2" t="inlineStr">
        <is>
          <t>NYSE</t>
        </is>
      </c>
      <c r="E25" s="2" t="inlineStr">
        <is>
          <t>能源</t>
        </is>
      </c>
      <c r="F25" s="2" t="inlineStr">
        <is>
          <t>Integrated oil Companies</t>
        </is>
      </c>
      <c r="G25" s="6" t="n">
        <v>102.341</v>
      </c>
      <c r="H25" s="2" t="inlineStr">
        <is>
          <t>大型</t>
        </is>
      </c>
      <c r="I25" s="7" t="n">
        <v>256.48</v>
      </c>
      <c r="J25" s="7" t="n">
        <v>256.78</v>
      </c>
      <c r="K25" s="8">
        <f>I25/J25-1</f>
        <v/>
      </c>
      <c r="L25" s="7" t="n">
        <v>263.82</v>
      </c>
      <c r="M25" s="7" t="n">
        <v>250.26</v>
      </c>
      <c r="N25" s="7" t="n">
        <v>256.8680000000001</v>
      </c>
      <c r="O25" s="8">
        <f>I25/N25-1</f>
        <v/>
      </c>
      <c r="P25" s="7" t="n">
        <v>233.4898</v>
      </c>
      <c r="Q25" s="9">
        <f>I25/P25-1</f>
        <v/>
      </c>
      <c r="R25" s="7" t="n">
        <v>250.9515000000001</v>
      </c>
      <c r="S25" s="8">
        <f>N25/R25-1</f>
        <v/>
      </c>
      <c r="T25" s="7" t="n">
        <v>274.21</v>
      </c>
      <c r="U25" s="2" t="inlineStr">
        <is>
          <t>2026-09-17</t>
        </is>
      </c>
      <c r="V25" s="10" t="n">
        <v>4</v>
      </c>
      <c r="W25" s="9">
        <f>I25/T25-1</f>
        <v/>
      </c>
      <c r="X25" s="11" t="n">
        <v>0.1169092191454342</v>
      </c>
      <c r="Y25" s="2" t="inlineStr">
        <is>
          <t>2026-08-19</t>
        </is>
      </c>
      <c r="Z25" s="12" t="n">
        <v>-0.02572527523864421</v>
      </c>
      <c r="AA25" s="2" t="inlineStr">
        <is>
          <t>2026-06-18</t>
        </is>
      </c>
      <c r="AB25" s="13" t="n">
        <v>0.6504755025881788</v>
      </c>
      <c r="AC25" s="11" t="n">
        <v>0.06000991899487529</v>
      </c>
      <c r="AD25" s="11" t="n">
        <v>0.2404120520384969</v>
      </c>
      <c r="AE25" s="11" t="n">
        <v>0.5208728652751426</v>
      </c>
      <c r="AF25" s="11" t="n">
        <v>0.3930045622420162</v>
      </c>
      <c r="AG25" s="11" t="n">
        <v>0.881374321880651</v>
      </c>
      <c r="AH25" s="11" t="n">
        <v>0.8994575045207956</v>
      </c>
      <c r="AI25" s="11" t="n">
        <v>0.9558770343580471</v>
      </c>
      <c r="AJ25" s="11" t="n">
        <v>0.8301540719002201</v>
      </c>
      <c r="AK25" s="2" t="inlineStr">
        <is>
          <t>3個月</t>
        </is>
      </c>
      <c r="AL25" s="14">
        <f>(AG25&gt;=0.9)*(AC25&gt;0)+(AH25&gt;=0.9)*(AD25&gt;0)+(AI25&gt;=0.9)*(AE25&gt;0)+IF(AJ25="",0,(AJ25&gt;=0.9)*(AF25&gt;0))</f>
        <v/>
      </c>
      <c r="AM25" s="6" t="n">
        <v>2.010896771738279</v>
      </c>
      <c r="AN25" s="6" t="n">
        <v>1.291402124250876</v>
      </c>
      <c r="AO25" s="11" t="n">
        <v>0.03441371089920685</v>
      </c>
      <c r="AP25" s="15">
        <f>MAX(0,MIN(1,(AM25-1.2)/(0.6-1.2)))</f>
        <v/>
      </c>
      <c r="AQ25" s="15">
        <f>MAX(0,MIN(1,(ABS(O25)-0.03)/(0-0.03)))</f>
        <v/>
      </c>
      <c r="AR25" s="15">
        <f>MAX(0,MIN(1,S25/0.03))</f>
        <v/>
      </c>
      <c r="AS25" s="15">
        <f>MAX(0,MIN(1,(-W25-0.3)/(0.15-0.3)))</f>
        <v/>
      </c>
      <c r="AT25" s="15">
        <f>0.5*IF(L25&gt;M25,(I25-M25)/(L25-M25),0.5)+0.5*(I25&gt;=N25)</f>
        <v/>
      </c>
      <c r="AU25" s="15">
        <f>MAX(0,MIN(1,(AN25-1.3)/(0.7-1.3)))</f>
        <v/>
      </c>
      <c r="AV25" s="16">
        <f>100*(0.2*AG25+0.2*AH25+0.3*AI25+IF(AJ25="",0,0.3*AJ25))/(0.7+IF(AJ25="",0,0.3))</f>
        <v/>
      </c>
      <c r="AW25" s="16">
        <f>100*(0.25*AP25+0.2*AQ25+0.15*AR25+0.15*AS25+0.15*AT25+0.1*AU25)</f>
        <v/>
      </c>
      <c r="AX25" s="17">
        <f>0.5*AV25+0.5*AW25</f>
        <v/>
      </c>
      <c r="AY25" s="17">
        <f>0.4*AV25+0.4*AW25+0.2*(AL25/4*100)</f>
        <v/>
      </c>
      <c r="AZ25" s="2" t="inlineStr"/>
      <c r="BA25" s="2" t="inlineStr">
        <is>
          <t>18/18</t>
        </is>
      </c>
      <c r="BB25" s="20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BC25" s="18" t="n">
        <v>0</v>
      </c>
    </row>
    <row r="26">
      <c r="A26" s="2">
        <f>COUNTIF($AY$2:$AY$29,"&gt;"&amp;AY26)+1</f>
        <v/>
      </c>
      <c r="B26" s="5" t="inlineStr">
        <is>
          <t>LPG</t>
        </is>
      </c>
      <c r="C26" s="2" t="inlineStr">
        <is>
          <t>Dorian LPG Ltd.</t>
        </is>
      </c>
      <c r="D26" s="2" t="inlineStr">
        <is>
          <t>NYSE</t>
        </is>
      </c>
      <c r="E26" s="2" t="inlineStr">
        <is>
          <t>非必需消費</t>
        </is>
      </c>
      <c r="F26" s="2" t="inlineStr">
        <is>
          <t>Marine Transportation</t>
        </is>
      </c>
      <c r="G26" s="6" t="n">
        <v>2.274</v>
      </c>
      <c r="H26" s="2" t="inlineStr">
        <is>
          <t>中型</t>
        </is>
      </c>
      <c r="I26" s="7" t="n">
        <v>53.16</v>
      </c>
      <c r="J26" s="7" t="n">
        <v>53.54</v>
      </c>
      <c r="K26" s="8">
        <f>I26/J26-1</f>
        <v/>
      </c>
      <c r="L26" s="7" t="n">
        <v>54.025</v>
      </c>
      <c r="M26" s="7" t="n">
        <v>52.09</v>
      </c>
      <c r="N26" s="7" t="n">
        <v>53.76649999999991</v>
      </c>
      <c r="O26" s="8">
        <f>I26/N26-1</f>
        <v/>
      </c>
      <c r="P26" s="7" t="n">
        <v>48.94799999999994</v>
      </c>
      <c r="Q26" s="9">
        <f>I26/P26-1</f>
        <v/>
      </c>
      <c r="R26" s="7" t="n">
        <v>52.40249999999988</v>
      </c>
      <c r="S26" s="8">
        <f>N26/R26-1</f>
        <v/>
      </c>
      <c r="T26" s="7" t="n">
        <v>58.31</v>
      </c>
      <c r="U26" s="2" t="inlineStr">
        <is>
          <t>2026-09-17</t>
        </is>
      </c>
      <c r="V26" s="10" t="n">
        <v>4</v>
      </c>
      <c r="W26" s="9">
        <f>I26/T26-1</f>
        <v/>
      </c>
      <c r="X26" s="11" t="n">
        <v>0.1223162003903737</v>
      </c>
      <c r="Y26" s="2" t="inlineStr">
        <is>
          <t>2026-09-04</t>
        </is>
      </c>
      <c r="Z26" s="12" t="n">
        <v>-0.03118112579394061</v>
      </c>
      <c r="AA26" s="2" t="inlineStr">
        <is>
          <t>2026-06-30</t>
        </is>
      </c>
      <c r="AB26" s="13" t="n">
        <v>0.6765382403680276</v>
      </c>
      <c r="AC26" s="11" t="n">
        <v>0.03585346843335935</v>
      </c>
      <c r="AD26" s="11" t="n">
        <v>0.1729920564872021</v>
      </c>
      <c r="AE26" s="11" t="n">
        <v>0.3316633266533064</v>
      </c>
      <c r="AF26" s="11" t="n">
        <v>0.536860364267129</v>
      </c>
      <c r="AG26" s="11" t="n">
        <v>0.847377938517179</v>
      </c>
      <c r="AH26" s="11" t="n">
        <v>0.8622061482820976</v>
      </c>
      <c r="AI26" s="11" t="n">
        <v>0.9175406871609403</v>
      </c>
      <c r="AJ26" s="11" t="n">
        <v>0.8796771826852531</v>
      </c>
      <c r="AK26" s="2" t="inlineStr">
        <is>
          <t>3個月</t>
        </is>
      </c>
      <c r="AL26" s="14">
        <f>(AG26&gt;=0.9)*(AC26&gt;0)+(AH26&gt;=0.9)*(AD26&gt;0)+(AI26&gt;=0.9)*(AE26&gt;0)+IF(AJ26="",0,(AJ26&gt;=0.9)*(AF26&gt;0))</f>
        <v/>
      </c>
      <c r="AM26" s="6" t="n">
        <v>1.365358801590373</v>
      </c>
      <c r="AN26" s="6" t="n">
        <v>1.032801418439717</v>
      </c>
      <c r="AO26" s="11" t="n">
        <v>0.03824438353219392</v>
      </c>
      <c r="AP26" s="15">
        <f>MAX(0,MIN(1,(AM26-1.2)/(0.6-1.2)))</f>
        <v/>
      </c>
      <c r="AQ26" s="15">
        <f>MAX(0,MIN(1,(ABS(O26)-0.03)/(0-0.03)))</f>
        <v/>
      </c>
      <c r="AR26" s="15">
        <f>MAX(0,MIN(1,S26/0.03))</f>
        <v/>
      </c>
      <c r="AS26" s="15">
        <f>MAX(0,MIN(1,(-W26-0.3)/(0.15-0.3)))</f>
        <v/>
      </c>
      <c r="AT26" s="15">
        <f>0.5*IF(L26&gt;M26,(I26-M26)/(L26-M26),0.5)+0.5*(I26&gt;=N26)</f>
        <v/>
      </c>
      <c r="AU26" s="15">
        <f>MAX(0,MIN(1,(AN26-1.3)/(0.7-1.3)))</f>
        <v/>
      </c>
      <c r="AV26" s="16">
        <f>100*(0.2*AG26+0.2*AH26+0.3*AI26+IF(AJ26="",0,0.3*AJ26))/(0.7+IF(AJ26="",0,0.3))</f>
        <v/>
      </c>
      <c r="AW26" s="16">
        <f>100*(0.25*AP26+0.2*AQ26+0.15*AR26+0.15*AS26+0.15*AT26+0.1*AU26)</f>
        <v/>
      </c>
      <c r="AX26" s="17">
        <f>0.5*AV26+0.5*AW26</f>
        <v/>
      </c>
      <c r="AY26" s="17">
        <f>0.4*AV26+0.4*AW26+0.2*(AL26/4*100)</f>
        <v/>
      </c>
      <c r="AZ26" s="2" t="inlineStr"/>
      <c r="BA26" s="2" t="inlineStr">
        <is>
          <t>17/18</t>
        </is>
      </c>
      <c r="BB26" s="3" t="inlineStr"/>
      <c r="BC26" s="18" t="n">
        <v>0</v>
      </c>
    </row>
    <row r="27">
      <c r="A27" s="2">
        <f>COUNTIF($AY$2:$AY$29,"&gt;"&amp;AY27)+1</f>
        <v/>
      </c>
      <c r="B27" s="5" t="inlineStr">
        <is>
          <t>REPX</t>
        </is>
      </c>
      <c r="C27" s="2" t="inlineStr">
        <is>
          <t>Riley Exploration Permian Inc.</t>
        </is>
      </c>
      <c r="D27" s="2" t="inlineStr">
        <is>
          <t>AMEX</t>
        </is>
      </c>
      <c r="E27" s="2" t="inlineStr">
        <is>
          <t>能源</t>
        </is>
      </c>
      <c r="F27" s="2" t="inlineStr">
        <is>
          <t>Oil &amp; Gas Production</t>
        </is>
      </c>
      <c r="G27" s="6" t="n">
        <v>0.91</v>
      </c>
      <c r="H27" s="2" t="inlineStr">
        <is>
          <t>小型</t>
        </is>
      </c>
      <c r="I27" s="7" t="n">
        <v>41.07</v>
      </c>
      <c r="J27" s="7" t="n">
        <v>40.2</v>
      </c>
      <c r="K27" s="8">
        <f>I27/J27-1</f>
        <v/>
      </c>
      <c r="L27" s="7" t="n">
        <v>41.61</v>
      </c>
      <c r="M27" s="7" t="n">
        <v>39.96</v>
      </c>
      <c r="N27" s="7" t="n">
        <v>41.521</v>
      </c>
      <c r="O27" s="8">
        <f>I27/N27-1</f>
        <v/>
      </c>
      <c r="P27" s="7" t="n">
        <v>37.87</v>
      </c>
      <c r="Q27" s="9">
        <f>I27/P27-1</f>
        <v/>
      </c>
      <c r="R27" s="7" t="n">
        <v>40.50599999999999</v>
      </c>
      <c r="S27" s="8">
        <f>N27/R27-1</f>
        <v/>
      </c>
      <c r="T27" s="7" t="n">
        <v>44.9</v>
      </c>
      <c r="U27" s="2" t="inlineStr">
        <is>
          <t>2026-09-15</t>
        </is>
      </c>
      <c r="V27" s="10" t="n">
        <v>6</v>
      </c>
      <c r="W27" s="9">
        <f>I27/T27-1</f>
        <v/>
      </c>
      <c r="X27" s="11" t="n">
        <v>0.1170382165605091</v>
      </c>
      <c r="Y27" s="2" t="inlineStr">
        <is>
          <t>2026-09-03</t>
        </is>
      </c>
      <c r="Z27" s="12" t="n">
        <v>-0.03759543363599138</v>
      </c>
      <c r="AA27" s="2" t="inlineStr">
        <is>
          <t>2026-07-06</t>
        </is>
      </c>
      <c r="AB27" s="13" t="n">
        <v>0.4141732283464568</v>
      </c>
      <c r="AC27" s="11" t="n">
        <v>0.09170653907496029</v>
      </c>
      <c r="AD27" s="11" t="n">
        <v>0.1575535512965052</v>
      </c>
      <c r="AE27" s="11" t="n">
        <v>0.2563475068828389</v>
      </c>
      <c r="AF27" s="11" t="n">
        <v>0.1373580725560786</v>
      </c>
      <c r="AG27" s="11" t="n">
        <v>0.918625678119349</v>
      </c>
      <c r="AH27" s="11" t="n">
        <v>0.8499095840867993</v>
      </c>
      <c r="AI27" s="11" t="n">
        <v>0.8882459312839059</v>
      </c>
      <c r="AJ27" s="11" t="n">
        <v>0.5961115187087307</v>
      </c>
      <c r="AK27" s="2" t="inlineStr">
        <is>
          <t>1個月</t>
        </is>
      </c>
      <c r="AL27" s="14">
        <f>(AG27&gt;=0.9)*(AC27&gt;0)+(AH27&gt;=0.9)*(AD27&gt;0)+(AI27&gt;=0.9)*(AE27&gt;0)+IF(AJ27="",0,(AJ27&gt;=0.9)*(AF27&gt;0))</f>
        <v/>
      </c>
      <c r="AM27" s="6" t="n">
        <v>2.173146652943647</v>
      </c>
      <c r="AN27" s="6" t="n">
        <v>1.056347589952478</v>
      </c>
      <c r="AO27" s="11" t="n">
        <v>0.03664475286096909</v>
      </c>
      <c r="AP27" s="15">
        <f>MAX(0,MIN(1,(AM27-1.2)/(0.6-1.2)))</f>
        <v/>
      </c>
      <c r="AQ27" s="15">
        <f>MAX(0,MIN(1,(ABS(O27)-0.03)/(0-0.03)))</f>
        <v/>
      </c>
      <c r="AR27" s="15">
        <f>MAX(0,MIN(1,S27/0.03))</f>
        <v/>
      </c>
      <c r="AS27" s="15">
        <f>MAX(0,MIN(1,(-W27-0.3)/(0.15-0.3)))</f>
        <v/>
      </c>
      <c r="AT27" s="15">
        <f>0.5*IF(L27&gt;M27,(I27-M27)/(L27-M27),0.5)+0.5*(I27&gt;=N27)</f>
        <v/>
      </c>
      <c r="AU27" s="15">
        <f>MAX(0,MIN(1,(AN27-1.3)/(0.7-1.3)))</f>
        <v/>
      </c>
      <c r="AV27" s="16">
        <f>100*(0.2*AG27+0.2*AH27+0.3*AI27+IF(AJ27="",0,0.3*AJ27))/(0.7+IF(AJ27="",0,0.3))</f>
        <v/>
      </c>
      <c r="AW27" s="16">
        <f>100*(0.25*AP27+0.2*AQ27+0.15*AR27+0.15*AS27+0.15*AT27+0.1*AU27)</f>
        <v/>
      </c>
      <c r="AX27" s="17">
        <f>0.5*AV27+0.5*AW27</f>
        <v/>
      </c>
      <c r="AY27" s="17">
        <f>0.4*AV27+0.4*AW27+0.2*(AL27/4*100)</f>
        <v/>
      </c>
      <c r="AZ27" s="2" t="inlineStr">
        <is>
          <t>有</t>
        </is>
      </c>
      <c r="BA27" s="2" t="inlineStr">
        <is>
          <t>17/18</t>
        </is>
      </c>
      <c r="BB27" s="3" t="inlineStr"/>
      <c r="BC27" s="18" t="n">
        <v>0</v>
      </c>
    </row>
    <row r="28">
      <c r="A28" s="2">
        <f>COUNTIF($AY$2:$AY$29,"&gt;"&amp;AY28)+1</f>
        <v/>
      </c>
      <c r="B28" s="5" t="inlineStr">
        <is>
          <t>APA</t>
        </is>
      </c>
      <c r="C28" s="2" t="inlineStr">
        <is>
          <t>APA Corporation</t>
        </is>
      </c>
      <c r="D28" s="2" t="inlineStr">
        <is>
          <t>NASDAQ</t>
        </is>
      </c>
      <c r="E28" s="2" t="inlineStr">
        <is>
          <t>能源</t>
        </is>
      </c>
      <c r="F28" s="2" t="inlineStr">
        <is>
          <t>Oil &amp; Gas Production</t>
        </is>
      </c>
      <c r="G28" s="6" t="n">
        <v>15.31</v>
      </c>
      <c r="H28" s="2" t="inlineStr">
        <is>
          <t>大型</t>
        </is>
      </c>
      <c r="I28" s="7" t="n">
        <v>43.7</v>
      </c>
      <c r="J28" s="7" t="n">
        <v>42.3</v>
      </c>
      <c r="K28" s="8">
        <f>I28/J28-1</f>
        <v/>
      </c>
      <c r="L28" s="7" t="n">
        <v>44.19</v>
      </c>
      <c r="M28" s="7" t="n">
        <v>42.3</v>
      </c>
      <c r="N28" s="7" t="n">
        <v>44.01149999999998</v>
      </c>
      <c r="O28" s="8">
        <f>I28/N28-1</f>
        <v/>
      </c>
      <c r="P28" s="7" t="n">
        <v>40.52880000000003</v>
      </c>
      <c r="Q28" s="9">
        <f>I28/P28-1</f>
        <v/>
      </c>
      <c r="R28" s="7" t="n">
        <v>43.78150000000001</v>
      </c>
      <c r="S28" s="8">
        <f>N28/R28-1</f>
        <v/>
      </c>
      <c r="T28" s="7" t="n">
        <v>47.41</v>
      </c>
      <c r="U28" s="2" t="inlineStr">
        <is>
          <t>2026-09-15</t>
        </is>
      </c>
      <c r="V28" s="10" t="n">
        <v>6</v>
      </c>
      <c r="W28" s="9">
        <f>I28/T28-1</f>
        <v/>
      </c>
      <c r="X28" s="11" t="n">
        <v>0.1507005560380028</v>
      </c>
      <c r="Y28" s="2" t="inlineStr">
        <is>
          <t>2026-08-20</t>
        </is>
      </c>
      <c r="Z28" s="12" t="n">
        <v>-0.03888756347772693</v>
      </c>
      <c r="AA28" s="2" t="inlineStr">
        <is>
          <t>2026-07-01</t>
        </is>
      </c>
      <c r="AB28" s="13" t="n">
        <v>0.4876058989645433</v>
      </c>
      <c r="AC28" s="11" t="n">
        <v>0.01722532588454384</v>
      </c>
      <c r="AD28" s="11" t="n">
        <v>0.2088520055325036</v>
      </c>
      <c r="AE28" s="11" t="n">
        <v>0.3111311131113113</v>
      </c>
      <c r="AF28" s="11" t="n">
        <v>0.07107843137254921</v>
      </c>
      <c r="AG28" s="11" t="n">
        <v>0.8108499095840868</v>
      </c>
      <c r="AH28" s="11" t="n">
        <v>0.8835443037974684</v>
      </c>
      <c r="AI28" s="11" t="n">
        <v>0.9128390596745027</v>
      </c>
      <c r="AJ28" s="11" t="n">
        <v>0.4981658107116654</v>
      </c>
      <c r="AK28" s="2" t="inlineStr">
        <is>
          <t>3個月</t>
        </is>
      </c>
      <c r="AL28" s="14">
        <f>(AG28&gt;=0.9)*(AC28&gt;0)+(AH28&gt;=0.9)*(AD28&gt;0)+(AI28&gt;=0.9)*(AE28&gt;0)+IF(AJ28="",0,(AJ28&gt;=0.9)*(AF28&gt;0))</f>
        <v/>
      </c>
      <c r="AM28" s="6" t="n">
        <v>1.407548906789413</v>
      </c>
      <c r="AN28" s="6" t="n">
        <v>0.8668810289389064</v>
      </c>
      <c r="AO28" s="11" t="n">
        <v>0.03672768878718537</v>
      </c>
      <c r="AP28" s="15">
        <f>MAX(0,MIN(1,(AM28-1.2)/(0.6-1.2)))</f>
        <v/>
      </c>
      <c r="AQ28" s="15">
        <f>MAX(0,MIN(1,(ABS(O28)-0.03)/(0-0.03)))</f>
        <v/>
      </c>
      <c r="AR28" s="15">
        <f>MAX(0,MIN(1,S28/0.03))</f>
        <v/>
      </c>
      <c r="AS28" s="15">
        <f>MAX(0,MIN(1,(-W28-0.3)/(0.15-0.3)))</f>
        <v/>
      </c>
      <c r="AT28" s="15">
        <f>0.5*IF(L28&gt;M28,(I28-M28)/(L28-M28),0.5)+0.5*(I28&gt;=N28)</f>
        <v/>
      </c>
      <c r="AU28" s="15">
        <f>MAX(0,MIN(1,(AN28-1.3)/(0.7-1.3)))</f>
        <v/>
      </c>
      <c r="AV28" s="16">
        <f>100*(0.2*AG28+0.2*AH28+0.3*AI28+IF(AJ28="",0,0.3*AJ28))/(0.7+IF(AJ28="",0,0.3))</f>
        <v/>
      </c>
      <c r="AW28" s="16">
        <f>100*(0.25*AP28+0.2*AQ28+0.15*AR28+0.15*AS28+0.15*AT28+0.1*AU28)</f>
        <v/>
      </c>
      <c r="AX28" s="17">
        <f>0.5*AV28+0.5*AW28</f>
        <v/>
      </c>
      <c r="AY28" s="17">
        <f>0.4*AV28+0.4*AW28+0.2*(AL28/4*100)</f>
        <v/>
      </c>
      <c r="AZ28" s="2" t="inlineStr"/>
      <c r="BA28" s="2" t="inlineStr">
        <is>
          <t>17/18</t>
        </is>
      </c>
      <c r="BB28" s="3" t="inlineStr"/>
      <c r="BC28" s="18" t="n">
        <v>0.00012</v>
      </c>
    </row>
    <row r="29">
      <c r="A29" s="2">
        <f>COUNTIF($AY$2:$AY$29,"&gt;"&amp;AY29)+1</f>
        <v/>
      </c>
      <c r="B29" s="5" t="inlineStr">
        <is>
          <t>CBLL</t>
        </is>
      </c>
      <c r="C29" s="2" t="inlineStr">
        <is>
          <t>CeriBell Inc.</t>
        </is>
      </c>
      <c r="D29" s="2" t="inlineStr">
        <is>
          <t>NASDAQ</t>
        </is>
      </c>
      <c r="E29" s="2" t="inlineStr">
        <is>
          <t>醫療保健</t>
        </is>
      </c>
      <c r="F29" s="2" t="inlineStr">
        <is>
          <t>Biotechnology: Electromedical &amp; Electrotherapeutic Apparatus</t>
        </is>
      </c>
      <c r="G29" s="6" t="n">
        <v>0.906</v>
      </c>
      <c r="H29" s="2" t="inlineStr">
        <is>
          <t>小型</t>
        </is>
      </c>
      <c r="I29" s="7" t="n">
        <v>23.62</v>
      </c>
      <c r="J29" s="7" t="n">
        <v>24.25</v>
      </c>
      <c r="K29" s="8">
        <f>I29/J29-1</f>
        <v/>
      </c>
      <c r="L29" s="7" t="n">
        <v>24.22</v>
      </c>
      <c r="M29" s="7" t="n">
        <v>23.331</v>
      </c>
      <c r="N29" s="7" t="n">
        <v>24.21749999999995</v>
      </c>
      <c r="O29" s="8">
        <f>I29/N29-1</f>
        <v/>
      </c>
      <c r="P29" s="7" t="n">
        <v>21.78279999999996</v>
      </c>
      <c r="Q29" s="9">
        <f>I29/P29-1</f>
        <v/>
      </c>
      <c r="R29" s="7" t="n">
        <v>24.20749999999994</v>
      </c>
      <c r="S29" s="8">
        <f>N29/R29-1</f>
        <v/>
      </c>
      <c r="T29" s="7" t="n">
        <v>25.04</v>
      </c>
      <c r="U29" s="2" t="inlineStr">
        <is>
          <t>2026-09-15</t>
        </is>
      </c>
      <c r="V29" s="10" t="n">
        <v>6</v>
      </c>
      <c r="W29" s="9">
        <f>I29/T29-1</f>
        <v/>
      </c>
      <c r="X29" s="11" t="n">
        <v>0.2507851956079306</v>
      </c>
      <c r="Y29" s="2" t="inlineStr">
        <is>
          <t>2026-08-19</t>
        </is>
      </c>
      <c r="Z29" s="12" t="n">
        <v>-0.03660576029730378</v>
      </c>
      <c r="AA29" s="2" t="inlineStr">
        <is>
          <t>2026-07-23</t>
        </is>
      </c>
      <c r="AB29" s="13" t="n">
        <v>0.5380835380835378</v>
      </c>
      <c r="AC29" s="11" t="n">
        <v>-0.01336675020885547</v>
      </c>
      <c r="AD29" s="11" t="n">
        <v>0.3968066232998226</v>
      </c>
      <c r="AE29" s="11" t="n">
        <v>0.2692101020956477</v>
      </c>
      <c r="AF29" s="11" t="n">
        <v>0.2484143763213531</v>
      </c>
      <c r="AG29" s="11" t="n">
        <v>0.7142857142857143</v>
      </c>
      <c r="AH29" s="11" t="n">
        <v>0.9529837251356239</v>
      </c>
      <c r="AI29" s="11" t="n">
        <v>0.894755877034358</v>
      </c>
      <c r="AJ29" s="11" t="n">
        <v>0.7362435803374908</v>
      </c>
      <c r="AK29" s="2" t="inlineStr">
        <is>
          <t>2個月</t>
        </is>
      </c>
      <c r="AL29" s="14">
        <f>(AG29&gt;=0.9)*(AC29&gt;0)+(AH29&gt;=0.9)*(AD29&gt;0)+(AI29&gt;=0.9)*(AE29&gt;0)+IF(AJ29="",0,(AJ29&gt;=0.9)*(AF29&gt;0))</f>
        <v/>
      </c>
      <c r="AM29" s="6" t="n">
        <v>1.627677003186446</v>
      </c>
      <c r="AN29" s="6" t="n">
        <v>0.7850732168162495</v>
      </c>
      <c r="AO29" s="11" t="n">
        <v>0.03674549413330109</v>
      </c>
      <c r="AP29" s="15">
        <f>MAX(0,MIN(1,(AM29-1.2)/(0.6-1.2)))</f>
        <v/>
      </c>
      <c r="AQ29" s="15">
        <f>MAX(0,MIN(1,(ABS(O29)-0.03)/(0-0.03)))</f>
        <v/>
      </c>
      <c r="AR29" s="15">
        <f>MAX(0,MIN(1,S29/0.03))</f>
        <v/>
      </c>
      <c r="AS29" s="15">
        <f>MAX(0,MIN(1,(-W29-0.3)/(0.15-0.3)))</f>
        <v/>
      </c>
      <c r="AT29" s="15">
        <f>0.5*IF(L29&gt;M29,(I29-M29)/(L29-M29),0.5)+0.5*(I29&gt;=N29)</f>
        <v/>
      </c>
      <c r="AU29" s="15">
        <f>MAX(0,MIN(1,(AN29-1.3)/(0.7-1.3)))</f>
        <v/>
      </c>
      <c r="AV29" s="16">
        <f>100*(0.2*AG29+0.2*AH29+0.3*AI29+IF(AJ29="",0,0.3*AJ29))/(0.7+IF(AJ29="",0,0.3))</f>
        <v/>
      </c>
      <c r="AW29" s="16">
        <f>100*(0.25*AP29+0.2*AQ29+0.15*AR29+0.15*AS29+0.15*AT29+0.1*AU29)</f>
        <v/>
      </c>
      <c r="AX29" s="17">
        <f>0.5*AV29+0.5*AW29</f>
        <v/>
      </c>
      <c r="AY29" s="17">
        <f>0.4*AV29+0.4*AW29+0.2*(AL29/4*100)</f>
        <v/>
      </c>
      <c r="AZ29" s="2" t="inlineStr"/>
      <c r="BA29" s="2" t="inlineStr">
        <is>
          <t>17/18</t>
        </is>
      </c>
      <c r="BB29" s="3" t="inlineStr"/>
      <c r="BC29" s="18" t="n">
        <v>0</v>
      </c>
    </row>
  </sheetData>
  <autoFilter ref="A1:BC29"/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</hyperlink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1個月動能（21 個交易日回報排全體合資格股票前 10%）＋ 回到上升中嘅 20MA · 以綜合分數排序 · 2026-09-23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1個月回報</t>
        </is>
      </c>
      <c r="K3" s="4" t="inlineStr">
        <is>
          <t>1個月百分位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COUNTIF($O$4:$O$18,"&gt;"&amp;O4)+1</f>
        <v/>
      </c>
      <c r="B4" s="2">
        <f>'總表'!A2</f>
        <v/>
      </c>
      <c r="C4" s="5" t="inlineStr">
        <is>
          <t>VEEV</t>
        </is>
      </c>
      <c r="D4" s="2">
        <f>'總表'!C2</f>
        <v/>
      </c>
      <c r="E4" s="2">
        <f>'總表'!E2</f>
        <v/>
      </c>
      <c r="F4" s="2">
        <f>'總表'!H2</f>
        <v/>
      </c>
      <c r="G4" s="21">
        <f>'總表'!I2</f>
        <v/>
      </c>
      <c r="H4" s="8">
        <f>'總表'!O2</f>
        <v/>
      </c>
      <c r="I4" s="9">
        <f>'總表'!W2</f>
        <v/>
      </c>
      <c r="J4" s="9">
        <f>'總表'!AC2</f>
        <v/>
      </c>
      <c r="K4" s="9">
        <f>'總表'!AG2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COUNTIF($O$4:$O$18,"&gt;"&amp;O5)+1</f>
        <v/>
      </c>
      <c r="B5" s="2">
        <f>'總表'!A7</f>
        <v/>
      </c>
      <c r="C5" s="5" t="inlineStr">
        <is>
          <t>NOW</t>
        </is>
      </c>
      <c r="D5" s="2">
        <f>'總表'!C7</f>
        <v/>
      </c>
      <c r="E5" s="2">
        <f>'總表'!E7</f>
        <v/>
      </c>
      <c r="F5" s="2">
        <f>'總表'!H7</f>
        <v/>
      </c>
      <c r="G5" s="21">
        <f>'總表'!I7</f>
        <v/>
      </c>
      <c r="H5" s="8">
        <f>'總表'!O7</f>
        <v/>
      </c>
      <c r="I5" s="9">
        <f>'總表'!W7</f>
        <v/>
      </c>
      <c r="J5" s="9">
        <f>'總表'!AC7</f>
        <v/>
      </c>
      <c r="K5" s="9">
        <f>'總表'!AG7</f>
        <v/>
      </c>
      <c r="L5" s="14">
        <f>'總表'!AL7</f>
        <v/>
      </c>
      <c r="M5" s="16">
        <f>'總表'!AV7</f>
        <v/>
      </c>
      <c r="N5" s="16">
        <f>'總表'!AW7</f>
        <v/>
      </c>
      <c r="O5" s="17">
        <f>'總表'!AX7</f>
        <v/>
      </c>
      <c r="P5" s="3">
        <f>'總表'!BB7</f>
        <v/>
      </c>
    </row>
    <row r="6">
      <c r="A6" s="2">
        <f>COUNTIF($O$4:$O$18,"&gt;"&amp;O6)+1</f>
        <v/>
      </c>
      <c r="B6" s="2">
        <f>'總表'!A14</f>
        <v/>
      </c>
      <c r="C6" s="19" t="inlineStr">
        <is>
          <t>DHX</t>
        </is>
      </c>
      <c r="D6" s="2">
        <f>'總表'!C14</f>
        <v/>
      </c>
      <c r="E6" s="2">
        <f>'總表'!E14</f>
        <v/>
      </c>
      <c r="F6" s="2">
        <f>'總表'!H14</f>
        <v/>
      </c>
      <c r="G6" s="21">
        <f>'總表'!I14</f>
        <v/>
      </c>
      <c r="H6" s="8">
        <f>'總表'!O14</f>
        <v/>
      </c>
      <c r="I6" s="9">
        <f>'總表'!W14</f>
        <v/>
      </c>
      <c r="J6" s="9">
        <f>'總表'!AC14</f>
        <v/>
      </c>
      <c r="K6" s="9">
        <f>'總表'!AG14</f>
        <v/>
      </c>
      <c r="L6" s="14">
        <f>'總表'!AL14</f>
        <v/>
      </c>
      <c r="M6" s="16">
        <f>'總表'!AV14</f>
        <v/>
      </c>
      <c r="N6" s="16">
        <f>'總表'!AW14</f>
        <v/>
      </c>
      <c r="O6" s="17">
        <f>'總表'!AX14</f>
        <v/>
      </c>
      <c r="P6" s="3">
        <f>'總表'!BB14</f>
        <v/>
      </c>
    </row>
    <row r="7">
      <c r="A7" s="2">
        <f>COUNTIF($O$4:$O$18,"&gt;"&amp;O7)+1</f>
        <v/>
      </c>
      <c r="B7" s="2">
        <f>'總表'!A3</f>
        <v/>
      </c>
      <c r="C7" s="5" t="inlineStr">
        <is>
          <t>NUTX</t>
        </is>
      </c>
      <c r="D7" s="2">
        <f>'總表'!C3</f>
        <v/>
      </c>
      <c r="E7" s="2">
        <f>'總表'!E3</f>
        <v/>
      </c>
      <c r="F7" s="2">
        <f>'總表'!H3</f>
        <v/>
      </c>
      <c r="G7" s="21">
        <f>'總表'!I3</f>
        <v/>
      </c>
      <c r="H7" s="8">
        <f>'總表'!O3</f>
        <v/>
      </c>
      <c r="I7" s="9">
        <f>'總表'!W3</f>
        <v/>
      </c>
      <c r="J7" s="9">
        <f>'總表'!AC3</f>
        <v/>
      </c>
      <c r="K7" s="9">
        <f>'總表'!AG3</f>
        <v/>
      </c>
      <c r="L7" s="14">
        <f>'總表'!AL3</f>
        <v/>
      </c>
      <c r="M7" s="16">
        <f>'總表'!AV3</f>
        <v/>
      </c>
      <c r="N7" s="16">
        <f>'總表'!AW3</f>
        <v/>
      </c>
      <c r="O7" s="17">
        <f>'總表'!AX3</f>
        <v/>
      </c>
      <c r="P7" s="3">
        <f>'總表'!BB3</f>
        <v/>
      </c>
    </row>
    <row r="8">
      <c r="A8" s="2">
        <f>COUNTIF($O$4:$O$18,"&gt;"&amp;O8)+1</f>
        <v/>
      </c>
      <c r="B8" s="2">
        <f>'總表'!A4</f>
        <v/>
      </c>
      <c r="C8" s="19" t="inlineStr">
        <is>
          <t>CLMT</t>
        </is>
      </c>
      <c r="D8" s="2">
        <f>'總表'!C4</f>
        <v/>
      </c>
      <c r="E8" s="2">
        <f>'總表'!E4</f>
        <v/>
      </c>
      <c r="F8" s="2">
        <f>'總表'!H4</f>
        <v/>
      </c>
      <c r="G8" s="21">
        <f>'總表'!I4</f>
        <v/>
      </c>
      <c r="H8" s="8">
        <f>'總表'!O4</f>
        <v/>
      </c>
      <c r="I8" s="9">
        <f>'總表'!W4</f>
        <v/>
      </c>
      <c r="J8" s="9">
        <f>'總表'!AC4</f>
        <v/>
      </c>
      <c r="K8" s="9">
        <f>'總表'!AG4</f>
        <v/>
      </c>
      <c r="L8" s="14">
        <f>'總表'!AL4</f>
        <v/>
      </c>
      <c r="M8" s="16">
        <f>'總表'!AV4</f>
        <v/>
      </c>
      <c r="N8" s="16">
        <f>'總表'!AW4</f>
        <v/>
      </c>
      <c r="O8" s="17">
        <f>'總表'!AX4</f>
        <v/>
      </c>
      <c r="P8" s="3">
        <f>'總表'!BB4</f>
        <v/>
      </c>
    </row>
    <row r="9">
      <c r="A9" s="2">
        <f>COUNTIF($O$4:$O$18,"&gt;"&amp;O9)+1</f>
        <v/>
      </c>
      <c r="B9" s="2">
        <f>'總表'!A5</f>
        <v/>
      </c>
      <c r="C9" s="5" t="inlineStr">
        <is>
          <t>ESTC</t>
        </is>
      </c>
      <c r="D9" s="2">
        <f>'總表'!C5</f>
        <v/>
      </c>
      <c r="E9" s="2">
        <f>'總表'!E5</f>
        <v/>
      </c>
      <c r="F9" s="2">
        <f>'總表'!H5</f>
        <v/>
      </c>
      <c r="G9" s="21">
        <f>'總表'!I5</f>
        <v/>
      </c>
      <c r="H9" s="8">
        <f>'總表'!O5</f>
        <v/>
      </c>
      <c r="I9" s="9">
        <f>'總表'!W5</f>
        <v/>
      </c>
      <c r="J9" s="9">
        <f>'總表'!AC5</f>
        <v/>
      </c>
      <c r="K9" s="9">
        <f>'總表'!AG5</f>
        <v/>
      </c>
      <c r="L9" s="14">
        <f>'總表'!AL5</f>
        <v/>
      </c>
      <c r="M9" s="16">
        <f>'總表'!AV5</f>
        <v/>
      </c>
      <c r="N9" s="16">
        <f>'總表'!AW5</f>
        <v/>
      </c>
      <c r="O9" s="17">
        <f>'總表'!AX5</f>
        <v/>
      </c>
      <c r="P9" s="3">
        <f>'總表'!BB5</f>
        <v/>
      </c>
    </row>
    <row r="10">
      <c r="A10" s="2">
        <f>COUNTIF($O$4:$O$18,"&gt;"&amp;O10)+1</f>
        <v/>
      </c>
      <c r="B10" s="2">
        <f>'總表'!A6</f>
        <v/>
      </c>
      <c r="C10" s="5" t="inlineStr">
        <is>
          <t>NEO</t>
        </is>
      </c>
      <c r="D10" s="2">
        <f>'總表'!C6</f>
        <v/>
      </c>
      <c r="E10" s="2">
        <f>'總表'!E6</f>
        <v/>
      </c>
      <c r="F10" s="2">
        <f>'總表'!H6</f>
        <v/>
      </c>
      <c r="G10" s="21">
        <f>'總表'!I6</f>
        <v/>
      </c>
      <c r="H10" s="8">
        <f>'總表'!O6</f>
        <v/>
      </c>
      <c r="I10" s="9">
        <f>'總表'!W6</f>
        <v/>
      </c>
      <c r="J10" s="9">
        <f>'總表'!AC6</f>
        <v/>
      </c>
      <c r="K10" s="9">
        <f>'總表'!AG6</f>
        <v/>
      </c>
      <c r="L10" s="14">
        <f>'總表'!AL6</f>
        <v/>
      </c>
      <c r="M10" s="16">
        <f>'總表'!AV6</f>
        <v/>
      </c>
      <c r="N10" s="16">
        <f>'總表'!AW6</f>
        <v/>
      </c>
      <c r="O10" s="17">
        <f>'總表'!AX6</f>
        <v/>
      </c>
      <c r="P10" s="3">
        <f>'總表'!BB6</f>
        <v/>
      </c>
    </row>
    <row r="11">
      <c r="A11" s="2">
        <f>COUNTIF($O$4:$O$18,"&gt;"&amp;O11)+1</f>
        <v/>
      </c>
      <c r="B11" s="2">
        <f>'總表'!A10</f>
        <v/>
      </c>
      <c r="C11" s="19" t="inlineStr">
        <is>
          <t>IRD</t>
        </is>
      </c>
      <c r="D11" s="2">
        <f>'總表'!C10</f>
        <v/>
      </c>
      <c r="E11" s="2">
        <f>'總表'!E10</f>
        <v/>
      </c>
      <c r="F11" s="2">
        <f>'總表'!H10</f>
        <v/>
      </c>
      <c r="G11" s="21">
        <f>'總表'!I10</f>
        <v/>
      </c>
      <c r="H11" s="8">
        <f>'總表'!O10</f>
        <v/>
      </c>
      <c r="I11" s="9">
        <f>'總表'!W10</f>
        <v/>
      </c>
      <c r="J11" s="9">
        <f>'總表'!AC10</f>
        <v/>
      </c>
      <c r="K11" s="9">
        <f>'總表'!AG10</f>
        <v/>
      </c>
      <c r="L11" s="14">
        <f>'總表'!AL10</f>
        <v/>
      </c>
      <c r="M11" s="16">
        <f>'總表'!AV10</f>
        <v/>
      </c>
      <c r="N11" s="16">
        <f>'總表'!AW10</f>
        <v/>
      </c>
      <c r="O11" s="17">
        <f>'總表'!AX10</f>
        <v/>
      </c>
      <c r="P11" s="3">
        <f>'總表'!BB10</f>
        <v/>
      </c>
    </row>
    <row r="12">
      <c r="A12" s="2">
        <f>COUNTIF($O$4:$O$18,"&gt;"&amp;O12)+1</f>
        <v/>
      </c>
      <c r="B12" s="2">
        <f>'總表'!A11</f>
        <v/>
      </c>
      <c r="C12" s="19" t="inlineStr">
        <is>
          <t>AMWL</t>
        </is>
      </c>
      <c r="D12" s="2">
        <f>'總表'!C11</f>
        <v/>
      </c>
      <c r="E12" s="2">
        <f>'總表'!E11</f>
        <v/>
      </c>
      <c r="F12" s="2">
        <f>'總表'!H11</f>
        <v/>
      </c>
      <c r="G12" s="21">
        <f>'總表'!I11</f>
        <v/>
      </c>
      <c r="H12" s="8">
        <f>'總表'!O11</f>
        <v/>
      </c>
      <c r="I12" s="9">
        <f>'總表'!W11</f>
        <v/>
      </c>
      <c r="J12" s="9">
        <f>'總表'!AC11</f>
        <v/>
      </c>
      <c r="K12" s="9">
        <f>'總表'!AG11</f>
        <v/>
      </c>
      <c r="L12" s="14">
        <f>'總表'!AL11</f>
        <v/>
      </c>
      <c r="M12" s="16">
        <f>'總表'!AV11</f>
        <v/>
      </c>
      <c r="N12" s="16">
        <f>'總表'!AW11</f>
        <v/>
      </c>
      <c r="O12" s="17">
        <f>'總表'!AX11</f>
        <v/>
      </c>
      <c r="P12" s="3">
        <f>'總表'!BB11</f>
        <v/>
      </c>
    </row>
    <row r="13">
      <c r="A13" s="2">
        <f>COUNTIF($O$4:$O$18,"&gt;"&amp;O13)+1</f>
        <v/>
      </c>
      <c r="B13" s="2">
        <f>'總表'!A8</f>
        <v/>
      </c>
      <c r="C13" s="5" t="inlineStr">
        <is>
          <t>HPQ</t>
        </is>
      </c>
      <c r="D13" s="2">
        <f>'總表'!C8</f>
        <v/>
      </c>
      <c r="E13" s="2">
        <f>'總表'!E8</f>
        <v/>
      </c>
      <c r="F13" s="2">
        <f>'總表'!H8</f>
        <v/>
      </c>
      <c r="G13" s="21">
        <f>'總表'!I8</f>
        <v/>
      </c>
      <c r="H13" s="8">
        <f>'總表'!O8</f>
        <v/>
      </c>
      <c r="I13" s="9">
        <f>'總表'!W8</f>
        <v/>
      </c>
      <c r="J13" s="9">
        <f>'總表'!AC8</f>
        <v/>
      </c>
      <c r="K13" s="9">
        <f>'總表'!AG8</f>
        <v/>
      </c>
      <c r="L13" s="14">
        <f>'總表'!AL8</f>
        <v/>
      </c>
      <c r="M13" s="16">
        <f>'總表'!AV8</f>
        <v/>
      </c>
      <c r="N13" s="16">
        <f>'總表'!AW8</f>
        <v/>
      </c>
      <c r="O13" s="17">
        <f>'總表'!AX8</f>
        <v/>
      </c>
      <c r="P13" s="3">
        <f>'總表'!BB8</f>
        <v/>
      </c>
    </row>
    <row r="14">
      <c r="A14" s="2">
        <f>COUNTIF($O$4:$O$18,"&gt;"&amp;O14)+1</f>
        <v/>
      </c>
      <c r="B14" s="2">
        <f>'總表'!A16</f>
        <v/>
      </c>
      <c r="C14" s="19" t="inlineStr">
        <is>
          <t>DINO</t>
        </is>
      </c>
      <c r="D14" s="2">
        <f>'總表'!C16</f>
        <v/>
      </c>
      <c r="E14" s="2">
        <f>'總表'!E16</f>
        <v/>
      </c>
      <c r="F14" s="2">
        <f>'總表'!H16</f>
        <v/>
      </c>
      <c r="G14" s="21">
        <f>'總表'!I16</f>
        <v/>
      </c>
      <c r="H14" s="8">
        <f>'總表'!O16</f>
        <v/>
      </c>
      <c r="I14" s="9">
        <f>'總表'!W16</f>
        <v/>
      </c>
      <c r="J14" s="9">
        <f>'總表'!AC16</f>
        <v/>
      </c>
      <c r="K14" s="9">
        <f>'總表'!AG16</f>
        <v/>
      </c>
      <c r="L14" s="14">
        <f>'總表'!AL16</f>
        <v/>
      </c>
      <c r="M14" s="16">
        <f>'總表'!AV16</f>
        <v/>
      </c>
      <c r="N14" s="16">
        <f>'總表'!AW16</f>
        <v/>
      </c>
      <c r="O14" s="17">
        <f>'總表'!AX16</f>
        <v/>
      </c>
      <c r="P14" s="3">
        <f>'總表'!BB16</f>
        <v/>
      </c>
    </row>
    <row r="15">
      <c r="A15" s="2">
        <f>COUNTIF($O$4:$O$18,"&gt;"&amp;O15)+1</f>
        <v/>
      </c>
      <c r="B15" s="2">
        <f>'總表'!A20</f>
        <v/>
      </c>
      <c r="C15" s="5" t="inlineStr">
        <is>
          <t>VIR</t>
        </is>
      </c>
      <c r="D15" s="2">
        <f>'總表'!C20</f>
        <v/>
      </c>
      <c r="E15" s="2">
        <f>'總表'!E20</f>
        <v/>
      </c>
      <c r="F15" s="2">
        <f>'總表'!H20</f>
        <v/>
      </c>
      <c r="G15" s="21">
        <f>'總表'!I20</f>
        <v/>
      </c>
      <c r="H15" s="8">
        <f>'總表'!O20</f>
        <v/>
      </c>
      <c r="I15" s="9">
        <f>'總表'!W20</f>
        <v/>
      </c>
      <c r="J15" s="9">
        <f>'總表'!AC20</f>
        <v/>
      </c>
      <c r="K15" s="9">
        <f>'總表'!AG20</f>
        <v/>
      </c>
      <c r="L15" s="14">
        <f>'總表'!AL20</f>
        <v/>
      </c>
      <c r="M15" s="16">
        <f>'總表'!AV20</f>
        <v/>
      </c>
      <c r="N15" s="16">
        <f>'總表'!AW20</f>
        <v/>
      </c>
      <c r="O15" s="17">
        <f>'總表'!AX20</f>
        <v/>
      </c>
      <c r="P15" s="3">
        <f>'總表'!BB20</f>
        <v/>
      </c>
    </row>
    <row r="16">
      <c r="A16" s="2">
        <f>COUNTIF($O$4:$O$18,"&gt;"&amp;O16)+1</f>
        <v/>
      </c>
      <c r="B16" s="2">
        <f>'總表'!A18</f>
        <v/>
      </c>
      <c r="C16" s="19" t="inlineStr">
        <is>
          <t>VLO</t>
        </is>
      </c>
      <c r="D16" s="2">
        <f>'總表'!C18</f>
        <v/>
      </c>
      <c r="E16" s="2">
        <f>'總表'!E18</f>
        <v/>
      </c>
      <c r="F16" s="2">
        <f>'總表'!H18</f>
        <v/>
      </c>
      <c r="G16" s="21">
        <f>'總表'!I18</f>
        <v/>
      </c>
      <c r="H16" s="8">
        <f>'總表'!O18</f>
        <v/>
      </c>
      <c r="I16" s="9">
        <f>'總表'!W18</f>
        <v/>
      </c>
      <c r="J16" s="9">
        <f>'總表'!AC18</f>
        <v/>
      </c>
      <c r="K16" s="9">
        <f>'總表'!AG18</f>
        <v/>
      </c>
      <c r="L16" s="14">
        <f>'總表'!AL18</f>
        <v/>
      </c>
      <c r="M16" s="16">
        <f>'總表'!AV18</f>
        <v/>
      </c>
      <c r="N16" s="16">
        <f>'總表'!AW18</f>
        <v/>
      </c>
      <c r="O16" s="17">
        <f>'總表'!AX18</f>
        <v/>
      </c>
      <c r="P16" s="3">
        <f>'總表'!BB18</f>
        <v/>
      </c>
    </row>
    <row r="17">
      <c r="A17" s="2">
        <f>COUNTIF($O$4:$O$18,"&gt;"&amp;O17)+1</f>
        <v/>
      </c>
      <c r="B17" s="2">
        <f>'總表'!A24</f>
        <v/>
      </c>
      <c r="C17" s="5" t="inlineStr">
        <is>
          <t>DJCO</t>
        </is>
      </c>
      <c r="D17" s="2">
        <f>'總表'!C24</f>
        <v/>
      </c>
      <c r="E17" s="2">
        <f>'總表'!E24</f>
        <v/>
      </c>
      <c r="F17" s="2">
        <f>'總表'!H24</f>
        <v/>
      </c>
      <c r="G17" s="21">
        <f>'總表'!I24</f>
        <v/>
      </c>
      <c r="H17" s="8">
        <f>'總表'!O24</f>
        <v/>
      </c>
      <c r="I17" s="9">
        <f>'總表'!W24</f>
        <v/>
      </c>
      <c r="J17" s="9">
        <f>'總表'!AC24</f>
        <v/>
      </c>
      <c r="K17" s="9">
        <f>'總表'!AG24</f>
        <v/>
      </c>
      <c r="L17" s="14">
        <f>'總表'!AL24</f>
        <v/>
      </c>
      <c r="M17" s="16">
        <f>'總表'!AV24</f>
        <v/>
      </c>
      <c r="N17" s="16">
        <f>'總表'!AW24</f>
        <v/>
      </c>
      <c r="O17" s="17">
        <f>'總表'!AX24</f>
        <v/>
      </c>
      <c r="P17" s="3">
        <f>'總表'!BB24</f>
        <v/>
      </c>
    </row>
    <row r="18">
      <c r="A18" s="2">
        <f>COUNTIF($O$4:$O$18,"&gt;"&amp;O18)+1</f>
        <v/>
      </c>
      <c r="B18" s="2">
        <f>'總表'!A27</f>
        <v/>
      </c>
      <c r="C18" s="5" t="inlineStr">
        <is>
          <t>REPX</t>
        </is>
      </c>
      <c r="D18" s="2">
        <f>'總表'!C27</f>
        <v/>
      </c>
      <c r="E18" s="2">
        <f>'總表'!E27</f>
        <v/>
      </c>
      <c r="F18" s="2">
        <f>'總表'!H27</f>
        <v/>
      </c>
      <c r="G18" s="21">
        <f>'總表'!I27</f>
        <v/>
      </c>
      <c r="H18" s="8">
        <f>'總表'!O27</f>
        <v/>
      </c>
      <c r="I18" s="9">
        <f>'總表'!W27</f>
        <v/>
      </c>
      <c r="J18" s="9">
        <f>'總表'!AC27</f>
        <v/>
      </c>
      <c r="K18" s="9">
        <f>'總表'!AG27</f>
        <v/>
      </c>
      <c r="L18" s="14">
        <f>'總表'!AL27</f>
        <v/>
      </c>
      <c r="M18" s="16">
        <f>'總表'!AV27</f>
        <v/>
      </c>
      <c r="N18" s="16">
        <f>'總表'!AW27</f>
        <v/>
      </c>
      <c r="O18" s="17">
        <f>'總表'!AX27</f>
        <v/>
      </c>
      <c r="P18" s="3">
        <f>'總表'!BB27</f>
        <v/>
      </c>
    </row>
  </sheetData>
  <autoFilter ref="A3:P18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2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2個月動能（42 個交易日回報排全體合資格股票前 10%）＋ 回到上升中嘅 20MA · 以綜合分數排序 · 2026-09-23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2個月回報</t>
        </is>
      </c>
      <c r="K3" s="4" t="inlineStr">
        <is>
          <t>2個月百分位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COUNTIF($O$4:$O$22,"&gt;"&amp;O4)+1</f>
        <v/>
      </c>
      <c r="B4" s="2">
        <f>'總表'!A2</f>
        <v/>
      </c>
      <c r="C4" s="5" t="inlineStr">
        <is>
          <t>VEEV</t>
        </is>
      </c>
      <c r="D4" s="2">
        <f>'總表'!C2</f>
        <v/>
      </c>
      <c r="E4" s="2">
        <f>'總表'!E2</f>
        <v/>
      </c>
      <c r="F4" s="2">
        <f>'總表'!H2</f>
        <v/>
      </c>
      <c r="G4" s="21">
        <f>'總表'!I2</f>
        <v/>
      </c>
      <c r="H4" s="8">
        <f>'總表'!O2</f>
        <v/>
      </c>
      <c r="I4" s="9">
        <f>'總表'!W2</f>
        <v/>
      </c>
      <c r="J4" s="9">
        <f>'總表'!AD2</f>
        <v/>
      </c>
      <c r="K4" s="9">
        <f>'總表'!AH2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COUNTIF($O$4:$O$22,"&gt;"&amp;O5)+1</f>
        <v/>
      </c>
      <c r="B5" s="2">
        <f>'總表'!A7</f>
        <v/>
      </c>
      <c r="C5" s="5" t="inlineStr">
        <is>
          <t>NOW</t>
        </is>
      </c>
      <c r="D5" s="2">
        <f>'總表'!C7</f>
        <v/>
      </c>
      <c r="E5" s="2">
        <f>'總表'!E7</f>
        <v/>
      </c>
      <c r="F5" s="2">
        <f>'總表'!H7</f>
        <v/>
      </c>
      <c r="G5" s="21">
        <f>'總表'!I7</f>
        <v/>
      </c>
      <c r="H5" s="8">
        <f>'總表'!O7</f>
        <v/>
      </c>
      <c r="I5" s="9">
        <f>'總表'!W7</f>
        <v/>
      </c>
      <c r="J5" s="9">
        <f>'總表'!AD7</f>
        <v/>
      </c>
      <c r="K5" s="9">
        <f>'總表'!AH7</f>
        <v/>
      </c>
      <c r="L5" s="14">
        <f>'總表'!AL7</f>
        <v/>
      </c>
      <c r="M5" s="16">
        <f>'總表'!AV7</f>
        <v/>
      </c>
      <c r="N5" s="16">
        <f>'總表'!AW7</f>
        <v/>
      </c>
      <c r="O5" s="17">
        <f>'總表'!AX7</f>
        <v/>
      </c>
      <c r="P5" s="3">
        <f>'總表'!BB7</f>
        <v/>
      </c>
    </row>
    <row r="6">
      <c r="A6" s="2">
        <f>COUNTIF($O$4:$O$22,"&gt;"&amp;O6)+1</f>
        <v/>
      </c>
      <c r="B6" s="2">
        <f>'總表'!A9</f>
        <v/>
      </c>
      <c r="C6" s="19" t="inlineStr">
        <is>
          <t>PLSE</t>
        </is>
      </c>
      <c r="D6" s="2">
        <f>'總表'!C9</f>
        <v/>
      </c>
      <c r="E6" s="2">
        <f>'總表'!E9</f>
        <v/>
      </c>
      <c r="F6" s="2">
        <f>'總表'!H9</f>
        <v/>
      </c>
      <c r="G6" s="21">
        <f>'總表'!I9</f>
        <v/>
      </c>
      <c r="H6" s="8">
        <f>'總表'!O9</f>
        <v/>
      </c>
      <c r="I6" s="9">
        <f>'總表'!W9</f>
        <v/>
      </c>
      <c r="J6" s="9">
        <f>'總表'!AD9</f>
        <v/>
      </c>
      <c r="K6" s="9">
        <f>'總表'!AH9</f>
        <v/>
      </c>
      <c r="L6" s="14">
        <f>'總表'!AL9</f>
        <v/>
      </c>
      <c r="M6" s="16">
        <f>'總表'!AV9</f>
        <v/>
      </c>
      <c r="N6" s="16">
        <f>'總表'!AW9</f>
        <v/>
      </c>
      <c r="O6" s="17">
        <f>'總表'!AX9</f>
        <v/>
      </c>
      <c r="P6" s="3">
        <f>'總表'!BB9</f>
        <v/>
      </c>
    </row>
    <row r="7">
      <c r="A7" s="2">
        <f>COUNTIF($O$4:$O$22,"&gt;"&amp;O7)+1</f>
        <v/>
      </c>
      <c r="B7" s="2">
        <f>'總表'!A3</f>
        <v/>
      </c>
      <c r="C7" s="5" t="inlineStr">
        <is>
          <t>NUTX</t>
        </is>
      </c>
      <c r="D7" s="2">
        <f>'總表'!C3</f>
        <v/>
      </c>
      <c r="E7" s="2">
        <f>'總表'!E3</f>
        <v/>
      </c>
      <c r="F7" s="2">
        <f>'總表'!H3</f>
        <v/>
      </c>
      <c r="G7" s="21">
        <f>'總表'!I3</f>
        <v/>
      </c>
      <c r="H7" s="8">
        <f>'總表'!O3</f>
        <v/>
      </c>
      <c r="I7" s="9">
        <f>'總表'!W3</f>
        <v/>
      </c>
      <c r="J7" s="9">
        <f>'總表'!AD3</f>
        <v/>
      </c>
      <c r="K7" s="9">
        <f>'總表'!AH3</f>
        <v/>
      </c>
      <c r="L7" s="14">
        <f>'總表'!AL3</f>
        <v/>
      </c>
      <c r="M7" s="16">
        <f>'總表'!AV3</f>
        <v/>
      </c>
      <c r="N7" s="16">
        <f>'總表'!AW3</f>
        <v/>
      </c>
      <c r="O7" s="17">
        <f>'總表'!AX3</f>
        <v/>
      </c>
      <c r="P7" s="3">
        <f>'總表'!BB3</f>
        <v/>
      </c>
    </row>
    <row r="8">
      <c r="A8" s="2">
        <f>COUNTIF($O$4:$O$22,"&gt;"&amp;O8)+1</f>
        <v/>
      </c>
      <c r="B8" s="2">
        <f>'總表'!A4</f>
        <v/>
      </c>
      <c r="C8" s="19" t="inlineStr">
        <is>
          <t>CLMT</t>
        </is>
      </c>
      <c r="D8" s="2">
        <f>'總表'!C4</f>
        <v/>
      </c>
      <c r="E8" s="2">
        <f>'總表'!E4</f>
        <v/>
      </c>
      <c r="F8" s="2">
        <f>'總表'!H4</f>
        <v/>
      </c>
      <c r="G8" s="21">
        <f>'總表'!I4</f>
        <v/>
      </c>
      <c r="H8" s="8">
        <f>'總表'!O4</f>
        <v/>
      </c>
      <c r="I8" s="9">
        <f>'總表'!W4</f>
        <v/>
      </c>
      <c r="J8" s="9">
        <f>'總表'!AD4</f>
        <v/>
      </c>
      <c r="K8" s="9">
        <f>'總表'!AH4</f>
        <v/>
      </c>
      <c r="L8" s="14">
        <f>'總表'!AL4</f>
        <v/>
      </c>
      <c r="M8" s="16">
        <f>'總表'!AV4</f>
        <v/>
      </c>
      <c r="N8" s="16">
        <f>'總表'!AW4</f>
        <v/>
      </c>
      <c r="O8" s="17">
        <f>'總表'!AX4</f>
        <v/>
      </c>
      <c r="P8" s="3">
        <f>'總表'!BB4</f>
        <v/>
      </c>
    </row>
    <row r="9">
      <c r="A9" s="2">
        <f>COUNTIF($O$4:$O$22,"&gt;"&amp;O9)+1</f>
        <v/>
      </c>
      <c r="B9" s="2">
        <f>'總表'!A5</f>
        <v/>
      </c>
      <c r="C9" s="5" t="inlineStr">
        <is>
          <t>ESTC</t>
        </is>
      </c>
      <c r="D9" s="2">
        <f>'總表'!C5</f>
        <v/>
      </c>
      <c r="E9" s="2">
        <f>'總表'!E5</f>
        <v/>
      </c>
      <c r="F9" s="2">
        <f>'總表'!H5</f>
        <v/>
      </c>
      <c r="G9" s="21">
        <f>'總表'!I5</f>
        <v/>
      </c>
      <c r="H9" s="8">
        <f>'總表'!O5</f>
        <v/>
      </c>
      <c r="I9" s="9">
        <f>'總表'!W5</f>
        <v/>
      </c>
      <c r="J9" s="9">
        <f>'總表'!AD5</f>
        <v/>
      </c>
      <c r="K9" s="9">
        <f>'總表'!AH5</f>
        <v/>
      </c>
      <c r="L9" s="14">
        <f>'總表'!AL5</f>
        <v/>
      </c>
      <c r="M9" s="16">
        <f>'總表'!AV5</f>
        <v/>
      </c>
      <c r="N9" s="16">
        <f>'總表'!AW5</f>
        <v/>
      </c>
      <c r="O9" s="17">
        <f>'總表'!AX5</f>
        <v/>
      </c>
      <c r="P9" s="3">
        <f>'總表'!BB5</f>
        <v/>
      </c>
    </row>
    <row r="10">
      <c r="A10" s="2">
        <f>COUNTIF($O$4:$O$22,"&gt;"&amp;O10)+1</f>
        <v/>
      </c>
      <c r="B10" s="2">
        <f>'總表'!A6</f>
        <v/>
      </c>
      <c r="C10" s="5" t="inlineStr">
        <is>
          <t>NEO</t>
        </is>
      </c>
      <c r="D10" s="2">
        <f>'總表'!C6</f>
        <v/>
      </c>
      <c r="E10" s="2">
        <f>'總表'!E6</f>
        <v/>
      </c>
      <c r="F10" s="2">
        <f>'總表'!H6</f>
        <v/>
      </c>
      <c r="G10" s="21">
        <f>'總表'!I6</f>
        <v/>
      </c>
      <c r="H10" s="8">
        <f>'總表'!O6</f>
        <v/>
      </c>
      <c r="I10" s="9">
        <f>'總表'!W6</f>
        <v/>
      </c>
      <c r="J10" s="9">
        <f>'總表'!AD6</f>
        <v/>
      </c>
      <c r="K10" s="9">
        <f>'總表'!AH6</f>
        <v/>
      </c>
      <c r="L10" s="14">
        <f>'總表'!AL6</f>
        <v/>
      </c>
      <c r="M10" s="16">
        <f>'總表'!AV6</f>
        <v/>
      </c>
      <c r="N10" s="16">
        <f>'總表'!AW6</f>
        <v/>
      </c>
      <c r="O10" s="17">
        <f>'總表'!AX6</f>
        <v/>
      </c>
      <c r="P10" s="3">
        <f>'總表'!BB6</f>
        <v/>
      </c>
    </row>
    <row r="11">
      <c r="A11" s="2">
        <f>COUNTIF($O$4:$O$22,"&gt;"&amp;O11)+1</f>
        <v/>
      </c>
      <c r="B11" s="2">
        <f>'總表'!A10</f>
        <v/>
      </c>
      <c r="C11" s="19" t="inlineStr">
        <is>
          <t>IRD</t>
        </is>
      </c>
      <c r="D11" s="2">
        <f>'總表'!C10</f>
        <v/>
      </c>
      <c r="E11" s="2">
        <f>'總表'!E10</f>
        <v/>
      </c>
      <c r="F11" s="2">
        <f>'總表'!H10</f>
        <v/>
      </c>
      <c r="G11" s="21">
        <f>'總表'!I10</f>
        <v/>
      </c>
      <c r="H11" s="8">
        <f>'總表'!O10</f>
        <v/>
      </c>
      <c r="I11" s="9">
        <f>'總表'!W10</f>
        <v/>
      </c>
      <c r="J11" s="9">
        <f>'總表'!AD10</f>
        <v/>
      </c>
      <c r="K11" s="9">
        <f>'總表'!AH10</f>
        <v/>
      </c>
      <c r="L11" s="14">
        <f>'總表'!AL10</f>
        <v/>
      </c>
      <c r="M11" s="16">
        <f>'總表'!AV10</f>
        <v/>
      </c>
      <c r="N11" s="16">
        <f>'總表'!AW10</f>
        <v/>
      </c>
      <c r="O11" s="17">
        <f>'總表'!AX10</f>
        <v/>
      </c>
      <c r="P11" s="3">
        <f>'總表'!BB10</f>
        <v/>
      </c>
    </row>
    <row r="12">
      <c r="A12" s="2">
        <f>COUNTIF($O$4:$O$22,"&gt;"&amp;O12)+1</f>
        <v/>
      </c>
      <c r="B12" s="2">
        <f>'總表'!A12</f>
        <v/>
      </c>
      <c r="C12" s="5" t="inlineStr">
        <is>
          <t>SNOW</t>
        </is>
      </c>
      <c r="D12" s="2">
        <f>'總表'!C12</f>
        <v/>
      </c>
      <c r="E12" s="2">
        <f>'總表'!E12</f>
        <v/>
      </c>
      <c r="F12" s="2">
        <f>'總表'!H12</f>
        <v/>
      </c>
      <c r="G12" s="21">
        <f>'總表'!I12</f>
        <v/>
      </c>
      <c r="H12" s="8">
        <f>'總表'!O12</f>
        <v/>
      </c>
      <c r="I12" s="9">
        <f>'總表'!W12</f>
        <v/>
      </c>
      <c r="J12" s="9">
        <f>'總表'!AD12</f>
        <v/>
      </c>
      <c r="K12" s="9">
        <f>'總表'!AH12</f>
        <v/>
      </c>
      <c r="L12" s="14">
        <f>'總表'!AL12</f>
        <v/>
      </c>
      <c r="M12" s="16">
        <f>'總表'!AV12</f>
        <v/>
      </c>
      <c r="N12" s="16">
        <f>'總表'!AW12</f>
        <v/>
      </c>
      <c r="O12" s="17">
        <f>'總表'!AX12</f>
        <v/>
      </c>
      <c r="P12" s="3">
        <f>'總表'!BB12</f>
        <v/>
      </c>
    </row>
    <row r="13">
      <c r="A13" s="2">
        <f>COUNTIF($O$4:$O$22,"&gt;"&amp;O13)+1</f>
        <v/>
      </c>
      <c r="B13" s="2">
        <f>'總表'!A13</f>
        <v/>
      </c>
      <c r="C13" s="5" t="inlineStr">
        <is>
          <t>AMPL</t>
        </is>
      </c>
      <c r="D13" s="2">
        <f>'總表'!C13</f>
        <v/>
      </c>
      <c r="E13" s="2">
        <f>'總表'!E13</f>
        <v/>
      </c>
      <c r="F13" s="2">
        <f>'總表'!H13</f>
        <v/>
      </c>
      <c r="G13" s="21">
        <f>'總表'!I13</f>
        <v/>
      </c>
      <c r="H13" s="8">
        <f>'總表'!O13</f>
        <v/>
      </c>
      <c r="I13" s="9">
        <f>'總表'!W13</f>
        <v/>
      </c>
      <c r="J13" s="9">
        <f>'總表'!AD13</f>
        <v/>
      </c>
      <c r="K13" s="9">
        <f>'總表'!AH13</f>
        <v/>
      </c>
      <c r="L13" s="14">
        <f>'總表'!AL13</f>
        <v/>
      </c>
      <c r="M13" s="16">
        <f>'總表'!AV13</f>
        <v/>
      </c>
      <c r="N13" s="16">
        <f>'總表'!AW13</f>
        <v/>
      </c>
      <c r="O13" s="17">
        <f>'總表'!AX13</f>
        <v/>
      </c>
      <c r="P13" s="3">
        <f>'總表'!BB13</f>
        <v/>
      </c>
    </row>
    <row r="14">
      <c r="A14" s="2">
        <f>COUNTIF($O$4:$O$22,"&gt;"&amp;O14)+1</f>
        <v/>
      </c>
      <c r="B14" s="2">
        <f>'總表'!A19</f>
        <v/>
      </c>
      <c r="C14" s="19" t="inlineStr">
        <is>
          <t>SABR</t>
        </is>
      </c>
      <c r="D14" s="2">
        <f>'總表'!C19</f>
        <v/>
      </c>
      <c r="E14" s="2">
        <f>'總表'!E19</f>
        <v/>
      </c>
      <c r="F14" s="2">
        <f>'總表'!H19</f>
        <v/>
      </c>
      <c r="G14" s="21">
        <f>'總表'!I19</f>
        <v/>
      </c>
      <c r="H14" s="8">
        <f>'總表'!O19</f>
        <v/>
      </c>
      <c r="I14" s="9">
        <f>'總表'!W19</f>
        <v/>
      </c>
      <c r="J14" s="9">
        <f>'總表'!AD19</f>
        <v/>
      </c>
      <c r="K14" s="9">
        <f>'總表'!AH19</f>
        <v/>
      </c>
      <c r="L14" s="14">
        <f>'總表'!AL19</f>
        <v/>
      </c>
      <c r="M14" s="16">
        <f>'總表'!AV19</f>
        <v/>
      </c>
      <c r="N14" s="16">
        <f>'總表'!AW19</f>
        <v/>
      </c>
      <c r="O14" s="17">
        <f>'總表'!AX19</f>
        <v/>
      </c>
      <c r="P14" s="3">
        <f>'總表'!BB19</f>
        <v/>
      </c>
    </row>
    <row r="15">
      <c r="A15" s="2">
        <f>COUNTIF($O$4:$O$22,"&gt;"&amp;O15)+1</f>
        <v/>
      </c>
      <c r="B15" s="2">
        <f>'總表'!A8</f>
        <v/>
      </c>
      <c r="C15" s="5" t="inlineStr">
        <is>
          <t>HPQ</t>
        </is>
      </c>
      <c r="D15" s="2">
        <f>'總表'!C8</f>
        <v/>
      </c>
      <c r="E15" s="2">
        <f>'總表'!E8</f>
        <v/>
      </c>
      <c r="F15" s="2">
        <f>'總表'!H8</f>
        <v/>
      </c>
      <c r="G15" s="21">
        <f>'總表'!I8</f>
        <v/>
      </c>
      <c r="H15" s="8">
        <f>'總表'!O8</f>
        <v/>
      </c>
      <c r="I15" s="9">
        <f>'總表'!W8</f>
        <v/>
      </c>
      <c r="J15" s="9">
        <f>'總表'!AD8</f>
        <v/>
      </c>
      <c r="K15" s="9">
        <f>'總表'!AH8</f>
        <v/>
      </c>
      <c r="L15" s="14">
        <f>'總表'!AL8</f>
        <v/>
      </c>
      <c r="M15" s="16">
        <f>'總表'!AV8</f>
        <v/>
      </c>
      <c r="N15" s="16">
        <f>'總表'!AW8</f>
        <v/>
      </c>
      <c r="O15" s="17">
        <f>'總表'!AX8</f>
        <v/>
      </c>
      <c r="P15" s="3">
        <f>'總表'!BB8</f>
        <v/>
      </c>
    </row>
    <row r="16">
      <c r="A16" s="2">
        <f>COUNTIF($O$4:$O$22,"&gt;"&amp;O16)+1</f>
        <v/>
      </c>
      <c r="B16" s="2">
        <f>'總表'!A15</f>
        <v/>
      </c>
      <c r="C16" s="5" t="inlineStr">
        <is>
          <t>ZETA</t>
        </is>
      </c>
      <c r="D16" s="2">
        <f>'總表'!C15</f>
        <v/>
      </c>
      <c r="E16" s="2">
        <f>'總表'!E15</f>
        <v/>
      </c>
      <c r="F16" s="2">
        <f>'總表'!H15</f>
        <v/>
      </c>
      <c r="G16" s="21">
        <f>'總表'!I15</f>
        <v/>
      </c>
      <c r="H16" s="8">
        <f>'總表'!O15</f>
        <v/>
      </c>
      <c r="I16" s="9">
        <f>'總表'!W15</f>
        <v/>
      </c>
      <c r="J16" s="9">
        <f>'總表'!AD15</f>
        <v/>
      </c>
      <c r="K16" s="9">
        <f>'總表'!AH15</f>
        <v/>
      </c>
      <c r="L16" s="14">
        <f>'總表'!AL15</f>
        <v/>
      </c>
      <c r="M16" s="16">
        <f>'總表'!AV15</f>
        <v/>
      </c>
      <c r="N16" s="16">
        <f>'總表'!AW15</f>
        <v/>
      </c>
      <c r="O16" s="17">
        <f>'總表'!AX15</f>
        <v/>
      </c>
      <c r="P16" s="3">
        <f>'總表'!BB15</f>
        <v/>
      </c>
    </row>
    <row r="17">
      <c r="A17" s="2">
        <f>COUNTIF($O$4:$O$22,"&gt;"&amp;O17)+1</f>
        <v/>
      </c>
      <c r="B17" s="2">
        <f>'總表'!A17</f>
        <v/>
      </c>
      <c r="C17" s="5" t="inlineStr">
        <is>
          <t>MGNI</t>
        </is>
      </c>
      <c r="D17" s="2">
        <f>'總表'!C17</f>
        <v/>
      </c>
      <c r="E17" s="2">
        <f>'總表'!E17</f>
        <v/>
      </c>
      <c r="F17" s="2">
        <f>'總表'!H17</f>
        <v/>
      </c>
      <c r="G17" s="21">
        <f>'總表'!I17</f>
        <v/>
      </c>
      <c r="H17" s="8">
        <f>'總表'!O17</f>
        <v/>
      </c>
      <c r="I17" s="9">
        <f>'總表'!W17</f>
        <v/>
      </c>
      <c r="J17" s="9">
        <f>'總表'!AD17</f>
        <v/>
      </c>
      <c r="K17" s="9">
        <f>'總表'!AH17</f>
        <v/>
      </c>
      <c r="L17" s="14">
        <f>'總表'!AL17</f>
        <v/>
      </c>
      <c r="M17" s="16">
        <f>'總表'!AV17</f>
        <v/>
      </c>
      <c r="N17" s="16">
        <f>'總表'!AW17</f>
        <v/>
      </c>
      <c r="O17" s="17">
        <f>'總表'!AX17</f>
        <v/>
      </c>
      <c r="P17" s="3">
        <f>'總表'!BB17</f>
        <v/>
      </c>
    </row>
    <row r="18">
      <c r="A18" s="2">
        <f>COUNTIF($O$4:$O$22,"&gt;"&amp;O18)+1</f>
        <v/>
      </c>
      <c r="B18" s="2">
        <f>'總表'!A20</f>
        <v/>
      </c>
      <c r="C18" s="5" t="inlineStr">
        <is>
          <t>VIR</t>
        </is>
      </c>
      <c r="D18" s="2">
        <f>'總表'!C20</f>
        <v/>
      </c>
      <c r="E18" s="2">
        <f>'總表'!E20</f>
        <v/>
      </c>
      <c r="F18" s="2">
        <f>'總表'!H20</f>
        <v/>
      </c>
      <c r="G18" s="21">
        <f>'總表'!I20</f>
        <v/>
      </c>
      <c r="H18" s="8">
        <f>'總表'!O20</f>
        <v/>
      </c>
      <c r="I18" s="9">
        <f>'總表'!W20</f>
        <v/>
      </c>
      <c r="J18" s="9">
        <f>'總表'!AD20</f>
        <v/>
      </c>
      <c r="K18" s="9">
        <f>'總表'!AH20</f>
        <v/>
      </c>
      <c r="L18" s="14">
        <f>'總表'!AL20</f>
        <v/>
      </c>
      <c r="M18" s="16">
        <f>'總表'!AV20</f>
        <v/>
      </c>
      <c r="N18" s="16">
        <f>'總表'!AW20</f>
        <v/>
      </c>
      <c r="O18" s="17">
        <f>'總表'!AX20</f>
        <v/>
      </c>
      <c r="P18" s="3">
        <f>'總表'!BB20</f>
        <v/>
      </c>
    </row>
    <row r="19">
      <c r="A19" s="2">
        <f>COUNTIF($O$4:$O$22,"&gt;"&amp;O19)+1</f>
        <v/>
      </c>
      <c r="B19" s="2">
        <f>'總表'!A18</f>
        <v/>
      </c>
      <c r="C19" s="19" t="inlineStr">
        <is>
          <t>VLO</t>
        </is>
      </c>
      <c r="D19" s="2">
        <f>'總表'!C18</f>
        <v/>
      </c>
      <c r="E19" s="2">
        <f>'總表'!E18</f>
        <v/>
      </c>
      <c r="F19" s="2">
        <f>'總表'!H18</f>
        <v/>
      </c>
      <c r="G19" s="21">
        <f>'總表'!I18</f>
        <v/>
      </c>
      <c r="H19" s="8">
        <f>'總表'!O18</f>
        <v/>
      </c>
      <c r="I19" s="9">
        <f>'總表'!W18</f>
        <v/>
      </c>
      <c r="J19" s="9">
        <f>'總表'!AD18</f>
        <v/>
      </c>
      <c r="K19" s="9">
        <f>'總表'!AH18</f>
        <v/>
      </c>
      <c r="L19" s="14">
        <f>'總表'!AL18</f>
        <v/>
      </c>
      <c r="M19" s="16">
        <f>'總表'!AV18</f>
        <v/>
      </c>
      <c r="N19" s="16">
        <f>'總表'!AW18</f>
        <v/>
      </c>
      <c r="O19" s="17">
        <f>'總表'!AX18</f>
        <v/>
      </c>
      <c r="P19" s="3">
        <f>'總表'!BB18</f>
        <v/>
      </c>
    </row>
    <row r="20">
      <c r="A20" s="2">
        <f>COUNTIF($O$4:$O$22,"&gt;"&amp;O20)+1</f>
        <v/>
      </c>
      <c r="B20" s="2">
        <f>'總表'!A21</f>
        <v/>
      </c>
      <c r="C20" s="19" t="inlineStr">
        <is>
          <t>MPC</t>
        </is>
      </c>
      <c r="D20" s="2">
        <f>'總表'!C21</f>
        <v/>
      </c>
      <c r="E20" s="2">
        <f>'總表'!E21</f>
        <v/>
      </c>
      <c r="F20" s="2">
        <f>'總表'!H21</f>
        <v/>
      </c>
      <c r="G20" s="21">
        <f>'總表'!I21</f>
        <v/>
      </c>
      <c r="H20" s="8">
        <f>'總表'!O21</f>
        <v/>
      </c>
      <c r="I20" s="9">
        <f>'總表'!W21</f>
        <v/>
      </c>
      <c r="J20" s="9">
        <f>'總表'!AD21</f>
        <v/>
      </c>
      <c r="K20" s="9">
        <f>'總表'!AH21</f>
        <v/>
      </c>
      <c r="L20" s="14">
        <f>'總表'!AL21</f>
        <v/>
      </c>
      <c r="M20" s="16">
        <f>'總表'!AV21</f>
        <v/>
      </c>
      <c r="N20" s="16">
        <f>'總表'!AW21</f>
        <v/>
      </c>
      <c r="O20" s="17">
        <f>'總表'!AX21</f>
        <v/>
      </c>
      <c r="P20" s="3">
        <f>'總表'!BB21</f>
        <v/>
      </c>
    </row>
    <row r="21">
      <c r="A21" s="2">
        <f>COUNTIF($O$4:$O$22,"&gt;"&amp;O21)+1</f>
        <v/>
      </c>
      <c r="B21" s="2">
        <f>'總表'!A22</f>
        <v/>
      </c>
      <c r="C21" s="19" t="inlineStr">
        <is>
          <t>SGP</t>
        </is>
      </c>
      <c r="D21" s="2">
        <f>'總表'!C22</f>
        <v/>
      </c>
      <c r="E21" s="2">
        <f>'總表'!E22</f>
        <v/>
      </c>
      <c r="F21" s="2">
        <f>'總表'!H22</f>
        <v/>
      </c>
      <c r="G21" s="21">
        <f>'總表'!I22</f>
        <v/>
      </c>
      <c r="H21" s="8">
        <f>'總表'!O22</f>
        <v/>
      </c>
      <c r="I21" s="9">
        <f>'總表'!W22</f>
        <v/>
      </c>
      <c r="J21" s="9">
        <f>'總表'!AD22</f>
        <v/>
      </c>
      <c r="K21" s="9">
        <f>'總表'!AH22</f>
        <v/>
      </c>
      <c r="L21" s="14">
        <f>'總表'!AL22</f>
        <v/>
      </c>
      <c r="M21" s="16">
        <f>'總表'!AV22</f>
        <v/>
      </c>
      <c r="N21" s="16">
        <f>'總表'!AW22</f>
        <v/>
      </c>
      <c r="O21" s="17">
        <f>'總表'!AX22</f>
        <v/>
      </c>
      <c r="P21" s="3">
        <f>'總表'!BB22</f>
        <v/>
      </c>
    </row>
    <row r="22">
      <c r="A22" s="2">
        <f>COUNTIF($O$4:$O$22,"&gt;"&amp;O22)+1</f>
        <v/>
      </c>
      <c r="B22" s="2">
        <f>'總表'!A29</f>
        <v/>
      </c>
      <c r="C22" s="5" t="inlineStr">
        <is>
          <t>CBLL</t>
        </is>
      </c>
      <c r="D22" s="2">
        <f>'總表'!C29</f>
        <v/>
      </c>
      <c r="E22" s="2">
        <f>'總表'!E29</f>
        <v/>
      </c>
      <c r="F22" s="2">
        <f>'總表'!H29</f>
        <v/>
      </c>
      <c r="G22" s="21">
        <f>'總表'!I29</f>
        <v/>
      </c>
      <c r="H22" s="8">
        <f>'總表'!O29</f>
        <v/>
      </c>
      <c r="I22" s="9">
        <f>'總表'!W29</f>
        <v/>
      </c>
      <c r="J22" s="9">
        <f>'總表'!AD29</f>
        <v/>
      </c>
      <c r="K22" s="9">
        <f>'總表'!AH29</f>
        <v/>
      </c>
      <c r="L22" s="14">
        <f>'總表'!AL29</f>
        <v/>
      </c>
      <c r="M22" s="16">
        <f>'總表'!AV29</f>
        <v/>
      </c>
      <c r="N22" s="16">
        <f>'總表'!AW29</f>
        <v/>
      </c>
      <c r="O22" s="17">
        <f>'總表'!AX29</f>
        <v/>
      </c>
      <c r="P22" s="3">
        <f>'總表'!BB29</f>
        <v/>
      </c>
    </row>
  </sheetData>
  <autoFilter ref="A3:P22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3個月動能（63 個交易日回報排全體合資格股票前 10%）＋ 回到上升中嘅 20MA · 以綜合分數排序 · 2026-09-23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3個月回報</t>
        </is>
      </c>
      <c r="K3" s="4" t="inlineStr">
        <is>
          <t>3個月百分位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COUNTIF($O$4:$O$25,"&gt;"&amp;O4)+1</f>
        <v/>
      </c>
      <c r="B4" s="2">
        <f>'總表'!A2</f>
        <v/>
      </c>
      <c r="C4" s="5" t="inlineStr">
        <is>
          <t>VEEV</t>
        </is>
      </c>
      <c r="D4" s="2">
        <f>'總表'!C2</f>
        <v/>
      </c>
      <c r="E4" s="2">
        <f>'總表'!E2</f>
        <v/>
      </c>
      <c r="F4" s="2">
        <f>'總表'!H2</f>
        <v/>
      </c>
      <c r="G4" s="21">
        <f>'總表'!I2</f>
        <v/>
      </c>
      <c r="H4" s="8">
        <f>'總表'!O2</f>
        <v/>
      </c>
      <c r="I4" s="9">
        <f>'總表'!W2</f>
        <v/>
      </c>
      <c r="J4" s="9">
        <f>'總表'!AE2</f>
        <v/>
      </c>
      <c r="K4" s="9">
        <f>'總表'!AI2</f>
        <v/>
      </c>
      <c r="L4" s="14">
        <f>'總表'!AL2</f>
        <v/>
      </c>
      <c r="M4" s="16">
        <f>'總表'!AV2</f>
        <v/>
      </c>
      <c r="N4" s="16">
        <f>'總表'!AW2</f>
        <v/>
      </c>
      <c r="O4" s="17">
        <f>'總表'!AX2</f>
        <v/>
      </c>
      <c r="P4" s="3">
        <f>'總表'!BB2</f>
        <v/>
      </c>
    </row>
    <row r="5">
      <c r="A5" s="2">
        <f>COUNTIF($O$4:$O$25,"&gt;"&amp;O5)+1</f>
        <v/>
      </c>
      <c r="B5" s="2">
        <f>'總表'!A7</f>
        <v/>
      </c>
      <c r="C5" s="5" t="inlineStr">
        <is>
          <t>NOW</t>
        </is>
      </c>
      <c r="D5" s="2">
        <f>'總表'!C7</f>
        <v/>
      </c>
      <c r="E5" s="2">
        <f>'總表'!E7</f>
        <v/>
      </c>
      <c r="F5" s="2">
        <f>'總表'!H7</f>
        <v/>
      </c>
      <c r="G5" s="21">
        <f>'總表'!I7</f>
        <v/>
      </c>
      <c r="H5" s="8">
        <f>'總表'!O7</f>
        <v/>
      </c>
      <c r="I5" s="9">
        <f>'總表'!W7</f>
        <v/>
      </c>
      <c r="J5" s="9">
        <f>'總表'!AE7</f>
        <v/>
      </c>
      <c r="K5" s="9">
        <f>'總表'!AI7</f>
        <v/>
      </c>
      <c r="L5" s="14">
        <f>'總表'!AL7</f>
        <v/>
      </c>
      <c r="M5" s="16">
        <f>'總表'!AV7</f>
        <v/>
      </c>
      <c r="N5" s="16">
        <f>'總表'!AW7</f>
        <v/>
      </c>
      <c r="O5" s="17">
        <f>'總表'!AX7</f>
        <v/>
      </c>
      <c r="P5" s="3">
        <f>'總表'!BB7</f>
        <v/>
      </c>
    </row>
    <row r="6">
      <c r="A6" s="2">
        <f>COUNTIF($O$4:$O$25,"&gt;"&amp;O6)+1</f>
        <v/>
      </c>
      <c r="B6" s="2">
        <f>'總表'!A9</f>
        <v/>
      </c>
      <c r="C6" s="19" t="inlineStr">
        <is>
          <t>PLSE</t>
        </is>
      </c>
      <c r="D6" s="2">
        <f>'總表'!C9</f>
        <v/>
      </c>
      <c r="E6" s="2">
        <f>'總表'!E9</f>
        <v/>
      </c>
      <c r="F6" s="2">
        <f>'總表'!H9</f>
        <v/>
      </c>
      <c r="G6" s="21">
        <f>'總表'!I9</f>
        <v/>
      </c>
      <c r="H6" s="8">
        <f>'總表'!O9</f>
        <v/>
      </c>
      <c r="I6" s="9">
        <f>'總表'!W9</f>
        <v/>
      </c>
      <c r="J6" s="9">
        <f>'總表'!AE9</f>
        <v/>
      </c>
      <c r="K6" s="9">
        <f>'總表'!AI9</f>
        <v/>
      </c>
      <c r="L6" s="14">
        <f>'總表'!AL9</f>
        <v/>
      </c>
      <c r="M6" s="16">
        <f>'總表'!AV9</f>
        <v/>
      </c>
      <c r="N6" s="16">
        <f>'總表'!AW9</f>
        <v/>
      </c>
      <c r="O6" s="17">
        <f>'總表'!AX9</f>
        <v/>
      </c>
      <c r="P6" s="3">
        <f>'總表'!BB9</f>
        <v/>
      </c>
    </row>
    <row r="7">
      <c r="A7" s="2">
        <f>COUNTIF($O$4:$O$25,"&gt;"&amp;O7)+1</f>
        <v/>
      </c>
      <c r="B7" s="2">
        <f>'總表'!A3</f>
        <v/>
      </c>
      <c r="C7" s="5" t="inlineStr">
        <is>
          <t>NUTX</t>
        </is>
      </c>
      <c r="D7" s="2">
        <f>'總表'!C3</f>
        <v/>
      </c>
      <c r="E7" s="2">
        <f>'總表'!E3</f>
        <v/>
      </c>
      <c r="F7" s="2">
        <f>'總表'!H3</f>
        <v/>
      </c>
      <c r="G7" s="21">
        <f>'總表'!I3</f>
        <v/>
      </c>
      <c r="H7" s="8">
        <f>'總表'!O3</f>
        <v/>
      </c>
      <c r="I7" s="9">
        <f>'總表'!W3</f>
        <v/>
      </c>
      <c r="J7" s="9">
        <f>'總表'!AE3</f>
        <v/>
      </c>
      <c r="K7" s="9">
        <f>'總表'!AI3</f>
        <v/>
      </c>
      <c r="L7" s="14">
        <f>'總表'!AL3</f>
        <v/>
      </c>
      <c r="M7" s="16">
        <f>'總表'!AV3</f>
        <v/>
      </c>
      <c r="N7" s="16">
        <f>'總表'!AW3</f>
        <v/>
      </c>
      <c r="O7" s="17">
        <f>'總表'!AX3</f>
        <v/>
      </c>
      <c r="P7" s="3">
        <f>'總表'!BB3</f>
        <v/>
      </c>
    </row>
    <row r="8">
      <c r="A8" s="2">
        <f>COUNTIF($O$4:$O$25,"&gt;"&amp;O8)+1</f>
        <v/>
      </c>
      <c r="B8" s="2">
        <f>'總表'!A4</f>
        <v/>
      </c>
      <c r="C8" s="19" t="inlineStr">
        <is>
          <t>CLMT</t>
        </is>
      </c>
      <c r="D8" s="2">
        <f>'總表'!C4</f>
        <v/>
      </c>
      <c r="E8" s="2">
        <f>'總表'!E4</f>
        <v/>
      </c>
      <c r="F8" s="2">
        <f>'總表'!H4</f>
        <v/>
      </c>
      <c r="G8" s="21">
        <f>'總表'!I4</f>
        <v/>
      </c>
      <c r="H8" s="8">
        <f>'總表'!O4</f>
        <v/>
      </c>
      <c r="I8" s="9">
        <f>'總表'!W4</f>
        <v/>
      </c>
      <c r="J8" s="9">
        <f>'總表'!AE4</f>
        <v/>
      </c>
      <c r="K8" s="9">
        <f>'總表'!AI4</f>
        <v/>
      </c>
      <c r="L8" s="14">
        <f>'總表'!AL4</f>
        <v/>
      </c>
      <c r="M8" s="16">
        <f>'總表'!AV4</f>
        <v/>
      </c>
      <c r="N8" s="16">
        <f>'總表'!AW4</f>
        <v/>
      </c>
      <c r="O8" s="17">
        <f>'總表'!AX4</f>
        <v/>
      </c>
      <c r="P8" s="3">
        <f>'總表'!BB4</f>
        <v/>
      </c>
    </row>
    <row r="9">
      <c r="A9" s="2">
        <f>COUNTIF($O$4:$O$25,"&gt;"&amp;O9)+1</f>
        <v/>
      </c>
      <c r="B9" s="2">
        <f>'總表'!A5</f>
        <v/>
      </c>
      <c r="C9" s="5" t="inlineStr">
        <is>
          <t>ESTC</t>
        </is>
      </c>
      <c r="D9" s="2">
        <f>'總表'!C5</f>
        <v/>
      </c>
      <c r="E9" s="2">
        <f>'總表'!E5</f>
        <v/>
      </c>
      <c r="F9" s="2">
        <f>'總表'!H5</f>
        <v/>
      </c>
      <c r="G9" s="21">
        <f>'總表'!I5</f>
        <v/>
      </c>
      <c r="H9" s="8">
        <f>'總表'!O5</f>
        <v/>
      </c>
      <c r="I9" s="9">
        <f>'總表'!W5</f>
        <v/>
      </c>
      <c r="J9" s="9">
        <f>'總表'!AE5</f>
        <v/>
      </c>
      <c r="K9" s="9">
        <f>'總表'!AI5</f>
        <v/>
      </c>
      <c r="L9" s="14">
        <f>'總表'!AL5</f>
        <v/>
      </c>
      <c r="M9" s="16">
        <f>'總表'!AV5</f>
        <v/>
      </c>
      <c r="N9" s="16">
        <f>'總表'!AW5</f>
        <v/>
      </c>
      <c r="O9" s="17">
        <f>'總表'!AX5</f>
        <v/>
      </c>
      <c r="P9" s="3">
        <f>'總表'!BB5</f>
        <v/>
      </c>
    </row>
    <row r="10">
      <c r="A10" s="2">
        <f>COUNTIF($O$4:$O$25,"&gt;"&amp;O10)+1</f>
        <v/>
      </c>
      <c r="B10" s="2">
        <f>'總表'!A6</f>
        <v/>
      </c>
      <c r="C10" s="5" t="inlineStr">
        <is>
          <t>NEO</t>
        </is>
      </c>
      <c r="D10" s="2">
        <f>'總表'!C6</f>
        <v/>
      </c>
      <c r="E10" s="2">
        <f>'總表'!E6</f>
        <v/>
      </c>
      <c r="F10" s="2">
        <f>'總表'!H6</f>
        <v/>
      </c>
      <c r="G10" s="21">
        <f>'總表'!I6</f>
        <v/>
      </c>
      <c r="H10" s="8">
        <f>'總表'!O6</f>
        <v/>
      </c>
      <c r="I10" s="9">
        <f>'總表'!W6</f>
        <v/>
      </c>
      <c r="J10" s="9">
        <f>'總表'!AE6</f>
        <v/>
      </c>
      <c r="K10" s="9">
        <f>'總表'!AI6</f>
        <v/>
      </c>
      <c r="L10" s="14">
        <f>'總表'!AL6</f>
        <v/>
      </c>
      <c r="M10" s="16">
        <f>'總表'!AV6</f>
        <v/>
      </c>
      <c r="N10" s="16">
        <f>'總表'!AW6</f>
        <v/>
      </c>
      <c r="O10" s="17">
        <f>'總表'!AX6</f>
        <v/>
      </c>
      <c r="P10" s="3">
        <f>'總表'!BB6</f>
        <v/>
      </c>
    </row>
    <row r="11">
      <c r="A11" s="2">
        <f>COUNTIF($O$4:$O$25,"&gt;"&amp;O11)+1</f>
        <v/>
      </c>
      <c r="B11" s="2">
        <f>'總表'!A10</f>
        <v/>
      </c>
      <c r="C11" s="19" t="inlineStr">
        <is>
          <t>IRD</t>
        </is>
      </c>
      <c r="D11" s="2">
        <f>'總表'!C10</f>
        <v/>
      </c>
      <c r="E11" s="2">
        <f>'總表'!E10</f>
        <v/>
      </c>
      <c r="F11" s="2">
        <f>'總表'!H10</f>
        <v/>
      </c>
      <c r="G11" s="21">
        <f>'總表'!I10</f>
        <v/>
      </c>
      <c r="H11" s="8">
        <f>'總表'!O10</f>
        <v/>
      </c>
      <c r="I11" s="9">
        <f>'總表'!W10</f>
        <v/>
      </c>
      <c r="J11" s="9">
        <f>'總表'!AE10</f>
        <v/>
      </c>
      <c r="K11" s="9">
        <f>'總表'!AI10</f>
        <v/>
      </c>
      <c r="L11" s="14">
        <f>'總表'!AL10</f>
        <v/>
      </c>
      <c r="M11" s="16">
        <f>'總表'!AV10</f>
        <v/>
      </c>
      <c r="N11" s="16">
        <f>'總表'!AW10</f>
        <v/>
      </c>
      <c r="O11" s="17">
        <f>'總表'!AX10</f>
        <v/>
      </c>
      <c r="P11" s="3">
        <f>'總表'!BB10</f>
        <v/>
      </c>
    </row>
    <row r="12">
      <c r="A12" s="2">
        <f>COUNTIF($O$4:$O$25,"&gt;"&amp;O12)+1</f>
        <v/>
      </c>
      <c r="B12" s="2">
        <f>'總表'!A11</f>
        <v/>
      </c>
      <c r="C12" s="19" t="inlineStr">
        <is>
          <t>AMWL</t>
        </is>
      </c>
      <c r="D12" s="2">
        <f>'總表'!C11</f>
        <v/>
      </c>
      <c r="E12" s="2">
        <f>'總表'!E11</f>
        <v/>
      </c>
      <c r="F12" s="2">
        <f>'總表'!H11</f>
        <v/>
      </c>
      <c r="G12" s="21">
        <f>'總表'!I11</f>
        <v/>
      </c>
      <c r="H12" s="8">
        <f>'總表'!O11</f>
        <v/>
      </c>
      <c r="I12" s="9">
        <f>'總表'!W11</f>
        <v/>
      </c>
      <c r="J12" s="9">
        <f>'總表'!AE11</f>
        <v/>
      </c>
      <c r="K12" s="9">
        <f>'總表'!AI11</f>
        <v/>
      </c>
      <c r="L12" s="14">
        <f>'總表'!AL11</f>
        <v/>
      </c>
      <c r="M12" s="16">
        <f>'總表'!AV11</f>
        <v/>
      </c>
      <c r="N12" s="16">
        <f>'總表'!AW11</f>
        <v/>
      </c>
      <c r="O12" s="17">
        <f>'總表'!AX11</f>
        <v/>
      </c>
      <c r="P12" s="3">
        <f>'總表'!BB11</f>
        <v/>
      </c>
    </row>
    <row r="13">
      <c r="A13" s="2">
        <f>COUNTIF($O$4:$O$25,"&gt;"&amp;O13)+1</f>
        <v/>
      </c>
      <c r="B13" s="2">
        <f>'總表'!A12</f>
        <v/>
      </c>
      <c r="C13" s="5" t="inlineStr">
        <is>
          <t>SNOW</t>
        </is>
      </c>
      <c r="D13" s="2">
        <f>'總表'!C12</f>
        <v/>
      </c>
      <c r="E13" s="2">
        <f>'總表'!E12</f>
        <v/>
      </c>
      <c r="F13" s="2">
        <f>'總表'!H12</f>
        <v/>
      </c>
      <c r="G13" s="21">
        <f>'總表'!I12</f>
        <v/>
      </c>
      <c r="H13" s="8">
        <f>'總表'!O12</f>
        <v/>
      </c>
      <c r="I13" s="9">
        <f>'總表'!W12</f>
        <v/>
      </c>
      <c r="J13" s="9">
        <f>'總表'!AE12</f>
        <v/>
      </c>
      <c r="K13" s="9">
        <f>'總表'!AI12</f>
        <v/>
      </c>
      <c r="L13" s="14">
        <f>'總表'!AL12</f>
        <v/>
      </c>
      <c r="M13" s="16">
        <f>'總表'!AV12</f>
        <v/>
      </c>
      <c r="N13" s="16">
        <f>'總表'!AW12</f>
        <v/>
      </c>
      <c r="O13" s="17">
        <f>'總表'!AX12</f>
        <v/>
      </c>
      <c r="P13" s="3">
        <f>'總表'!BB12</f>
        <v/>
      </c>
    </row>
    <row r="14">
      <c r="A14" s="2">
        <f>COUNTIF($O$4:$O$25,"&gt;"&amp;O14)+1</f>
        <v/>
      </c>
      <c r="B14" s="2">
        <f>'總表'!A13</f>
        <v/>
      </c>
      <c r="C14" s="5" t="inlineStr">
        <is>
          <t>AMPL</t>
        </is>
      </c>
      <c r="D14" s="2">
        <f>'總表'!C13</f>
        <v/>
      </c>
      <c r="E14" s="2">
        <f>'總表'!E13</f>
        <v/>
      </c>
      <c r="F14" s="2">
        <f>'總表'!H13</f>
        <v/>
      </c>
      <c r="G14" s="21">
        <f>'總表'!I13</f>
        <v/>
      </c>
      <c r="H14" s="8">
        <f>'總表'!O13</f>
        <v/>
      </c>
      <c r="I14" s="9">
        <f>'總表'!W13</f>
        <v/>
      </c>
      <c r="J14" s="9">
        <f>'總表'!AE13</f>
        <v/>
      </c>
      <c r="K14" s="9">
        <f>'總表'!AI13</f>
        <v/>
      </c>
      <c r="L14" s="14">
        <f>'總表'!AL13</f>
        <v/>
      </c>
      <c r="M14" s="16">
        <f>'總表'!AV13</f>
        <v/>
      </c>
      <c r="N14" s="16">
        <f>'總表'!AW13</f>
        <v/>
      </c>
      <c r="O14" s="17">
        <f>'總表'!AX13</f>
        <v/>
      </c>
      <c r="P14" s="3">
        <f>'總表'!BB13</f>
        <v/>
      </c>
    </row>
    <row r="15">
      <c r="A15" s="2">
        <f>COUNTIF($O$4:$O$25,"&gt;"&amp;O15)+1</f>
        <v/>
      </c>
      <c r="B15" s="2">
        <f>'總表'!A8</f>
        <v/>
      </c>
      <c r="C15" s="5" t="inlineStr">
        <is>
          <t>HPQ</t>
        </is>
      </c>
      <c r="D15" s="2">
        <f>'總表'!C8</f>
        <v/>
      </c>
      <c r="E15" s="2">
        <f>'總表'!E8</f>
        <v/>
      </c>
      <c r="F15" s="2">
        <f>'總表'!H8</f>
        <v/>
      </c>
      <c r="G15" s="21">
        <f>'總表'!I8</f>
        <v/>
      </c>
      <c r="H15" s="8">
        <f>'總表'!O8</f>
        <v/>
      </c>
      <c r="I15" s="9">
        <f>'總表'!W8</f>
        <v/>
      </c>
      <c r="J15" s="9">
        <f>'總表'!AE8</f>
        <v/>
      </c>
      <c r="K15" s="9">
        <f>'總表'!AI8</f>
        <v/>
      </c>
      <c r="L15" s="14">
        <f>'總表'!AL8</f>
        <v/>
      </c>
      <c r="M15" s="16">
        <f>'總表'!AV8</f>
        <v/>
      </c>
      <c r="N15" s="16">
        <f>'總表'!AW8</f>
        <v/>
      </c>
      <c r="O15" s="17">
        <f>'總表'!AX8</f>
        <v/>
      </c>
      <c r="P15" s="3">
        <f>'總表'!BB8</f>
        <v/>
      </c>
    </row>
    <row r="16">
      <c r="A16" s="2">
        <f>COUNTIF($O$4:$O$25,"&gt;"&amp;O16)+1</f>
        <v/>
      </c>
      <c r="B16" s="2">
        <f>'總表'!A15</f>
        <v/>
      </c>
      <c r="C16" s="5" t="inlineStr">
        <is>
          <t>ZETA</t>
        </is>
      </c>
      <c r="D16" s="2">
        <f>'總表'!C15</f>
        <v/>
      </c>
      <c r="E16" s="2">
        <f>'總表'!E15</f>
        <v/>
      </c>
      <c r="F16" s="2">
        <f>'總表'!H15</f>
        <v/>
      </c>
      <c r="G16" s="21">
        <f>'總表'!I15</f>
        <v/>
      </c>
      <c r="H16" s="8">
        <f>'總表'!O15</f>
        <v/>
      </c>
      <c r="I16" s="9">
        <f>'總表'!W15</f>
        <v/>
      </c>
      <c r="J16" s="9">
        <f>'總表'!AE15</f>
        <v/>
      </c>
      <c r="K16" s="9">
        <f>'總表'!AI15</f>
        <v/>
      </c>
      <c r="L16" s="14">
        <f>'總表'!AL15</f>
        <v/>
      </c>
      <c r="M16" s="16">
        <f>'總表'!AV15</f>
        <v/>
      </c>
      <c r="N16" s="16">
        <f>'總表'!AW15</f>
        <v/>
      </c>
      <c r="O16" s="17">
        <f>'總表'!AX15</f>
        <v/>
      </c>
      <c r="P16" s="3">
        <f>'總表'!BB15</f>
        <v/>
      </c>
    </row>
    <row r="17">
      <c r="A17" s="2">
        <f>COUNTIF($O$4:$O$25,"&gt;"&amp;O17)+1</f>
        <v/>
      </c>
      <c r="B17" s="2">
        <f>'總表'!A23</f>
        <v/>
      </c>
      <c r="C17" s="5" t="inlineStr">
        <is>
          <t>ANGX</t>
        </is>
      </c>
      <c r="D17" s="2">
        <f>'總表'!C23</f>
        <v/>
      </c>
      <c r="E17" s="2">
        <f>'總表'!E23</f>
        <v/>
      </c>
      <c r="F17" s="2">
        <f>'總表'!H23</f>
        <v/>
      </c>
      <c r="G17" s="21">
        <f>'總表'!I23</f>
        <v/>
      </c>
      <c r="H17" s="8">
        <f>'總表'!O23</f>
        <v/>
      </c>
      <c r="I17" s="9">
        <f>'總表'!W23</f>
        <v/>
      </c>
      <c r="J17" s="9">
        <f>'總表'!AE23</f>
        <v/>
      </c>
      <c r="K17" s="9">
        <f>'總表'!AI23</f>
        <v/>
      </c>
      <c r="L17" s="14">
        <f>'總表'!AL23</f>
        <v/>
      </c>
      <c r="M17" s="16">
        <f>'總表'!AV23</f>
        <v/>
      </c>
      <c r="N17" s="16">
        <f>'總表'!AW23</f>
        <v/>
      </c>
      <c r="O17" s="17">
        <f>'總表'!AX23</f>
        <v/>
      </c>
      <c r="P17" s="3">
        <f>'總表'!BB23</f>
        <v/>
      </c>
    </row>
    <row r="18">
      <c r="A18" s="2">
        <f>COUNTIF($O$4:$O$25,"&gt;"&amp;O18)+1</f>
        <v/>
      </c>
      <c r="B18" s="2">
        <f>'總表'!A16</f>
        <v/>
      </c>
      <c r="C18" s="19" t="inlineStr">
        <is>
          <t>DINO</t>
        </is>
      </c>
      <c r="D18" s="2">
        <f>'總表'!C16</f>
        <v/>
      </c>
      <c r="E18" s="2">
        <f>'總表'!E16</f>
        <v/>
      </c>
      <c r="F18" s="2">
        <f>'總表'!H16</f>
        <v/>
      </c>
      <c r="G18" s="21">
        <f>'總表'!I16</f>
        <v/>
      </c>
      <c r="H18" s="8">
        <f>'總表'!O16</f>
        <v/>
      </c>
      <c r="I18" s="9">
        <f>'總表'!W16</f>
        <v/>
      </c>
      <c r="J18" s="9">
        <f>'總表'!AE16</f>
        <v/>
      </c>
      <c r="K18" s="9">
        <f>'總表'!AI16</f>
        <v/>
      </c>
      <c r="L18" s="14">
        <f>'總表'!AL16</f>
        <v/>
      </c>
      <c r="M18" s="16">
        <f>'總表'!AV16</f>
        <v/>
      </c>
      <c r="N18" s="16">
        <f>'總表'!AW16</f>
        <v/>
      </c>
      <c r="O18" s="17">
        <f>'總表'!AX16</f>
        <v/>
      </c>
      <c r="P18" s="3">
        <f>'總表'!BB16</f>
        <v/>
      </c>
    </row>
    <row r="19">
      <c r="A19" s="2">
        <f>COUNTIF($O$4:$O$25,"&gt;"&amp;O19)+1</f>
        <v/>
      </c>
      <c r="B19" s="2">
        <f>'總表'!A17</f>
        <v/>
      </c>
      <c r="C19" s="5" t="inlineStr">
        <is>
          <t>MGNI</t>
        </is>
      </c>
      <c r="D19" s="2">
        <f>'總表'!C17</f>
        <v/>
      </c>
      <c r="E19" s="2">
        <f>'總表'!E17</f>
        <v/>
      </c>
      <c r="F19" s="2">
        <f>'總表'!H17</f>
        <v/>
      </c>
      <c r="G19" s="21">
        <f>'總表'!I17</f>
        <v/>
      </c>
      <c r="H19" s="8">
        <f>'總表'!O17</f>
        <v/>
      </c>
      <c r="I19" s="9">
        <f>'總表'!W17</f>
        <v/>
      </c>
      <c r="J19" s="9">
        <f>'總表'!AE17</f>
        <v/>
      </c>
      <c r="K19" s="9">
        <f>'總表'!AI17</f>
        <v/>
      </c>
      <c r="L19" s="14">
        <f>'總表'!AL17</f>
        <v/>
      </c>
      <c r="M19" s="16">
        <f>'總表'!AV17</f>
        <v/>
      </c>
      <c r="N19" s="16">
        <f>'總表'!AW17</f>
        <v/>
      </c>
      <c r="O19" s="17">
        <f>'總表'!AX17</f>
        <v/>
      </c>
      <c r="P19" s="3">
        <f>'總表'!BB17</f>
        <v/>
      </c>
    </row>
    <row r="20">
      <c r="A20" s="2">
        <f>COUNTIF($O$4:$O$25,"&gt;"&amp;O20)+1</f>
        <v/>
      </c>
      <c r="B20" s="2">
        <f>'總表'!A18</f>
        <v/>
      </c>
      <c r="C20" s="19" t="inlineStr">
        <is>
          <t>VLO</t>
        </is>
      </c>
      <c r="D20" s="2">
        <f>'總表'!C18</f>
        <v/>
      </c>
      <c r="E20" s="2">
        <f>'總表'!E18</f>
        <v/>
      </c>
      <c r="F20" s="2">
        <f>'總表'!H18</f>
        <v/>
      </c>
      <c r="G20" s="21">
        <f>'總表'!I18</f>
        <v/>
      </c>
      <c r="H20" s="8">
        <f>'總表'!O18</f>
        <v/>
      </c>
      <c r="I20" s="9">
        <f>'總表'!W18</f>
        <v/>
      </c>
      <c r="J20" s="9">
        <f>'總表'!AE18</f>
        <v/>
      </c>
      <c r="K20" s="9">
        <f>'總表'!AI18</f>
        <v/>
      </c>
      <c r="L20" s="14">
        <f>'總表'!AL18</f>
        <v/>
      </c>
      <c r="M20" s="16">
        <f>'總表'!AV18</f>
        <v/>
      </c>
      <c r="N20" s="16">
        <f>'總表'!AW18</f>
        <v/>
      </c>
      <c r="O20" s="17">
        <f>'總表'!AX18</f>
        <v/>
      </c>
      <c r="P20" s="3">
        <f>'總表'!BB18</f>
        <v/>
      </c>
    </row>
    <row r="21">
      <c r="A21" s="2">
        <f>COUNTIF($O$4:$O$25,"&gt;"&amp;O21)+1</f>
        <v/>
      </c>
      <c r="B21" s="2">
        <f>'總表'!A21</f>
        <v/>
      </c>
      <c r="C21" s="19" t="inlineStr">
        <is>
          <t>MPC</t>
        </is>
      </c>
      <c r="D21" s="2">
        <f>'總表'!C21</f>
        <v/>
      </c>
      <c r="E21" s="2">
        <f>'總表'!E21</f>
        <v/>
      </c>
      <c r="F21" s="2">
        <f>'總表'!H21</f>
        <v/>
      </c>
      <c r="G21" s="21">
        <f>'總表'!I21</f>
        <v/>
      </c>
      <c r="H21" s="8">
        <f>'總表'!O21</f>
        <v/>
      </c>
      <c r="I21" s="9">
        <f>'總表'!W21</f>
        <v/>
      </c>
      <c r="J21" s="9">
        <f>'總表'!AE21</f>
        <v/>
      </c>
      <c r="K21" s="9">
        <f>'總表'!AI21</f>
        <v/>
      </c>
      <c r="L21" s="14">
        <f>'總表'!AL21</f>
        <v/>
      </c>
      <c r="M21" s="16">
        <f>'總表'!AV21</f>
        <v/>
      </c>
      <c r="N21" s="16">
        <f>'總表'!AW21</f>
        <v/>
      </c>
      <c r="O21" s="17">
        <f>'總表'!AX21</f>
        <v/>
      </c>
      <c r="P21" s="3">
        <f>'總表'!BB21</f>
        <v/>
      </c>
    </row>
    <row r="22">
      <c r="A22" s="2">
        <f>COUNTIF($O$4:$O$25,"&gt;"&amp;O22)+1</f>
        <v/>
      </c>
      <c r="B22" s="2">
        <f>'總表'!A25</f>
        <v/>
      </c>
      <c r="C22" s="19" t="inlineStr">
        <is>
          <t>PSX</t>
        </is>
      </c>
      <c r="D22" s="2">
        <f>'總表'!C25</f>
        <v/>
      </c>
      <c r="E22" s="2">
        <f>'總表'!E25</f>
        <v/>
      </c>
      <c r="F22" s="2">
        <f>'總表'!H25</f>
        <v/>
      </c>
      <c r="G22" s="21">
        <f>'總表'!I25</f>
        <v/>
      </c>
      <c r="H22" s="8">
        <f>'總表'!O25</f>
        <v/>
      </c>
      <c r="I22" s="9">
        <f>'總表'!W25</f>
        <v/>
      </c>
      <c r="J22" s="9">
        <f>'總表'!AE25</f>
        <v/>
      </c>
      <c r="K22" s="9">
        <f>'總表'!AI25</f>
        <v/>
      </c>
      <c r="L22" s="14">
        <f>'總表'!AL25</f>
        <v/>
      </c>
      <c r="M22" s="16">
        <f>'總表'!AV25</f>
        <v/>
      </c>
      <c r="N22" s="16">
        <f>'總表'!AW25</f>
        <v/>
      </c>
      <c r="O22" s="17">
        <f>'總表'!AX25</f>
        <v/>
      </c>
      <c r="P22" s="3">
        <f>'總表'!BB25</f>
        <v/>
      </c>
    </row>
    <row r="23">
      <c r="A23" s="2">
        <f>COUNTIF($O$4:$O$25,"&gt;"&amp;O23)+1</f>
        <v/>
      </c>
      <c r="B23" s="2">
        <f>'總表'!A22</f>
        <v/>
      </c>
      <c r="C23" s="19" t="inlineStr">
        <is>
          <t>SGP</t>
        </is>
      </c>
      <c r="D23" s="2">
        <f>'總表'!C22</f>
        <v/>
      </c>
      <c r="E23" s="2">
        <f>'總表'!E22</f>
        <v/>
      </c>
      <c r="F23" s="2">
        <f>'總表'!H22</f>
        <v/>
      </c>
      <c r="G23" s="21">
        <f>'總表'!I22</f>
        <v/>
      </c>
      <c r="H23" s="8">
        <f>'總表'!O22</f>
        <v/>
      </c>
      <c r="I23" s="9">
        <f>'總表'!W22</f>
        <v/>
      </c>
      <c r="J23" s="9">
        <f>'總表'!AE22</f>
        <v/>
      </c>
      <c r="K23" s="9">
        <f>'總表'!AI22</f>
        <v/>
      </c>
      <c r="L23" s="14">
        <f>'總表'!AL22</f>
        <v/>
      </c>
      <c r="M23" s="16">
        <f>'總表'!AV22</f>
        <v/>
      </c>
      <c r="N23" s="16">
        <f>'總表'!AW22</f>
        <v/>
      </c>
      <c r="O23" s="17">
        <f>'總表'!AX22</f>
        <v/>
      </c>
      <c r="P23" s="3">
        <f>'總表'!BB22</f>
        <v/>
      </c>
    </row>
    <row r="24">
      <c r="A24" s="2">
        <f>COUNTIF($O$4:$O$25,"&gt;"&amp;O24)+1</f>
        <v/>
      </c>
      <c r="B24" s="2">
        <f>'總表'!A26</f>
        <v/>
      </c>
      <c r="C24" s="5" t="inlineStr">
        <is>
          <t>LPG</t>
        </is>
      </c>
      <c r="D24" s="2">
        <f>'總表'!C26</f>
        <v/>
      </c>
      <c r="E24" s="2">
        <f>'總表'!E26</f>
        <v/>
      </c>
      <c r="F24" s="2">
        <f>'總表'!H26</f>
        <v/>
      </c>
      <c r="G24" s="21">
        <f>'總表'!I26</f>
        <v/>
      </c>
      <c r="H24" s="8">
        <f>'總表'!O26</f>
        <v/>
      </c>
      <c r="I24" s="9">
        <f>'總表'!W26</f>
        <v/>
      </c>
      <c r="J24" s="9">
        <f>'總表'!AE26</f>
        <v/>
      </c>
      <c r="K24" s="9">
        <f>'總表'!AI26</f>
        <v/>
      </c>
      <c r="L24" s="14">
        <f>'總表'!AL26</f>
        <v/>
      </c>
      <c r="M24" s="16">
        <f>'總表'!AV26</f>
        <v/>
      </c>
      <c r="N24" s="16">
        <f>'總表'!AW26</f>
        <v/>
      </c>
      <c r="O24" s="17">
        <f>'總表'!AX26</f>
        <v/>
      </c>
      <c r="P24" s="3">
        <f>'總表'!BB26</f>
        <v/>
      </c>
    </row>
    <row r="25">
      <c r="A25" s="2">
        <f>COUNTIF($O$4:$O$25,"&gt;"&amp;O25)+1</f>
        <v/>
      </c>
      <c r="B25" s="2">
        <f>'總表'!A28</f>
        <v/>
      </c>
      <c r="C25" s="5" t="inlineStr">
        <is>
          <t>APA</t>
        </is>
      </c>
      <c r="D25" s="2">
        <f>'總表'!C28</f>
        <v/>
      </c>
      <c r="E25" s="2">
        <f>'總表'!E28</f>
        <v/>
      </c>
      <c r="F25" s="2">
        <f>'總表'!H28</f>
        <v/>
      </c>
      <c r="G25" s="21">
        <f>'總表'!I28</f>
        <v/>
      </c>
      <c r="H25" s="8">
        <f>'總表'!O28</f>
        <v/>
      </c>
      <c r="I25" s="9">
        <f>'總表'!W28</f>
        <v/>
      </c>
      <c r="J25" s="9">
        <f>'總表'!AE28</f>
        <v/>
      </c>
      <c r="K25" s="9">
        <f>'總表'!AI28</f>
        <v/>
      </c>
      <c r="L25" s="14">
        <f>'總表'!AL28</f>
        <v/>
      </c>
      <c r="M25" s="16">
        <f>'總表'!AV28</f>
        <v/>
      </c>
      <c r="N25" s="16">
        <f>'總表'!AW28</f>
        <v/>
      </c>
      <c r="O25" s="17">
        <f>'總表'!AX28</f>
        <v/>
      </c>
      <c r="P25" s="3">
        <f>'總表'!BB28</f>
        <v/>
      </c>
    </row>
  </sheetData>
  <autoFilter ref="A3:P25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  <hyperlink xmlns:r="http://schemas.openxmlformats.org/officeDocument/2006/relationships" ref="C17" r:id="rId14"/>
    <hyperlink xmlns:r="http://schemas.openxmlformats.org/officeDocument/2006/relationships" ref="C18" r:id="rId15"/>
    <hyperlink xmlns:r="http://schemas.openxmlformats.org/officeDocument/2006/relationships" ref="C19" r:id="rId16"/>
    <hyperlink xmlns:r="http://schemas.openxmlformats.org/officeDocument/2006/relationships" ref="C20" r:id="rId17"/>
    <hyperlink xmlns:r="http://schemas.openxmlformats.org/officeDocument/2006/relationships" ref="C21" r:id="rId18"/>
    <hyperlink xmlns:r="http://schemas.openxmlformats.org/officeDocument/2006/relationships" ref="C22" r:id="rId19"/>
    <hyperlink xmlns:r="http://schemas.openxmlformats.org/officeDocument/2006/relationships" ref="C23" r:id="rId20"/>
    <hyperlink xmlns:r="http://schemas.openxmlformats.org/officeDocument/2006/relationships" ref="C24" r:id="rId21"/>
    <hyperlink xmlns:r="http://schemas.openxmlformats.org/officeDocument/2006/relationships" ref="C25" r:id="rId2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xSplit="3" ySplit="3" topLeftCell="D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28" customWidth="1" min="4" max="4"/>
    <col width="10" customWidth="1" min="5" max="5"/>
    <col width="7" customWidth="1" min="6" max="6"/>
    <col width="10" customWidth="1" min="7" max="7"/>
    <col width="8" customWidth="1" min="8" max="8"/>
    <col width="8" customWidth="1" min="9" max="9"/>
    <col width="9" customWidth="1" min="10" max="10"/>
    <col width="9" customWidth="1" min="11" max="11"/>
    <col width="7" customWidth="1" min="12" max="12"/>
    <col width="8" customWidth="1" min="13" max="13"/>
    <col width="8" customWidth="1" min="14" max="14"/>
    <col width="8" customWidth="1" min="15" max="15"/>
    <col width="40" customWidth="1" min="16" max="16"/>
  </cols>
  <sheetData>
    <row r="1">
      <c r="A1" s="1" t="inlineStr">
        <is>
          <t>6個月動能（126 個交易日回報排全體合資格股票前 10%）＋ 回到上升中嘅 20MA · 以綜合分數排序 · 2026-09-23 收市</t>
        </is>
      </c>
    </row>
    <row r="3" ht="42" customHeight="1">
      <c r="A3" s="4" t="inlineStr">
        <is>
          <t>頁內排名</t>
        </is>
      </c>
      <c r="B3" s="4" t="inlineStr">
        <is>
          <t>總表排名</t>
        </is>
      </c>
      <c r="C3" s="4" t="inlineStr">
        <is>
          <t>代號</t>
        </is>
      </c>
      <c r="D3" s="4" t="inlineStr">
        <is>
          <t>公司</t>
        </is>
      </c>
      <c r="E3" s="4" t="inlineStr">
        <is>
          <t>板塊</t>
        </is>
      </c>
      <c r="F3" s="4" t="inlineStr">
        <is>
          <t>市值組</t>
        </is>
      </c>
      <c r="G3" s="4" t="inlineStr">
        <is>
          <t>收市價</t>
        </is>
      </c>
      <c r="H3" s="4" t="inlineStr">
        <is>
          <t>距MA20%</t>
        </is>
      </c>
      <c r="I3" s="4" t="inlineStr">
        <is>
          <t>距高位%</t>
        </is>
      </c>
      <c r="J3" s="4" t="inlineStr">
        <is>
          <t>6個月回報</t>
        </is>
      </c>
      <c r="K3" s="4" t="inlineStr">
        <is>
          <t>6個月百分位</t>
        </is>
      </c>
      <c r="L3" s="4" t="inlineStr">
        <is>
          <t>覆蓋度</t>
        </is>
      </c>
      <c r="M3" s="4" t="inlineStr">
        <is>
          <t>動能分數</t>
        </is>
      </c>
      <c r="N3" s="4" t="inlineStr">
        <is>
          <t>回調質素</t>
        </is>
      </c>
      <c r="O3" s="4" t="inlineStr">
        <is>
          <t>綜合分數</t>
        </is>
      </c>
      <c r="P3" s="4" t="inlineStr">
        <is>
          <t>審視標記</t>
        </is>
      </c>
    </row>
    <row r="4">
      <c r="A4" s="2">
        <f>COUNTIF($O$4:$O$16,"&gt;"&amp;O4)+1</f>
        <v/>
      </c>
      <c r="B4" s="2">
        <f>'總表'!A9</f>
        <v/>
      </c>
      <c r="C4" s="19" t="inlineStr">
        <is>
          <t>PLSE</t>
        </is>
      </c>
      <c r="D4" s="2">
        <f>'總表'!C9</f>
        <v/>
      </c>
      <c r="E4" s="2">
        <f>'總表'!E9</f>
        <v/>
      </c>
      <c r="F4" s="2">
        <f>'總表'!H9</f>
        <v/>
      </c>
      <c r="G4" s="21">
        <f>'總表'!I9</f>
        <v/>
      </c>
      <c r="H4" s="8">
        <f>'總表'!O9</f>
        <v/>
      </c>
      <c r="I4" s="9">
        <f>'總表'!W9</f>
        <v/>
      </c>
      <c r="J4" s="9">
        <f>'總表'!AF9</f>
        <v/>
      </c>
      <c r="K4" s="9">
        <f>'總表'!AJ9</f>
        <v/>
      </c>
      <c r="L4" s="14">
        <f>'總表'!AL9</f>
        <v/>
      </c>
      <c r="M4" s="16">
        <f>'總表'!AV9</f>
        <v/>
      </c>
      <c r="N4" s="16">
        <f>'總表'!AW9</f>
        <v/>
      </c>
      <c r="O4" s="17">
        <f>'總表'!AX9</f>
        <v/>
      </c>
      <c r="P4" s="3">
        <f>'總表'!BB9</f>
        <v/>
      </c>
    </row>
    <row r="5">
      <c r="A5" s="2">
        <f>COUNTIF($O$4:$O$16,"&gt;"&amp;O5)+1</f>
        <v/>
      </c>
      <c r="B5" s="2">
        <f>'總表'!A14</f>
        <v/>
      </c>
      <c r="C5" s="19" t="inlineStr">
        <is>
          <t>DHX</t>
        </is>
      </c>
      <c r="D5" s="2">
        <f>'總表'!C14</f>
        <v/>
      </c>
      <c r="E5" s="2">
        <f>'總表'!E14</f>
        <v/>
      </c>
      <c r="F5" s="2">
        <f>'總表'!H14</f>
        <v/>
      </c>
      <c r="G5" s="21">
        <f>'總表'!I14</f>
        <v/>
      </c>
      <c r="H5" s="8">
        <f>'總表'!O14</f>
        <v/>
      </c>
      <c r="I5" s="9">
        <f>'總表'!W14</f>
        <v/>
      </c>
      <c r="J5" s="9">
        <f>'總表'!AF14</f>
        <v/>
      </c>
      <c r="K5" s="9">
        <f>'總表'!AJ14</f>
        <v/>
      </c>
      <c r="L5" s="14">
        <f>'總表'!AL14</f>
        <v/>
      </c>
      <c r="M5" s="16">
        <f>'總表'!AV14</f>
        <v/>
      </c>
      <c r="N5" s="16">
        <f>'總表'!AW14</f>
        <v/>
      </c>
      <c r="O5" s="17">
        <f>'總表'!AX14</f>
        <v/>
      </c>
      <c r="P5" s="3">
        <f>'總表'!BB14</f>
        <v/>
      </c>
    </row>
    <row r="6">
      <c r="A6" s="2">
        <f>COUNTIF($O$4:$O$16,"&gt;"&amp;O6)+1</f>
        <v/>
      </c>
      <c r="B6" s="2">
        <f>'總表'!A3</f>
        <v/>
      </c>
      <c r="C6" s="5" t="inlineStr">
        <is>
          <t>NUTX</t>
        </is>
      </c>
      <c r="D6" s="2">
        <f>'總表'!C3</f>
        <v/>
      </c>
      <c r="E6" s="2">
        <f>'總表'!E3</f>
        <v/>
      </c>
      <c r="F6" s="2">
        <f>'總表'!H3</f>
        <v/>
      </c>
      <c r="G6" s="21">
        <f>'總表'!I3</f>
        <v/>
      </c>
      <c r="H6" s="8">
        <f>'總表'!O3</f>
        <v/>
      </c>
      <c r="I6" s="9">
        <f>'總表'!W3</f>
        <v/>
      </c>
      <c r="J6" s="9">
        <f>'總表'!AF3</f>
        <v/>
      </c>
      <c r="K6" s="9">
        <f>'總表'!AJ3</f>
        <v/>
      </c>
      <c r="L6" s="14">
        <f>'總表'!AL3</f>
        <v/>
      </c>
      <c r="M6" s="16">
        <f>'總表'!AV3</f>
        <v/>
      </c>
      <c r="N6" s="16">
        <f>'總表'!AW3</f>
        <v/>
      </c>
      <c r="O6" s="17">
        <f>'總表'!AX3</f>
        <v/>
      </c>
      <c r="P6" s="3">
        <f>'總表'!BB3</f>
        <v/>
      </c>
    </row>
    <row r="7">
      <c r="A7" s="2">
        <f>COUNTIF($O$4:$O$16,"&gt;"&amp;O7)+1</f>
        <v/>
      </c>
      <c r="B7" s="2">
        <f>'總表'!A4</f>
        <v/>
      </c>
      <c r="C7" s="19" t="inlineStr">
        <is>
          <t>CLMT</t>
        </is>
      </c>
      <c r="D7" s="2">
        <f>'總表'!C4</f>
        <v/>
      </c>
      <c r="E7" s="2">
        <f>'總表'!E4</f>
        <v/>
      </c>
      <c r="F7" s="2">
        <f>'總表'!H4</f>
        <v/>
      </c>
      <c r="G7" s="21">
        <f>'總表'!I4</f>
        <v/>
      </c>
      <c r="H7" s="8">
        <f>'總表'!O4</f>
        <v/>
      </c>
      <c r="I7" s="9">
        <f>'總表'!W4</f>
        <v/>
      </c>
      <c r="J7" s="9">
        <f>'總表'!AF4</f>
        <v/>
      </c>
      <c r="K7" s="9">
        <f>'總表'!AJ4</f>
        <v/>
      </c>
      <c r="L7" s="14">
        <f>'總表'!AL4</f>
        <v/>
      </c>
      <c r="M7" s="16">
        <f>'總表'!AV4</f>
        <v/>
      </c>
      <c r="N7" s="16">
        <f>'總表'!AW4</f>
        <v/>
      </c>
      <c r="O7" s="17">
        <f>'總表'!AX4</f>
        <v/>
      </c>
      <c r="P7" s="3">
        <f>'總表'!BB4</f>
        <v/>
      </c>
    </row>
    <row r="8">
      <c r="A8" s="2">
        <f>COUNTIF($O$4:$O$16,"&gt;"&amp;O8)+1</f>
        <v/>
      </c>
      <c r="B8" s="2">
        <f>'總表'!A5</f>
        <v/>
      </c>
      <c r="C8" s="5" t="inlineStr">
        <is>
          <t>ESTC</t>
        </is>
      </c>
      <c r="D8" s="2">
        <f>'總表'!C5</f>
        <v/>
      </c>
      <c r="E8" s="2">
        <f>'總表'!E5</f>
        <v/>
      </c>
      <c r="F8" s="2">
        <f>'總表'!H5</f>
        <v/>
      </c>
      <c r="G8" s="21">
        <f>'總表'!I5</f>
        <v/>
      </c>
      <c r="H8" s="8">
        <f>'總表'!O5</f>
        <v/>
      </c>
      <c r="I8" s="9">
        <f>'總表'!W5</f>
        <v/>
      </c>
      <c r="J8" s="9">
        <f>'總表'!AF5</f>
        <v/>
      </c>
      <c r="K8" s="9">
        <f>'總表'!AJ5</f>
        <v/>
      </c>
      <c r="L8" s="14">
        <f>'總表'!AL5</f>
        <v/>
      </c>
      <c r="M8" s="16">
        <f>'總表'!AV5</f>
        <v/>
      </c>
      <c r="N8" s="16">
        <f>'總表'!AW5</f>
        <v/>
      </c>
      <c r="O8" s="17">
        <f>'總表'!AX5</f>
        <v/>
      </c>
      <c r="P8" s="3">
        <f>'總表'!BB5</f>
        <v/>
      </c>
    </row>
    <row r="9">
      <c r="A9" s="2">
        <f>COUNTIF($O$4:$O$16,"&gt;"&amp;O9)+1</f>
        <v/>
      </c>
      <c r="B9" s="2">
        <f>'總表'!A6</f>
        <v/>
      </c>
      <c r="C9" s="5" t="inlineStr">
        <is>
          <t>NEO</t>
        </is>
      </c>
      <c r="D9" s="2">
        <f>'總表'!C6</f>
        <v/>
      </c>
      <c r="E9" s="2">
        <f>'總表'!E6</f>
        <v/>
      </c>
      <c r="F9" s="2">
        <f>'總表'!H6</f>
        <v/>
      </c>
      <c r="G9" s="21">
        <f>'總表'!I6</f>
        <v/>
      </c>
      <c r="H9" s="8">
        <f>'總表'!O6</f>
        <v/>
      </c>
      <c r="I9" s="9">
        <f>'總表'!W6</f>
        <v/>
      </c>
      <c r="J9" s="9">
        <f>'總表'!AF6</f>
        <v/>
      </c>
      <c r="K9" s="9">
        <f>'總表'!AJ6</f>
        <v/>
      </c>
      <c r="L9" s="14">
        <f>'總表'!AL6</f>
        <v/>
      </c>
      <c r="M9" s="16">
        <f>'總表'!AV6</f>
        <v/>
      </c>
      <c r="N9" s="16">
        <f>'總表'!AW6</f>
        <v/>
      </c>
      <c r="O9" s="17">
        <f>'總表'!AX6</f>
        <v/>
      </c>
      <c r="P9" s="3">
        <f>'總表'!BB6</f>
        <v/>
      </c>
    </row>
    <row r="10">
      <c r="A10" s="2">
        <f>COUNTIF($O$4:$O$16,"&gt;"&amp;O10)+1</f>
        <v/>
      </c>
      <c r="B10" s="2">
        <f>'總表'!A11</f>
        <v/>
      </c>
      <c r="C10" s="19" t="inlineStr">
        <is>
          <t>AMWL</t>
        </is>
      </c>
      <c r="D10" s="2">
        <f>'總表'!C11</f>
        <v/>
      </c>
      <c r="E10" s="2">
        <f>'總表'!E11</f>
        <v/>
      </c>
      <c r="F10" s="2">
        <f>'總表'!H11</f>
        <v/>
      </c>
      <c r="G10" s="21">
        <f>'總表'!I11</f>
        <v/>
      </c>
      <c r="H10" s="8">
        <f>'總表'!O11</f>
        <v/>
      </c>
      <c r="I10" s="9">
        <f>'總表'!W11</f>
        <v/>
      </c>
      <c r="J10" s="9">
        <f>'總表'!AF11</f>
        <v/>
      </c>
      <c r="K10" s="9">
        <f>'總表'!AJ11</f>
        <v/>
      </c>
      <c r="L10" s="14">
        <f>'總表'!AL11</f>
        <v/>
      </c>
      <c r="M10" s="16">
        <f>'總表'!AV11</f>
        <v/>
      </c>
      <c r="N10" s="16">
        <f>'總表'!AW11</f>
        <v/>
      </c>
      <c r="O10" s="17">
        <f>'總表'!AX11</f>
        <v/>
      </c>
      <c r="P10" s="3">
        <f>'總表'!BB11</f>
        <v/>
      </c>
    </row>
    <row r="11">
      <c r="A11" s="2">
        <f>COUNTIF($O$4:$O$16,"&gt;"&amp;O11)+1</f>
        <v/>
      </c>
      <c r="B11" s="2">
        <f>'總表'!A12</f>
        <v/>
      </c>
      <c r="C11" s="5" t="inlineStr">
        <is>
          <t>SNOW</t>
        </is>
      </c>
      <c r="D11" s="2">
        <f>'總表'!C12</f>
        <v/>
      </c>
      <c r="E11" s="2">
        <f>'總表'!E12</f>
        <v/>
      </c>
      <c r="F11" s="2">
        <f>'總表'!H12</f>
        <v/>
      </c>
      <c r="G11" s="21">
        <f>'總表'!I12</f>
        <v/>
      </c>
      <c r="H11" s="8">
        <f>'總表'!O12</f>
        <v/>
      </c>
      <c r="I11" s="9">
        <f>'總表'!W12</f>
        <v/>
      </c>
      <c r="J11" s="9">
        <f>'總表'!AF12</f>
        <v/>
      </c>
      <c r="K11" s="9">
        <f>'總表'!AJ12</f>
        <v/>
      </c>
      <c r="L11" s="14">
        <f>'總表'!AL12</f>
        <v/>
      </c>
      <c r="M11" s="16">
        <f>'總表'!AV12</f>
        <v/>
      </c>
      <c r="N11" s="16">
        <f>'總表'!AW12</f>
        <v/>
      </c>
      <c r="O11" s="17">
        <f>'總表'!AX12</f>
        <v/>
      </c>
      <c r="P11" s="3">
        <f>'總表'!BB12</f>
        <v/>
      </c>
    </row>
    <row r="12">
      <c r="A12" s="2">
        <f>COUNTIF($O$4:$O$16,"&gt;"&amp;O12)+1</f>
        <v/>
      </c>
      <c r="B12" s="2">
        <f>'總表'!A13</f>
        <v/>
      </c>
      <c r="C12" s="5" t="inlineStr">
        <is>
          <t>AMPL</t>
        </is>
      </c>
      <c r="D12" s="2">
        <f>'總表'!C13</f>
        <v/>
      </c>
      <c r="E12" s="2">
        <f>'總表'!E13</f>
        <v/>
      </c>
      <c r="F12" s="2">
        <f>'總表'!H13</f>
        <v/>
      </c>
      <c r="G12" s="21">
        <f>'總表'!I13</f>
        <v/>
      </c>
      <c r="H12" s="8">
        <f>'總表'!O13</f>
        <v/>
      </c>
      <c r="I12" s="9">
        <f>'總表'!W13</f>
        <v/>
      </c>
      <c r="J12" s="9">
        <f>'總表'!AF13</f>
        <v/>
      </c>
      <c r="K12" s="9">
        <f>'總表'!AJ13</f>
        <v/>
      </c>
      <c r="L12" s="14">
        <f>'總表'!AL13</f>
        <v/>
      </c>
      <c r="M12" s="16">
        <f>'總表'!AV13</f>
        <v/>
      </c>
      <c r="N12" s="16">
        <f>'總表'!AW13</f>
        <v/>
      </c>
      <c r="O12" s="17">
        <f>'總表'!AX13</f>
        <v/>
      </c>
      <c r="P12" s="3">
        <f>'總表'!BB13</f>
        <v/>
      </c>
    </row>
    <row r="13">
      <c r="A13" s="2">
        <f>COUNTIF($O$4:$O$16,"&gt;"&amp;O13)+1</f>
        <v/>
      </c>
      <c r="B13" s="2">
        <f>'總表'!A8</f>
        <v/>
      </c>
      <c r="C13" s="5" t="inlineStr">
        <is>
          <t>HPQ</t>
        </is>
      </c>
      <c r="D13" s="2">
        <f>'總表'!C8</f>
        <v/>
      </c>
      <c r="E13" s="2">
        <f>'總表'!E8</f>
        <v/>
      </c>
      <c r="F13" s="2">
        <f>'總表'!H8</f>
        <v/>
      </c>
      <c r="G13" s="21">
        <f>'總表'!I8</f>
        <v/>
      </c>
      <c r="H13" s="8">
        <f>'總表'!O8</f>
        <v/>
      </c>
      <c r="I13" s="9">
        <f>'總表'!W8</f>
        <v/>
      </c>
      <c r="J13" s="9">
        <f>'總表'!AF8</f>
        <v/>
      </c>
      <c r="K13" s="9">
        <f>'總表'!AJ8</f>
        <v/>
      </c>
      <c r="L13" s="14">
        <f>'總表'!AL8</f>
        <v/>
      </c>
      <c r="M13" s="16">
        <f>'總表'!AV8</f>
        <v/>
      </c>
      <c r="N13" s="16">
        <f>'總表'!AW8</f>
        <v/>
      </c>
      <c r="O13" s="17">
        <f>'總表'!AX8</f>
        <v/>
      </c>
      <c r="P13" s="3">
        <f>'總表'!BB8</f>
        <v/>
      </c>
    </row>
    <row r="14">
      <c r="A14" s="2">
        <f>COUNTIF($O$4:$O$16,"&gt;"&amp;O14)+1</f>
        <v/>
      </c>
      <c r="B14" s="2">
        <f>'總表'!A15</f>
        <v/>
      </c>
      <c r="C14" s="5" t="inlineStr">
        <is>
          <t>ZETA</t>
        </is>
      </c>
      <c r="D14" s="2">
        <f>'總表'!C15</f>
        <v/>
      </c>
      <c r="E14" s="2">
        <f>'總表'!E15</f>
        <v/>
      </c>
      <c r="F14" s="2">
        <f>'總表'!H15</f>
        <v/>
      </c>
      <c r="G14" s="21">
        <f>'總表'!I15</f>
        <v/>
      </c>
      <c r="H14" s="8">
        <f>'總表'!O15</f>
        <v/>
      </c>
      <c r="I14" s="9">
        <f>'總表'!W15</f>
        <v/>
      </c>
      <c r="J14" s="9">
        <f>'總表'!AF15</f>
        <v/>
      </c>
      <c r="K14" s="9">
        <f>'總表'!AJ15</f>
        <v/>
      </c>
      <c r="L14" s="14">
        <f>'總表'!AL15</f>
        <v/>
      </c>
      <c r="M14" s="16">
        <f>'總表'!AV15</f>
        <v/>
      </c>
      <c r="N14" s="16">
        <f>'總表'!AW15</f>
        <v/>
      </c>
      <c r="O14" s="17">
        <f>'總表'!AX15</f>
        <v/>
      </c>
      <c r="P14" s="3">
        <f>'總表'!BB15</f>
        <v/>
      </c>
    </row>
    <row r="15">
      <c r="A15" s="2">
        <f>COUNTIF($O$4:$O$16,"&gt;"&amp;O15)+1</f>
        <v/>
      </c>
      <c r="B15" s="2">
        <f>'總表'!A16</f>
        <v/>
      </c>
      <c r="C15" s="19" t="inlineStr">
        <is>
          <t>DINO</t>
        </is>
      </c>
      <c r="D15" s="2">
        <f>'總表'!C16</f>
        <v/>
      </c>
      <c r="E15" s="2">
        <f>'總表'!E16</f>
        <v/>
      </c>
      <c r="F15" s="2">
        <f>'總表'!H16</f>
        <v/>
      </c>
      <c r="G15" s="21">
        <f>'總表'!I16</f>
        <v/>
      </c>
      <c r="H15" s="8">
        <f>'總表'!O16</f>
        <v/>
      </c>
      <c r="I15" s="9">
        <f>'總表'!W16</f>
        <v/>
      </c>
      <c r="J15" s="9">
        <f>'總表'!AF16</f>
        <v/>
      </c>
      <c r="K15" s="9">
        <f>'總表'!AJ16</f>
        <v/>
      </c>
      <c r="L15" s="14">
        <f>'總表'!AL16</f>
        <v/>
      </c>
      <c r="M15" s="16">
        <f>'總表'!AV16</f>
        <v/>
      </c>
      <c r="N15" s="16">
        <f>'總表'!AW16</f>
        <v/>
      </c>
      <c r="O15" s="17">
        <f>'總表'!AX16</f>
        <v/>
      </c>
      <c r="P15" s="3">
        <f>'總表'!BB16</f>
        <v/>
      </c>
    </row>
    <row r="16">
      <c r="A16" s="2">
        <f>COUNTIF($O$4:$O$16,"&gt;"&amp;O16)+1</f>
        <v/>
      </c>
      <c r="B16" s="2">
        <f>'總表'!A17</f>
        <v/>
      </c>
      <c r="C16" s="5" t="inlineStr">
        <is>
          <t>MGNI</t>
        </is>
      </c>
      <c r="D16" s="2">
        <f>'總表'!C17</f>
        <v/>
      </c>
      <c r="E16" s="2">
        <f>'總表'!E17</f>
        <v/>
      </c>
      <c r="F16" s="2">
        <f>'總表'!H17</f>
        <v/>
      </c>
      <c r="G16" s="21">
        <f>'總表'!I17</f>
        <v/>
      </c>
      <c r="H16" s="8">
        <f>'總表'!O17</f>
        <v/>
      </c>
      <c r="I16" s="9">
        <f>'總表'!W17</f>
        <v/>
      </c>
      <c r="J16" s="9">
        <f>'總表'!AF17</f>
        <v/>
      </c>
      <c r="K16" s="9">
        <f>'總表'!AJ17</f>
        <v/>
      </c>
      <c r="L16" s="14">
        <f>'總表'!AL17</f>
        <v/>
      </c>
      <c r="M16" s="16">
        <f>'總表'!AV17</f>
        <v/>
      </c>
      <c r="N16" s="16">
        <f>'總表'!AW17</f>
        <v/>
      </c>
      <c r="O16" s="17">
        <f>'總表'!AX17</f>
        <v/>
      </c>
      <c r="P16" s="3">
        <f>'總表'!BB17</f>
        <v/>
      </c>
    </row>
  </sheetData>
  <autoFilter ref="A3:P16"/>
  <hyperlinks>
    <hyperlink xmlns:r="http://schemas.openxmlformats.org/officeDocument/2006/relationships" ref="C4" r:id="rId1"/>
    <hyperlink xmlns:r="http://schemas.openxmlformats.org/officeDocument/2006/relationships" ref="C5" r:id="rId2"/>
    <hyperlink xmlns:r="http://schemas.openxmlformats.org/officeDocument/2006/relationships" ref="C6" r:id="rId3"/>
    <hyperlink xmlns:r="http://schemas.openxmlformats.org/officeDocument/2006/relationships" ref="C7" r:id="rId4"/>
    <hyperlink xmlns:r="http://schemas.openxmlformats.org/officeDocument/2006/relationships" ref="C8" r:id="rId5"/>
    <hyperlink xmlns:r="http://schemas.openxmlformats.org/officeDocument/2006/relationships" ref="C9" r:id="rId6"/>
    <hyperlink xmlns:r="http://schemas.openxmlformats.org/officeDocument/2006/relationships" ref="C10" r:id="rId7"/>
    <hyperlink xmlns:r="http://schemas.openxmlformats.org/officeDocument/2006/relationships" ref="C11" r:id="rId8"/>
    <hyperlink xmlns:r="http://schemas.openxmlformats.org/officeDocument/2006/relationships" ref="C12" r:id="rId9"/>
    <hyperlink xmlns:r="http://schemas.openxmlformats.org/officeDocument/2006/relationships" ref="C13" r:id="rId10"/>
    <hyperlink xmlns:r="http://schemas.openxmlformats.org/officeDocument/2006/relationships" ref="C14" r:id="rId11"/>
    <hyperlink xmlns:r="http://schemas.openxmlformats.org/officeDocument/2006/relationships" ref="C15" r:id="rId12"/>
    <hyperlink xmlns:r="http://schemas.openxmlformats.org/officeDocument/2006/relationships" ref="C16" r:id="rId13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16" customWidth="1" min="1" max="1"/>
    <col width="70" customWidth="1" min="2" max="2"/>
    <col width="14" customWidth="1" min="3" max="3"/>
    <col width="14" customWidth="1" min="4" max="4"/>
    <col width="12" customWidth="1" min="5" max="5"/>
  </cols>
  <sheetData>
    <row r="1">
      <c r="A1" s="1" t="inlineStr">
        <is>
          <t>R21.00 篩選條件：高動能 ＋ 回到上升中嘅 20MA</t>
        </is>
      </c>
    </row>
    <row r="3" ht="45" customHeight="1">
      <c r="A3" s="22" t="inlineStr">
        <is>
          <t>說明</t>
        </is>
      </c>
      <c r="B3" s="3" t="inlineStr">
        <is>
          <t>由 R21.00 起取代 R1–R20 嘅「10MA 上升＋一底高於一底」規則。股票池規則不變；池之後嘅條件全部重寫。價格改用 Yahoo 日線（開高低收量），因為「觸及 20MA」要用當日最低價，而舊序列只有收市價。數據終點 2026-09-23，共 186 個交易日（2025-12-26 起）。</t>
        </is>
      </c>
      <c r="C3" s="2" t="n"/>
      <c r="D3" s="23" t="n"/>
    </row>
    <row r="4" ht="18" customHeight="1">
      <c r="A4" s="22" t="inlineStr"/>
      <c r="B4" s="3" t="inlineStr"/>
      <c r="C4" s="2" t="inlineStr">
        <is>
          <t>門檻</t>
        </is>
      </c>
      <c r="D4" s="23" t="inlineStr">
        <is>
          <t>通過數目</t>
        </is>
      </c>
    </row>
    <row r="5" ht="45" customHeight="1">
      <c r="A5" s="22" t="inlineStr">
        <is>
          <t>股票池</t>
        </is>
      </c>
      <c r="B5" s="3" t="inlineStr">
        <is>
          <t>當日有成交、≥90 個交易日歷史、收市 ≥$2、普通股（ADR、名有 Trust 嘅銀行／REIT、BDC、MLP 保留；基金、優先股、票據剔除）、20 日成交額中位數 ≥$1M</t>
        </is>
      </c>
      <c r="C5" s="2" t="inlineStr">
        <is>
          <t>同 R1–R20</t>
        </is>
      </c>
      <c r="D5" s="23" t="n">
        <v>2766</v>
      </c>
    </row>
    <row r="6" ht="18" customHeight="1">
      <c r="A6" s="22" t="inlineStr">
        <is>
          <t>S1 趨勢</t>
        </is>
      </c>
      <c r="B6" s="3" t="inlineStr">
        <is>
          <t>MA20 高過 5 日前；MA20 &gt; MA50；MA50 高過 10 日前；收市 &gt; MA50</t>
        </is>
      </c>
      <c r="C6" s="2" t="inlineStr"/>
      <c r="D6" s="23" t="n">
        <v>388</v>
      </c>
    </row>
    <row r="7" ht="45" customHeight="1">
      <c r="A7" s="22" t="inlineStr">
        <is>
          <t>S2 近期高位</t>
        </is>
      </c>
      <c r="B7" s="3" t="inlineStr">
        <is>
          <t>近 63 日最高收市喺 2–25 個交易日前出現，而且唔低過數據期內（2025-12-26 起、約九個月，唔係歷史新高）最高收市嘅 95%</t>
        </is>
      </c>
      <c r="C7" s="2" t="inlineStr"/>
      <c r="D7" s="23" t="n">
        <v>155</v>
      </c>
    </row>
    <row r="8" ht="18" customHeight="1">
      <c r="A8" s="22" t="inlineStr">
        <is>
          <t>S3 回調深度</t>
        </is>
      </c>
      <c r="B8" s="3" t="inlineStr">
        <is>
          <t>收市比嗰個高位低 3%–30%</t>
        </is>
      </c>
      <c r="C8" s="2" t="inlineStr"/>
      <c r="D8" s="23" t="n">
        <v>112</v>
      </c>
    </row>
    <row r="9" ht="18" customHeight="1">
      <c r="A9" s="22" t="inlineStr">
        <is>
          <t>S4 曾經拉開</t>
        </is>
      </c>
      <c r="B9" s="3" t="inlineStr">
        <is>
          <t>近 25 日內，有一日收市高過當日 MA20 至少 8%（即係先離開咗條線，先至講得上「回到」）</t>
        </is>
      </c>
      <c r="C9" s="2" t="inlineStr"/>
      <c r="D9" s="23" t="n">
        <v>80</v>
      </c>
    </row>
    <row r="10" ht="45" customHeight="1">
      <c r="A10" s="22" t="inlineStr">
        <is>
          <t>S5 回到 20MA</t>
        </is>
      </c>
      <c r="B10" s="3" t="inlineStr">
        <is>
          <t>收市喺 MA20 嘅 -3% 至 +3% 之內；而且近 3 日有一日最低價去到當日 MA20 嘅 1.5% 之內（最低價 ≤ MA20×1.015；插穿都計）</t>
        </is>
      </c>
      <c r="C10" s="2" t="inlineStr"/>
      <c r="D10" s="23" t="n">
        <v>37</v>
      </c>
    </row>
    <row r="11" ht="45" customHeight="1">
      <c r="A11" s="22" t="inlineStr">
        <is>
          <t>動能（逐頁）</t>
        </is>
      </c>
      <c r="B11" s="3" t="inlineStr">
        <is>
          <t>1／2／3／6 個月（21／42／63／126 個交易日）回報，喺全體合資格股票排頭 10%（百分位 ≥90%）而且係正數。形態 S1–S5 全部通過、再有至少一個時間框達標就上總表；覆蓋度 = 幾多個時間框達標（1–4）</t>
        </is>
      </c>
      <c r="C11" s="2" t="inlineStr"/>
      <c r="D11" s="23" t="n">
        <v>28</v>
      </c>
    </row>
    <row r="13">
      <c r="A13" s="22" t="inlineStr">
        <is>
          <t>各時間框分界</t>
        </is>
      </c>
    </row>
    <row r="14">
      <c r="A14" s="24" t="inlineStr">
        <is>
          <t>時間框</t>
        </is>
      </c>
      <c r="B14" s="24" t="inlineStr">
        <is>
          <t>合資格股票數</t>
        </is>
      </c>
      <c r="C14" s="24" t="inlineStr">
        <is>
          <t>中位數回報（大市）</t>
        </is>
      </c>
      <c r="D14" s="24" t="inlineStr">
        <is>
          <t>頭 10% 分界回報</t>
        </is>
      </c>
      <c r="E14" s="24" t="inlineStr">
        <is>
          <t>本頁數目</t>
        </is>
      </c>
    </row>
    <row r="15">
      <c r="A15" s="2" t="inlineStr">
        <is>
          <t>1個月（21日）</t>
        </is>
      </c>
      <c r="B15" s="23" t="n">
        <v>2766</v>
      </c>
      <c r="C15" s="11" t="n">
        <v>-0.053685986949016</v>
      </c>
      <c r="D15" s="11" t="n">
        <v>0.0743943702088582</v>
      </c>
      <c r="E15" s="14" t="n">
        <v>15</v>
      </c>
    </row>
    <row r="16">
      <c r="A16" s="2" t="inlineStr">
        <is>
          <t>2個月（42日）</t>
        </is>
      </c>
      <c r="B16" s="23" t="n">
        <v>2766</v>
      </c>
      <c r="C16" s="11" t="n">
        <v>-0.03347479756417865</v>
      </c>
      <c r="D16" s="11" t="n">
        <v>0.2411724156935026</v>
      </c>
      <c r="E16" s="14" t="n">
        <v>19</v>
      </c>
    </row>
    <row r="17">
      <c r="A17" s="2" t="inlineStr">
        <is>
          <t>3個月（63日）</t>
        </is>
      </c>
      <c r="B17" s="23" t="n">
        <v>2766</v>
      </c>
      <c r="C17" s="11" t="n">
        <v>-0.02477834054039313</v>
      </c>
      <c r="D17" s="11" t="n">
        <v>0.2811124312851337</v>
      </c>
      <c r="E17" s="14" t="n">
        <v>22</v>
      </c>
    </row>
    <row r="18">
      <c r="A18" s="2" t="inlineStr">
        <is>
          <t>6個月（126日）</t>
        </is>
      </c>
      <c r="B18" s="23" t="n">
        <v>2727</v>
      </c>
      <c r="C18" s="11" t="n">
        <v>0.07206349206349216</v>
      </c>
      <c r="D18" s="11" t="n">
        <v>0.6212635857254427</v>
      </c>
      <c r="E18" s="14" t="n">
        <v>13</v>
      </c>
    </row>
    <row r="20">
      <c r="A20" s="22" t="inlineStr">
        <is>
          <t>評分</t>
        </is>
      </c>
    </row>
    <row r="21" ht="30" customHeight="1">
      <c r="A21" s="22" t="inlineStr">
        <is>
          <t>動能分數</t>
        </is>
      </c>
      <c r="B21" s="3" t="inlineStr">
        <is>
          <t>四個時間框回報百分位嘅加權平均：1個月 0.2、2個月 0.2、3個月 0.3、6個月 0.3；上市未夠 126 日嘅按有嘅時間框重新攤分權重</t>
        </is>
      </c>
    </row>
    <row r="22" ht="30" customHeight="1">
      <c r="A22" s="22" t="inlineStr">
        <is>
          <t>回調質素</t>
        </is>
      </c>
      <c r="B22" s="3" t="inlineStr">
        <is>
          <t>0.25 量縮 + 0.20 貼近MA20 + 0.15 MA20斜率 + 0.15 回調深度 + 0.15 企穩 + 0.10 波幅收窄；每項 0–1，線性、兩頭封頂</t>
        </is>
      </c>
    </row>
    <row r="23" ht="18" customHeight="1">
      <c r="A23" s="22" t="inlineStr">
        <is>
          <t xml:space="preserve">　量縮</t>
        </is>
      </c>
      <c r="B23" s="3" t="inlineStr">
        <is>
          <t>高位之後嘅平均成交量 ÷ 高位前 20 日（連高位日）平均成交量：≤0.6 滿分、≥1.2 零分</t>
        </is>
      </c>
    </row>
    <row r="24" ht="18" customHeight="1">
      <c r="A24" s="22" t="inlineStr">
        <is>
          <t xml:space="preserve">　貼近MA20</t>
        </is>
      </c>
      <c r="B24" s="3" t="inlineStr">
        <is>
          <t>|收市 ÷ MA20 − 1|：0% 滿分、3% 零分</t>
        </is>
      </c>
    </row>
    <row r="25" ht="18" customHeight="1">
      <c r="A25" s="22" t="inlineStr">
        <is>
          <t xml:space="preserve">　MA20斜率</t>
        </is>
      </c>
      <c r="B25" s="3" t="inlineStr">
        <is>
          <t>MA20 ÷ 5 日前 MA20 − 1：≥3% 滿分、≤0% 零分</t>
        </is>
      </c>
    </row>
    <row r="26" ht="18" customHeight="1">
      <c r="A26" s="22" t="inlineStr">
        <is>
          <t xml:space="preserve">　回調深度</t>
        </is>
      </c>
      <c r="B26" s="3" t="inlineStr">
        <is>
          <t>距高位跌幅：≤15% 滿分、30% 零分</t>
        </is>
      </c>
    </row>
    <row r="27" ht="18" customHeight="1">
      <c r="A27" s="22" t="inlineStr">
        <is>
          <t xml:space="preserve">　企穩</t>
        </is>
      </c>
      <c r="B27" s="3" t="inlineStr">
        <is>
          <t>0.5 × 當日收市喺當日高低區間嘅位置（收喺最高 = 1）+ 0.5 ×（收市 ≥ MA20 就 1）</t>
        </is>
      </c>
    </row>
    <row r="28" ht="18" customHeight="1">
      <c r="A28" s="22" t="inlineStr">
        <is>
          <t xml:space="preserve">　波幅收窄</t>
        </is>
      </c>
      <c r="B28" s="3" t="inlineStr">
        <is>
          <t>ATR5 ÷ ATR20：≤0.7 滿分、≥1.3 零分</t>
        </is>
      </c>
    </row>
    <row r="29" ht="18" customHeight="1">
      <c r="A29" s="22" t="inlineStr">
        <is>
          <t>綜合分數</t>
        </is>
      </c>
      <c r="B29" s="3" t="inlineStr">
        <is>
          <t>0.5 × 動能分數 + 0.5 × 回調質素（時間框頁排名用）</t>
        </is>
      </c>
    </row>
    <row r="30" ht="18" customHeight="1">
      <c r="A30" s="22" t="inlineStr">
        <is>
          <t>爆發潛力分數</t>
        </is>
      </c>
      <c r="B30" s="3" t="inlineStr">
        <is>
          <t>0.4 × 動能分數 + 0.4 × 回調質素 + 0.2 × 覆蓋度 ÷ 4 × 100（總表排名用）</t>
        </is>
      </c>
    </row>
    <row r="31" ht="18" customHeight="1">
      <c r="A31" s="22" t="inlineStr">
        <is>
          <t>欄位顏色</t>
        </is>
      </c>
      <c r="B31" s="3" t="inlineStr">
        <is>
          <t>藍字 = 量度值（輸入）；黑字 = 公式；橙底 = 有審視標記</t>
        </is>
      </c>
    </row>
    <row r="33" ht="60" customHeight="1">
      <c r="A33" s="22" t="inlineStr">
        <is>
          <t>同舊規則分別</t>
        </is>
      </c>
      <c r="B33" s="3" t="inlineStr">
        <is>
          <t>R1–R20：MA（5／10 日）喺 1星期／2星期／1個月／2個月 時間框上升 ＋ 一底高於一底，以 VCP 收縮 × 底部確定性排序 —— 捉嘅係「築底後轉強」。R21.00：先要已經係強勢股（回報排頭 10%），再等佢回調到上升中嘅 20MA —— 捉嘅係「強勢股回調買位」。兩套名單重疊好少係預期之內（見「同R20對照」頁）。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8" customWidth="1" min="3" max="3"/>
    <col width="9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8" customWidth="1" min="38" max="38"/>
    <col width="8" customWidth="1" min="39" max="39"/>
    <col width="8" customWidth="1" min="40" max="40"/>
    <col width="8" customWidth="1" min="41" max="41"/>
    <col width="8" customWidth="1" min="42" max="42"/>
    <col width="8" customWidth="1" min="43" max="43"/>
    <col width="8" customWidth="1" min="44" max="44"/>
    <col width="8" customWidth="1" min="45" max="45"/>
    <col width="8" customWidth="1" min="46" max="46"/>
    <col width="8" customWidth="1" min="47" max="47"/>
    <col width="8" customWidth="1" min="48" max="48"/>
    <col width="8" customWidth="1" min="49" max="49"/>
    <col width="8" customWidth="1" min="50" max="50"/>
    <col width="8" customWidth="1" min="51" max="51"/>
    <col width="8" customWidth="1" min="52" max="52"/>
    <col width="8" customWidth="1" min="53" max="53"/>
    <col width="8" customWidth="1" min="54" max="54"/>
    <col width="8" customWidth="1" min="55" max="55"/>
    <col width="8" customWidth="1" min="56" max="56"/>
    <col width="8" customWidth="1" min="57" max="57"/>
    <col width="8" customWidth="1" min="58" max="58"/>
    <col width="8" customWidth="1" min="59" max="59"/>
  </cols>
  <sheetData>
    <row r="1">
      <c r="A1" s="1" t="inlineStr">
        <is>
          <t>每次只郁一個門檻，睇名單點變（基準 = 本版門檻）</t>
        </is>
      </c>
    </row>
    <row r="3" ht="42" customHeight="1">
      <c r="A3" s="4" t="inlineStr">
        <is>
          <t>門檻</t>
        </is>
      </c>
      <c r="B3" s="4" t="inlineStr">
        <is>
          <t>基準</t>
        </is>
      </c>
      <c r="C3" s="4" t="inlineStr">
        <is>
          <t>改為</t>
        </is>
      </c>
      <c r="D3" s="4" t="inlineStr">
        <is>
          <t>名單數目</t>
        </is>
      </c>
      <c r="E3" s="4" t="inlineStr">
        <is>
          <t>變動</t>
        </is>
      </c>
      <c r="F3" s="4" t="inlineStr">
        <is>
          <t>新增／剔走嘅代號 →</t>
        </is>
      </c>
    </row>
    <row r="4">
      <c r="A4" s="2" t="inlineStr">
        <is>
          <t>觸及容差</t>
        </is>
      </c>
      <c r="B4" s="2" t="n">
        <v>0.015</v>
      </c>
      <c r="C4" s="2" t="n">
        <v>0</v>
      </c>
      <c r="D4" s="14" t="n">
        <v>25</v>
      </c>
      <c r="E4" s="2" t="inlineStr">
        <is>
          <t>+0 / −3</t>
        </is>
      </c>
      <c r="F4" s="19" t="inlineStr">
        <is>
          <t>AMWL</t>
        </is>
      </c>
      <c r="G4" s="19" t="inlineStr">
        <is>
          <t>DJCO</t>
        </is>
      </c>
      <c r="H4" s="19" t="inlineStr">
        <is>
          <t>NEO</t>
        </is>
      </c>
    </row>
    <row r="5">
      <c r="A5" s="2" t="inlineStr">
        <is>
          <t>觸及容差</t>
        </is>
      </c>
      <c r="B5" s="2" t="n">
        <v>0.015</v>
      </c>
      <c r="C5" s="2" t="n">
        <v>0.03</v>
      </c>
      <c r="D5" s="14" t="n">
        <v>29</v>
      </c>
      <c r="E5" s="2" t="inlineStr">
        <is>
          <t>+1 / −0</t>
        </is>
      </c>
      <c r="F5" s="25" t="inlineStr">
        <is>
          <t>GRDN</t>
        </is>
      </c>
    </row>
    <row r="6">
      <c r="A6" s="2" t="inlineStr">
        <is>
          <t>距MA20上限</t>
        </is>
      </c>
      <c r="B6" s="2" t="n">
        <v>0.03</v>
      </c>
      <c r="C6" s="2" t="n">
        <v>0.02</v>
      </c>
      <c r="D6" s="14" t="n">
        <v>24</v>
      </c>
      <c r="E6" s="2" t="inlineStr">
        <is>
          <t>+0 / −4</t>
        </is>
      </c>
      <c r="F6" s="19" t="inlineStr">
        <is>
          <t>AMPL</t>
        </is>
      </c>
      <c r="G6" s="19" t="inlineStr">
        <is>
          <t>AMWL</t>
        </is>
      </c>
      <c r="H6" s="19" t="inlineStr">
        <is>
          <t>DJCO</t>
        </is>
      </c>
      <c r="I6" s="19" t="inlineStr">
        <is>
          <t>ESTC</t>
        </is>
      </c>
    </row>
    <row r="7">
      <c r="A7" s="2" t="inlineStr">
        <is>
          <t>距MA20上限</t>
        </is>
      </c>
      <c r="B7" s="2" t="n">
        <v>0.03</v>
      </c>
      <c r="C7" s="2" t="n">
        <v>0.05</v>
      </c>
      <c r="D7" s="14" t="n">
        <v>29</v>
      </c>
      <c r="E7" s="2" t="inlineStr">
        <is>
          <t>+1 / −0</t>
        </is>
      </c>
      <c r="F7" s="25" t="inlineStr">
        <is>
          <t>DOCU</t>
        </is>
      </c>
    </row>
    <row r="8">
      <c r="A8" s="2" t="inlineStr">
        <is>
          <t>距MA20下限</t>
        </is>
      </c>
      <c r="B8" s="2" t="n">
        <v>-0.03</v>
      </c>
      <c r="C8" s="2" t="n">
        <v>-0.02</v>
      </c>
      <c r="D8" s="14" t="n">
        <v>26</v>
      </c>
      <c r="E8" s="2" t="inlineStr">
        <is>
          <t>+0 / −2</t>
        </is>
      </c>
      <c r="F8" s="19" t="inlineStr">
        <is>
          <t>CBLL</t>
        </is>
      </c>
      <c r="G8" s="19" t="inlineStr">
        <is>
          <t>ZETA</t>
        </is>
      </c>
    </row>
    <row r="9">
      <c r="A9" s="2" t="inlineStr">
        <is>
          <t>距MA20下限</t>
        </is>
      </c>
      <c r="B9" s="2" t="n">
        <v>-0.03</v>
      </c>
      <c r="C9" s="2" t="n">
        <v>-0.05</v>
      </c>
      <c r="D9" s="14" t="n">
        <v>35</v>
      </c>
      <c r="E9" s="2" t="inlineStr">
        <is>
          <t>+7 / −0</t>
        </is>
      </c>
      <c r="F9" s="25" t="inlineStr">
        <is>
          <t>AII</t>
        </is>
      </c>
      <c r="G9" s="25" t="inlineStr">
        <is>
          <t>CRM</t>
        </is>
      </c>
      <c r="H9" s="25" t="inlineStr">
        <is>
          <t>DK</t>
        </is>
      </c>
      <c r="I9" s="25" t="inlineStr">
        <is>
          <t>HTFL</t>
        </is>
      </c>
      <c r="J9" s="25" t="inlineStr">
        <is>
          <t>LFST</t>
        </is>
      </c>
      <c r="K9" s="25" t="inlineStr">
        <is>
          <t>PBF</t>
        </is>
      </c>
      <c r="L9" s="25" t="inlineStr">
        <is>
          <t>SGMT</t>
        </is>
      </c>
    </row>
    <row r="10">
      <c r="A10" s="2" t="inlineStr">
        <is>
          <t>曾經拉開</t>
        </is>
      </c>
      <c r="B10" s="2" t="n">
        <v>0.08</v>
      </c>
      <c r="C10" s="2" t="n">
        <v>0.06</v>
      </c>
      <c r="D10" s="14" t="n">
        <v>30</v>
      </c>
      <c r="E10" s="2" t="inlineStr">
        <is>
          <t>+2 / −0</t>
        </is>
      </c>
      <c r="F10" s="25" t="inlineStr">
        <is>
          <t>AVTR</t>
        </is>
      </c>
      <c r="G10" s="25" t="inlineStr">
        <is>
          <t>NSIT</t>
        </is>
      </c>
    </row>
    <row r="11">
      <c r="A11" s="2" t="inlineStr">
        <is>
          <t>曾經拉開</t>
        </is>
      </c>
      <c r="B11" s="2" t="n">
        <v>0.08</v>
      </c>
      <c r="C11" s="2" t="n">
        <v>0.1</v>
      </c>
      <c r="D11" s="14" t="n">
        <v>24</v>
      </c>
      <c r="E11" s="2" t="inlineStr">
        <is>
          <t>+0 / −4</t>
        </is>
      </c>
      <c r="F11" s="19" t="inlineStr">
        <is>
          <t>DJCO</t>
        </is>
      </c>
      <c r="G11" s="19" t="inlineStr">
        <is>
          <t>MGNI</t>
        </is>
      </c>
      <c r="H11" s="19" t="inlineStr">
        <is>
          <t>SABR</t>
        </is>
      </c>
      <c r="I11" s="19" t="inlineStr">
        <is>
          <t>SNOW</t>
        </is>
      </c>
    </row>
    <row r="12">
      <c r="A12" s="2" t="inlineStr">
        <is>
          <t>最淺回調</t>
        </is>
      </c>
      <c r="B12" s="2" t="n">
        <v>0.03</v>
      </c>
      <c r="C12" s="2" t="n">
        <v>0.02</v>
      </c>
      <c r="D12" s="14" t="n">
        <v>30</v>
      </c>
      <c r="E12" s="2" t="inlineStr">
        <is>
          <t>+2 / −0</t>
        </is>
      </c>
      <c r="F12" s="25" t="inlineStr">
        <is>
          <t>BIO</t>
        </is>
      </c>
      <c r="G12" s="25" t="inlineStr">
        <is>
          <t>RIGL</t>
        </is>
      </c>
    </row>
    <row r="13">
      <c r="A13" s="2" t="inlineStr">
        <is>
          <t>最淺回調</t>
        </is>
      </c>
      <c r="B13" s="2" t="n">
        <v>0.03</v>
      </c>
      <c r="C13" s="2" t="n">
        <v>0.05</v>
      </c>
      <c r="D13" s="14" t="n">
        <v>22</v>
      </c>
      <c r="E13" s="2" t="inlineStr">
        <is>
          <t>+0 / −6</t>
        </is>
      </c>
      <c r="F13" s="19" t="inlineStr">
        <is>
          <t>AMPL</t>
        </is>
      </c>
      <c r="G13" s="19" t="inlineStr">
        <is>
          <t>AMWL</t>
        </is>
      </c>
      <c r="H13" s="19" t="inlineStr">
        <is>
          <t>DJCO</t>
        </is>
      </c>
      <c r="I13" s="19" t="inlineStr">
        <is>
          <t>NOW</t>
        </is>
      </c>
      <c r="J13" s="19" t="inlineStr">
        <is>
          <t>SGP</t>
        </is>
      </c>
      <c r="K13" s="19" t="inlineStr">
        <is>
          <t>VIR</t>
        </is>
      </c>
    </row>
    <row r="14">
      <c r="A14" s="2" t="inlineStr">
        <is>
          <t>最深回調</t>
        </is>
      </c>
      <c r="B14" s="2" t="n">
        <v>0.3</v>
      </c>
      <c r="C14" s="2" t="n">
        <v>0.25</v>
      </c>
      <c r="D14" s="14" t="n">
        <v>28</v>
      </c>
      <c r="E14" s="2" t="inlineStr">
        <is>
          <t>+0 / −0</t>
        </is>
      </c>
    </row>
    <row r="15">
      <c r="A15" s="2" t="inlineStr">
        <is>
          <t>最深回調</t>
        </is>
      </c>
      <c r="B15" s="2" t="n">
        <v>0.3</v>
      </c>
      <c r="C15" s="2" t="n">
        <v>0.35</v>
      </c>
      <c r="D15" s="14" t="n">
        <v>28</v>
      </c>
      <c r="E15" s="2" t="inlineStr">
        <is>
          <t>+0 / −0</t>
        </is>
      </c>
    </row>
    <row r="16">
      <c r="A16" s="2" t="inlineStr">
        <is>
          <t>高位最遠日數</t>
        </is>
      </c>
      <c r="B16" s="2" t="n">
        <v>25</v>
      </c>
      <c r="C16" s="2" t="n">
        <v>20</v>
      </c>
      <c r="D16" s="14" t="n">
        <v>28</v>
      </c>
      <c r="E16" s="2" t="inlineStr">
        <is>
          <t>+0 / −0</t>
        </is>
      </c>
    </row>
    <row r="17">
      <c r="A17" s="2" t="inlineStr">
        <is>
          <t>高位最遠日數</t>
        </is>
      </c>
      <c r="B17" s="2" t="n">
        <v>25</v>
      </c>
      <c r="C17" s="2" t="n">
        <v>30</v>
      </c>
      <c r="D17" s="14" t="n">
        <v>29</v>
      </c>
      <c r="E17" s="2" t="inlineStr">
        <is>
          <t>+1 / −0</t>
        </is>
      </c>
      <c r="F17" s="25" t="inlineStr">
        <is>
          <t>FET</t>
        </is>
      </c>
    </row>
    <row r="18">
      <c r="A18" s="2" t="inlineStr">
        <is>
          <t>貼近紀錄高</t>
        </is>
      </c>
      <c r="B18" s="2" t="n">
        <v>0.95</v>
      </c>
      <c r="C18" s="2" t="n">
        <v>0.9</v>
      </c>
      <c r="D18" s="14" t="n">
        <v>32</v>
      </c>
      <c r="E18" s="2" t="inlineStr">
        <is>
          <t>+4 / −0</t>
        </is>
      </c>
      <c r="F18" s="25" t="inlineStr">
        <is>
          <t>AGCO</t>
        </is>
      </c>
      <c r="G18" s="25" t="inlineStr">
        <is>
          <t>LITE</t>
        </is>
      </c>
      <c r="H18" s="25" t="inlineStr">
        <is>
          <t>SND</t>
        </is>
      </c>
      <c r="I18" s="25" t="inlineStr">
        <is>
          <t>TLYS</t>
        </is>
      </c>
    </row>
    <row r="19">
      <c r="A19" s="2" t="inlineStr">
        <is>
          <t>貼近紀錄高</t>
        </is>
      </c>
      <c r="B19" s="2" t="n">
        <v>0.95</v>
      </c>
      <c r="C19" s="2" t="n">
        <v>0.98</v>
      </c>
      <c r="D19" s="14" t="n">
        <v>27</v>
      </c>
      <c r="E19" s="2" t="inlineStr">
        <is>
          <t>+0 / −1</t>
        </is>
      </c>
      <c r="F19" s="19" t="inlineStr">
        <is>
          <t>NOW</t>
        </is>
      </c>
    </row>
    <row r="20">
      <c r="A20" s="2" t="inlineStr">
        <is>
          <t>動能百分位</t>
        </is>
      </c>
      <c r="B20" s="2" t="n">
        <v>0.9</v>
      </c>
      <c r="C20" s="2" t="n">
        <v>0.85</v>
      </c>
      <c r="D20" s="14" t="n">
        <v>36</v>
      </c>
      <c r="E20" s="2" t="inlineStr">
        <is>
          <t>+8 / −0</t>
        </is>
      </c>
      <c r="F20" s="25" t="inlineStr">
        <is>
          <t>ACFN</t>
        </is>
      </c>
      <c r="G20" s="25" t="inlineStr">
        <is>
          <t>BBY</t>
        </is>
      </c>
      <c r="H20" s="25" t="inlineStr">
        <is>
          <t>BLTE</t>
        </is>
      </c>
      <c r="I20" s="25" t="inlineStr">
        <is>
          <t>BSVN</t>
        </is>
      </c>
      <c r="J20" s="25" t="inlineStr">
        <is>
          <t>EXEL</t>
        </is>
      </c>
      <c r="K20" s="25" t="inlineStr">
        <is>
          <t>HRMY</t>
        </is>
      </c>
      <c r="L20" s="25" t="inlineStr">
        <is>
          <t>OOMA</t>
        </is>
      </c>
      <c r="M20" s="25" t="inlineStr">
        <is>
          <t>SXC</t>
        </is>
      </c>
    </row>
    <row r="21">
      <c r="A21" s="2" t="inlineStr">
        <is>
          <t>動能百分位</t>
        </is>
      </c>
      <c r="B21" s="2" t="n">
        <v>0.9</v>
      </c>
      <c r="C21" s="2" t="n">
        <v>0.95</v>
      </c>
      <c r="D21" s="14" t="n">
        <v>19</v>
      </c>
      <c r="E21" s="2" t="inlineStr">
        <is>
          <t>+0 / −9</t>
        </is>
      </c>
      <c r="F21" s="19" t="inlineStr">
        <is>
          <t>APA</t>
        </is>
      </c>
      <c r="G21" s="19" t="inlineStr">
        <is>
          <t>DHX</t>
        </is>
      </c>
      <c r="H21" s="19" t="inlineStr">
        <is>
          <t>DJCO</t>
        </is>
      </c>
      <c r="I21" s="19" t="inlineStr">
        <is>
          <t>HPQ</t>
        </is>
      </c>
      <c r="J21" s="19" t="inlineStr">
        <is>
          <t>LPG</t>
        </is>
      </c>
      <c r="K21" s="19" t="inlineStr">
        <is>
          <t>REPX</t>
        </is>
      </c>
      <c r="L21" s="19" t="inlineStr">
        <is>
          <t>SABR</t>
        </is>
      </c>
      <c r="M21" s="19" t="inlineStr">
        <is>
          <t>SGP</t>
        </is>
      </c>
      <c r="N21" s="19" t="inlineStr">
        <is>
          <t>VIR</t>
        </is>
      </c>
    </row>
    <row r="23">
      <c r="A23" s="22" t="inlineStr">
        <is>
          <t>黃底 = 放寬後新增；橙底 = 收緊後剔走</t>
        </is>
      </c>
    </row>
  </sheetData>
  <autoFilter ref="A3:F3"/>
  <hyperlinks>
    <hyperlink xmlns:r="http://schemas.openxmlformats.org/officeDocument/2006/relationships" ref="F4" r:id="rId1"/>
    <hyperlink xmlns:r="http://schemas.openxmlformats.org/officeDocument/2006/relationships" ref="G4" r:id="rId2"/>
    <hyperlink xmlns:r="http://schemas.openxmlformats.org/officeDocument/2006/relationships" ref="H4" r:id="rId3"/>
    <hyperlink xmlns:r="http://schemas.openxmlformats.org/officeDocument/2006/relationships" ref="F5" r:id="rId4"/>
    <hyperlink xmlns:r="http://schemas.openxmlformats.org/officeDocument/2006/relationships" ref="F6" r:id="rId5"/>
    <hyperlink xmlns:r="http://schemas.openxmlformats.org/officeDocument/2006/relationships" ref="G6" r:id="rId6"/>
    <hyperlink xmlns:r="http://schemas.openxmlformats.org/officeDocument/2006/relationships" ref="H6" r:id="rId7"/>
    <hyperlink xmlns:r="http://schemas.openxmlformats.org/officeDocument/2006/relationships" ref="I6" r:id="rId8"/>
    <hyperlink xmlns:r="http://schemas.openxmlformats.org/officeDocument/2006/relationships" ref="F7" r:id="rId9"/>
    <hyperlink xmlns:r="http://schemas.openxmlformats.org/officeDocument/2006/relationships" ref="F8" r:id="rId10"/>
    <hyperlink xmlns:r="http://schemas.openxmlformats.org/officeDocument/2006/relationships" ref="G8" r:id="rId11"/>
    <hyperlink xmlns:r="http://schemas.openxmlformats.org/officeDocument/2006/relationships" ref="F9" r:id="rId12"/>
    <hyperlink xmlns:r="http://schemas.openxmlformats.org/officeDocument/2006/relationships" ref="G9" r:id="rId13"/>
    <hyperlink xmlns:r="http://schemas.openxmlformats.org/officeDocument/2006/relationships" ref="H9" r:id="rId14"/>
    <hyperlink xmlns:r="http://schemas.openxmlformats.org/officeDocument/2006/relationships" ref="I9" r:id="rId15"/>
    <hyperlink xmlns:r="http://schemas.openxmlformats.org/officeDocument/2006/relationships" ref="J9" r:id="rId16"/>
    <hyperlink xmlns:r="http://schemas.openxmlformats.org/officeDocument/2006/relationships" ref="K9" r:id="rId17"/>
    <hyperlink xmlns:r="http://schemas.openxmlformats.org/officeDocument/2006/relationships" ref="L9" r:id="rId18"/>
    <hyperlink xmlns:r="http://schemas.openxmlformats.org/officeDocument/2006/relationships" ref="F10" r:id="rId19"/>
    <hyperlink xmlns:r="http://schemas.openxmlformats.org/officeDocument/2006/relationships" ref="G10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H11" r:id="rId23"/>
    <hyperlink xmlns:r="http://schemas.openxmlformats.org/officeDocument/2006/relationships" ref="I11" r:id="rId24"/>
    <hyperlink xmlns:r="http://schemas.openxmlformats.org/officeDocument/2006/relationships" ref="F12" r:id="rId25"/>
    <hyperlink xmlns:r="http://schemas.openxmlformats.org/officeDocument/2006/relationships" ref="G12" r:id="rId26"/>
    <hyperlink xmlns:r="http://schemas.openxmlformats.org/officeDocument/2006/relationships" ref="F13" r:id="rId27"/>
    <hyperlink xmlns:r="http://schemas.openxmlformats.org/officeDocument/2006/relationships" ref="G13" r:id="rId28"/>
    <hyperlink xmlns:r="http://schemas.openxmlformats.org/officeDocument/2006/relationships" ref="H13" r:id="rId29"/>
    <hyperlink xmlns:r="http://schemas.openxmlformats.org/officeDocument/2006/relationships" ref="I13" r:id="rId30"/>
    <hyperlink xmlns:r="http://schemas.openxmlformats.org/officeDocument/2006/relationships" ref="J13" r:id="rId31"/>
    <hyperlink xmlns:r="http://schemas.openxmlformats.org/officeDocument/2006/relationships" ref="K13" r:id="rId32"/>
    <hyperlink xmlns:r="http://schemas.openxmlformats.org/officeDocument/2006/relationships" ref="F17" r:id="rId33"/>
    <hyperlink xmlns:r="http://schemas.openxmlformats.org/officeDocument/2006/relationships" ref="F18" r:id="rId34"/>
    <hyperlink xmlns:r="http://schemas.openxmlformats.org/officeDocument/2006/relationships" ref="G18" r:id="rId35"/>
    <hyperlink xmlns:r="http://schemas.openxmlformats.org/officeDocument/2006/relationships" ref="H18" r:id="rId36"/>
    <hyperlink xmlns:r="http://schemas.openxmlformats.org/officeDocument/2006/relationships" ref="I18" r:id="rId37"/>
    <hyperlink xmlns:r="http://schemas.openxmlformats.org/officeDocument/2006/relationships" ref="F19" r:id="rId38"/>
    <hyperlink xmlns:r="http://schemas.openxmlformats.org/officeDocument/2006/relationships" ref="F20" r:id="rId39"/>
    <hyperlink xmlns:r="http://schemas.openxmlformats.org/officeDocument/2006/relationships" ref="G20" r:id="rId40"/>
    <hyperlink xmlns:r="http://schemas.openxmlformats.org/officeDocument/2006/relationships" ref="H20" r:id="rId41"/>
    <hyperlink xmlns:r="http://schemas.openxmlformats.org/officeDocument/2006/relationships" ref="I20" r:id="rId42"/>
    <hyperlink xmlns:r="http://schemas.openxmlformats.org/officeDocument/2006/relationships" ref="J20" r:id="rId43"/>
    <hyperlink xmlns:r="http://schemas.openxmlformats.org/officeDocument/2006/relationships" ref="K20" r:id="rId44"/>
    <hyperlink xmlns:r="http://schemas.openxmlformats.org/officeDocument/2006/relationships" ref="L20" r:id="rId45"/>
    <hyperlink xmlns:r="http://schemas.openxmlformats.org/officeDocument/2006/relationships" ref="M20" r:id="rId46"/>
    <hyperlink xmlns:r="http://schemas.openxmlformats.org/officeDocument/2006/relationships" ref="F21" r:id="rId47"/>
    <hyperlink xmlns:r="http://schemas.openxmlformats.org/officeDocument/2006/relationships" ref="G21" r:id="rId48"/>
    <hyperlink xmlns:r="http://schemas.openxmlformats.org/officeDocument/2006/relationships" ref="H21" r:id="rId49"/>
    <hyperlink xmlns:r="http://schemas.openxmlformats.org/officeDocument/2006/relationships" ref="I21" r:id="rId50"/>
    <hyperlink xmlns:r="http://schemas.openxmlformats.org/officeDocument/2006/relationships" ref="J21" r:id="rId51"/>
    <hyperlink xmlns:r="http://schemas.openxmlformats.org/officeDocument/2006/relationships" ref="K21" r:id="rId52"/>
    <hyperlink xmlns:r="http://schemas.openxmlformats.org/officeDocument/2006/relationships" ref="L21" r:id="rId53"/>
    <hyperlink xmlns:r="http://schemas.openxmlformats.org/officeDocument/2006/relationships" ref="M21" r:id="rId54"/>
    <hyperlink xmlns:r="http://schemas.openxmlformats.org/officeDocument/2006/relationships" ref="N21" r:id="rId55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9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4" customWidth="1" min="2" max="2"/>
    <col width="7" customWidth="1" min="3" max="3"/>
    <col width="10" customWidth="1" min="4" max="4"/>
    <col width="9" customWidth="1" min="5" max="5"/>
    <col width="9" customWidth="1" min="6" max="6"/>
    <col width="8" customWidth="1" min="7" max="7"/>
    <col width="60" customWidth="1" min="8" max="8"/>
  </cols>
  <sheetData>
    <row r="1">
      <c r="A1" s="1" t="inlineStr">
        <is>
          <t>動能達標、形態只差一項嘅股票（下一兩日最有機會上榜或者已經走遠）</t>
        </is>
      </c>
    </row>
    <row r="3" ht="42" customHeight="1">
      <c r="A3" s="4" t="inlineStr">
        <is>
          <t>代號</t>
        </is>
      </c>
      <c r="B3" s="4" t="inlineStr">
        <is>
          <t>唔通過嘅一項</t>
        </is>
      </c>
      <c r="C3" s="4" t="inlineStr">
        <is>
          <t>覆蓋度</t>
        </is>
      </c>
      <c r="D3" s="4" t="inlineStr">
        <is>
          <t>收市價</t>
        </is>
      </c>
      <c r="E3" s="4" t="inlineStr">
        <is>
          <t>距MA20%</t>
        </is>
      </c>
      <c r="F3" s="4" t="inlineStr">
        <is>
          <t>距高位%</t>
        </is>
      </c>
      <c r="G3" s="4" t="inlineStr">
        <is>
          <t>高位至今</t>
        </is>
      </c>
      <c r="H3" s="4" t="inlineStr">
        <is>
          <t>說明</t>
        </is>
      </c>
    </row>
    <row r="4">
      <c r="A4" s="5" t="inlineStr">
        <is>
          <t>ACHV</t>
        </is>
      </c>
      <c r="B4" s="2" t="inlineStr">
        <is>
          <t>S1 趨勢</t>
        </is>
      </c>
      <c r="C4" s="14" t="n">
        <v>3</v>
      </c>
      <c r="D4" s="7" t="n">
        <v>7.83</v>
      </c>
      <c r="E4" s="12" t="n">
        <v>-0.006345177664974</v>
      </c>
      <c r="F4" s="11" t="n">
        <v>-0.08206330597889788</v>
      </c>
      <c r="G4" s="10" t="n">
        <v>24</v>
      </c>
      <c r="H4" s="3" t="inlineStr">
        <is>
          <t>MA20 ↓（vs 5日前）；MA20 &gt; MA50；MA50 ↑（vs 10日前）；收市 &gt; MA50</t>
        </is>
      </c>
    </row>
    <row r="5">
      <c r="A5" s="5" t="inlineStr">
        <is>
          <t>EXFY</t>
        </is>
      </c>
      <c r="B5" s="2" t="inlineStr">
        <is>
          <t>S1 趨勢</t>
        </is>
      </c>
      <c r="C5" s="14" t="n">
        <v>3</v>
      </c>
      <c r="D5" s="7" t="n">
        <v>2.35</v>
      </c>
      <c r="E5" s="12" t="n">
        <v>-0.01052631578947549</v>
      </c>
      <c r="F5" s="11" t="n">
        <v>-0.136029411764706</v>
      </c>
      <c r="G5" s="10" t="n">
        <v>21</v>
      </c>
      <c r="H5" s="3" t="inlineStr">
        <is>
          <t>MA20 ↓（vs 5日前）；MA20 &gt; MA50；MA50 ↑（vs 10日前）；收市 &gt; MA50</t>
        </is>
      </c>
    </row>
    <row r="6">
      <c r="A6" s="5" t="inlineStr">
        <is>
          <t>NMAX</t>
        </is>
      </c>
      <c r="B6" s="2" t="inlineStr">
        <is>
          <t>S1 趨勢</t>
        </is>
      </c>
      <c r="C6" s="14" t="n">
        <v>3</v>
      </c>
      <c r="D6" s="7" t="n">
        <v>10.9</v>
      </c>
      <c r="E6" s="12" t="n">
        <v>0.01268174850187931</v>
      </c>
      <c r="F6" s="11" t="n">
        <v>-0.0463692038495187</v>
      </c>
      <c r="G6" s="10" t="n">
        <v>25</v>
      </c>
      <c r="H6" s="3" t="inlineStr">
        <is>
          <t>MA20 ↓（vs 5日前）；MA20 &gt; MA50；MA50 ↑（vs 10日前）；收市 &gt; MA50</t>
        </is>
      </c>
    </row>
    <row r="7">
      <c r="A7" s="5" t="inlineStr">
        <is>
          <t>PAYC</t>
        </is>
      </c>
      <c r="B7" s="2" t="inlineStr">
        <is>
          <t>S1 趨勢</t>
        </is>
      </c>
      <c r="C7" s="14" t="n">
        <v>3</v>
      </c>
      <c r="D7" s="7" t="n">
        <v>221.68</v>
      </c>
      <c r="E7" s="12" t="n">
        <v>-0.02881188487512965</v>
      </c>
      <c r="F7" s="11" t="n">
        <v>-0.07833028438383505</v>
      </c>
      <c r="G7" s="10" t="n">
        <v>13</v>
      </c>
      <c r="H7" s="3" t="inlineStr">
        <is>
          <t>MA20 ↓（vs 5日前）；MA20 &gt; MA50；MA50 ↑（vs 10日前）；收市 &gt; MA50</t>
        </is>
      </c>
    </row>
    <row r="8">
      <c r="A8" s="5" t="inlineStr">
        <is>
          <t>PAYS</t>
        </is>
      </c>
      <c r="B8" s="2" t="inlineStr">
        <is>
          <t>S1 趨勢</t>
        </is>
      </c>
      <c r="C8" s="14" t="n">
        <v>3</v>
      </c>
      <c r="D8" s="7" t="n">
        <v>12.67</v>
      </c>
      <c r="E8" s="12" t="n">
        <v>-0.006780856818094927</v>
      </c>
      <c r="F8" s="11" t="n">
        <v>-0.1039603960396041</v>
      </c>
      <c r="G8" s="10" t="n">
        <v>20</v>
      </c>
      <c r="H8" s="3" t="inlineStr">
        <is>
          <t>MA20 ↓（vs 5日前）；MA20 &gt; MA50；MA50 ↑（vs 10日前）；收市 &gt; MA50</t>
        </is>
      </c>
    </row>
    <row r="9">
      <c r="A9" s="5" t="inlineStr">
        <is>
          <t>PSNL</t>
        </is>
      </c>
      <c r="B9" s="2" t="inlineStr">
        <is>
          <t>S1 趨勢</t>
        </is>
      </c>
      <c r="C9" s="14" t="n">
        <v>3</v>
      </c>
      <c r="D9" s="7" t="n">
        <v>16.35</v>
      </c>
      <c r="E9" s="12" t="n">
        <v>-0.01259172026451483</v>
      </c>
      <c r="F9" s="11" t="n">
        <v>-0.1104461371055494</v>
      </c>
      <c r="G9" s="10" t="n">
        <v>22</v>
      </c>
      <c r="H9" s="3" t="inlineStr">
        <is>
          <t>MA20 ↓（vs 5日前）；MA20 &gt; MA50；MA50 ↑（vs 10日前）；收市 &gt; MA50</t>
        </is>
      </c>
    </row>
    <row r="10">
      <c r="A10" s="5" t="inlineStr">
        <is>
          <t>RCMT</t>
        </is>
      </c>
      <c r="B10" s="2" t="inlineStr">
        <is>
          <t>S1 趨勢</t>
        </is>
      </c>
      <c r="C10" s="14" t="n">
        <v>3</v>
      </c>
      <c r="D10" s="7" t="n">
        <v>40.33</v>
      </c>
      <c r="E10" s="12" t="n">
        <v>-0.003890089533806651</v>
      </c>
      <c r="F10" s="11" t="n">
        <v>-0.03976190476190478</v>
      </c>
      <c r="G10" s="10" t="n">
        <v>20</v>
      </c>
      <c r="H10" s="3" t="inlineStr">
        <is>
          <t>MA20 ↓（vs 5日前）；MA20 &gt; MA50；MA50 ↑（vs 10日前）；收市 &gt; MA50</t>
        </is>
      </c>
    </row>
    <row r="11">
      <c r="A11" s="5" t="inlineStr">
        <is>
          <t>TBI</t>
        </is>
      </c>
      <c r="B11" s="2" t="inlineStr">
        <is>
          <t>S1 趨勢</t>
        </is>
      </c>
      <c r="C11" s="14" t="n">
        <v>3</v>
      </c>
      <c r="D11" s="7" t="n">
        <v>9.81</v>
      </c>
      <c r="E11" s="12" t="n">
        <v>0.01573824808448898</v>
      </c>
      <c r="F11" s="11" t="n">
        <v>-0.09585253456221188</v>
      </c>
      <c r="G11" s="10" t="n">
        <v>24</v>
      </c>
      <c r="H11" s="3" t="inlineStr">
        <is>
          <t>MA20 ↓（vs 5日前）；MA20 &gt; MA50；MA50 ↑（vs 10日前）；收市 &gt; MA50</t>
        </is>
      </c>
    </row>
    <row r="12">
      <c r="A12" s="5" t="inlineStr">
        <is>
          <t>APPN</t>
        </is>
      </c>
      <c r="B12" s="2" t="inlineStr">
        <is>
          <t>S1 趨勢</t>
        </is>
      </c>
      <c r="C12" s="14" t="n">
        <v>2</v>
      </c>
      <c r="D12" s="7" t="n">
        <v>37.96</v>
      </c>
      <c r="E12" s="12" t="n">
        <v>-0.007931841049563682</v>
      </c>
      <c r="F12" s="11" t="n">
        <v>-0.1161816065192084</v>
      </c>
      <c r="G12" s="10" t="n">
        <v>16</v>
      </c>
      <c r="H12" s="3" t="inlineStr">
        <is>
          <t>MA20 ↓（vs 5日前）；MA20 &gt; MA50；MA50 ↑（vs 10日前）；收市 &gt; MA50</t>
        </is>
      </c>
    </row>
    <row r="13">
      <c r="A13" s="5" t="inlineStr">
        <is>
          <t>CORT</t>
        </is>
      </c>
      <c r="B13" s="2" t="inlineStr">
        <is>
          <t>S1 趨勢</t>
        </is>
      </c>
      <c r="C13" s="14" t="n">
        <v>2</v>
      </c>
      <c r="D13" s="7" t="n">
        <v>112.94</v>
      </c>
      <c r="E13" s="12" t="n">
        <v>-0.006406802251288202</v>
      </c>
      <c r="F13" s="11" t="n">
        <v>-0.08602411588573278</v>
      </c>
      <c r="G13" s="10" t="n">
        <v>20</v>
      </c>
      <c r="H13" s="3" t="inlineStr">
        <is>
          <t>MA20 ↓（vs 5日前）；MA20 &gt; MA50；MA50 ↑（vs 10日前）；收市 &gt; MA50</t>
        </is>
      </c>
    </row>
    <row r="14">
      <c r="A14" s="5" t="inlineStr">
        <is>
          <t>CRL</t>
        </is>
      </c>
      <c r="B14" s="2" t="inlineStr">
        <is>
          <t>S1 趨勢</t>
        </is>
      </c>
      <c r="C14" s="14" t="n">
        <v>2</v>
      </c>
      <c r="D14" s="7" t="n">
        <v>277.33</v>
      </c>
      <c r="E14" s="12" t="n">
        <v>-0.01971492448945367</v>
      </c>
      <c r="F14" s="11" t="n">
        <v>-0.07117020564002952</v>
      </c>
      <c r="G14" s="10" t="n">
        <v>21</v>
      </c>
      <c r="H14" s="3" t="inlineStr">
        <is>
          <t>MA20 ↓（vs 5日前）；MA20 &gt; MA50；MA50 ↑（vs 10日前）；收市 &gt; MA50</t>
        </is>
      </c>
    </row>
    <row r="15">
      <c r="A15" s="5" t="inlineStr">
        <is>
          <t>ELF</t>
        </is>
      </c>
      <c r="B15" s="2" t="inlineStr">
        <is>
          <t>S1 趨勢</t>
        </is>
      </c>
      <c r="C15" s="14" t="n">
        <v>2</v>
      </c>
      <c r="D15" s="7" t="n">
        <v>100.78</v>
      </c>
      <c r="E15" s="12" t="n">
        <v>-0.006809827438382321</v>
      </c>
      <c r="F15" s="11" t="n">
        <v>-0.08106136591592961</v>
      </c>
      <c r="G15" s="10" t="n">
        <v>12</v>
      </c>
      <c r="H15" s="3" t="inlineStr">
        <is>
          <t>MA20 ↓（vs 5日前）；MA20 &gt; MA50；MA50 ↑（vs 10日前）；收市 &gt; MA50</t>
        </is>
      </c>
    </row>
    <row r="16">
      <c r="A16" s="5" t="inlineStr">
        <is>
          <t>FRSH</t>
        </is>
      </c>
      <c r="B16" s="2" t="inlineStr">
        <is>
          <t>S1 趨勢</t>
        </is>
      </c>
      <c r="C16" s="14" t="n">
        <v>2</v>
      </c>
      <c r="D16" s="7" t="n">
        <v>12.87</v>
      </c>
      <c r="E16" s="12" t="n">
        <v>0.006845296303538584</v>
      </c>
      <c r="F16" s="11" t="n">
        <v>-0.07543103448275867</v>
      </c>
      <c r="G16" s="10" t="n">
        <v>16</v>
      </c>
      <c r="H16" s="3" t="inlineStr">
        <is>
          <t>MA20 ↓（vs 5日前）；MA20 &gt; MA50；MA50 ↑（vs 10日前）；收市 &gt; MA50</t>
        </is>
      </c>
    </row>
    <row r="17">
      <c r="A17" s="5" t="inlineStr">
        <is>
          <t>KELYA</t>
        </is>
      </c>
      <c r="B17" s="2" t="inlineStr">
        <is>
          <t>S1 趨勢</t>
        </is>
      </c>
      <c r="C17" s="14" t="n">
        <v>2</v>
      </c>
      <c r="D17" s="7" t="n">
        <v>16.45</v>
      </c>
      <c r="E17" s="12" t="n">
        <v>-0.002455959491827198</v>
      </c>
      <c r="F17" s="11" t="n">
        <v>-0.04803240740740755</v>
      </c>
      <c r="G17" s="10" t="n">
        <v>17</v>
      </c>
      <c r="H17" s="3" t="inlineStr">
        <is>
          <t>MA20 ↓（vs 5日前）；MA20 &gt; MA50；MA50 ↑（vs 10日前）；收市 &gt; MA50</t>
        </is>
      </c>
    </row>
    <row r="18">
      <c r="A18" s="5" t="inlineStr">
        <is>
          <t>KRO</t>
        </is>
      </c>
      <c r="B18" s="2" t="inlineStr">
        <is>
          <t>S1 趨勢</t>
        </is>
      </c>
      <c r="C18" s="14" t="n">
        <v>2</v>
      </c>
      <c r="D18" s="7" t="n">
        <v>8.43</v>
      </c>
      <c r="E18" s="12" t="n">
        <v>0.002437719246089154</v>
      </c>
      <c r="F18" s="11" t="n">
        <v>-0.05387205387205396</v>
      </c>
      <c r="G18" s="10" t="n">
        <v>20</v>
      </c>
      <c r="H18" s="3" t="inlineStr">
        <is>
          <t>MA20 ↓（vs 5日前）；MA20 &gt; MA50；MA50 ↑（vs 10日前）；收市 &gt; MA50</t>
        </is>
      </c>
    </row>
    <row r="19">
      <c r="A19" s="5" t="inlineStr">
        <is>
          <t>MANH</t>
        </is>
      </c>
      <c r="B19" s="2" t="inlineStr">
        <is>
          <t>S1 趨勢</t>
        </is>
      </c>
      <c r="C19" s="14" t="n">
        <v>2</v>
      </c>
      <c r="D19" s="7" t="n">
        <v>210.37</v>
      </c>
      <c r="E19" s="12" t="n">
        <v>-0.01196704834724771</v>
      </c>
      <c r="F19" s="11" t="n">
        <v>-0.05984090096531991</v>
      </c>
      <c r="G19" s="10" t="n">
        <v>18</v>
      </c>
      <c r="H19" s="3" t="inlineStr">
        <is>
          <t>MA20 ↓（vs 5日前）；MA20 &gt; MA50；MA50 ↑（vs 10日前）；收市 &gt; MA50</t>
        </is>
      </c>
    </row>
    <row r="20">
      <c r="A20" s="5" t="inlineStr">
        <is>
          <t>NEM</t>
        </is>
      </c>
      <c r="B20" s="2" t="inlineStr">
        <is>
          <t>S1 趨勢</t>
        </is>
      </c>
      <c r="C20" s="14" t="n">
        <v>2</v>
      </c>
      <c r="D20" s="7" t="n">
        <v>123.55</v>
      </c>
      <c r="E20" s="12" t="n">
        <v>-0.02087039906168187</v>
      </c>
      <c r="F20" s="11" t="n">
        <v>-0.08576291253514867</v>
      </c>
      <c r="G20" s="10" t="n">
        <v>20</v>
      </c>
      <c r="H20" s="3" t="inlineStr">
        <is>
          <t>MA20 ↓（vs 5日前）；MA20 &gt; MA50；MA50 ↑（vs 10日前）；收市 &gt; MA50</t>
        </is>
      </c>
    </row>
    <row r="21">
      <c r="A21" s="5" t="inlineStr">
        <is>
          <t>PRCH</t>
        </is>
      </c>
      <c r="B21" s="2" t="inlineStr">
        <is>
          <t>S1 趨勢</t>
        </is>
      </c>
      <c r="C21" s="14" t="n">
        <v>2</v>
      </c>
      <c r="D21" s="7" t="n">
        <v>16.61</v>
      </c>
      <c r="E21" s="12" t="n">
        <v>-0.01335036160323266</v>
      </c>
      <c r="F21" s="11" t="n">
        <v>-0.08028792912513838</v>
      </c>
      <c r="G21" s="10" t="n">
        <v>13</v>
      </c>
      <c r="H21" s="3" t="inlineStr">
        <is>
          <t>MA20 ↓（vs 5日前）；MA20 &gt; MA50；MA50 ↑（vs 10日前）；收市 &gt; MA50</t>
        </is>
      </c>
    </row>
    <row r="22">
      <c r="A22" s="5" t="inlineStr">
        <is>
          <t>PRGO</t>
        </is>
      </c>
      <c r="B22" s="2" t="inlineStr">
        <is>
          <t>S1 趨勢</t>
        </is>
      </c>
      <c r="C22" s="14" t="n">
        <v>2</v>
      </c>
      <c r="D22" s="7" t="n">
        <v>13.84</v>
      </c>
      <c r="E22" s="12" t="n">
        <v>-0.02052370842179729</v>
      </c>
      <c r="F22" s="11" t="n">
        <v>-0.07238605898123329</v>
      </c>
      <c r="G22" s="10" t="n">
        <v>12</v>
      </c>
      <c r="H22" s="3" t="inlineStr">
        <is>
          <t>MA20 ↓（vs 5日前）；MA20 &gt; MA50；MA50 ↑（vs 10日前）；收市 &gt; MA50</t>
        </is>
      </c>
    </row>
    <row r="23">
      <c r="A23" s="5" t="inlineStr">
        <is>
          <t>WT</t>
        </is>
      </c>
      <c r="B23" s="2" t="inlineStr">
        <is>
          <t>S1 趨勢</t>
        </is>
      </c>
      <c r="C23" s="14" t="n">
        <v>2</v>
      </c>
      <c r="D23" s="7" t="n">
        <v>23.72</v>
      </c>
      <c r="E23" s="12" t="n">
        <v>-0.004177249732360888</v>
      </c>
      <c r="F23" s="11" t="n">
        <v>-0.05271565495207664</v>
      </c>
      <c r="G23" s="10" t="n">
        <v>18</v>
      </c>
      <c r="H23" s="3" t="inlineStr">
        <is>
          <t>MA20 ↓（vs 5日前）；MA20 &gt; MA50；MA50 ↑（vs 10日前）；收市 &gt; MA50</t>
        </is>
      </c>
    </row>
    <row r="24">
      <c r="A24" s="5" t="inlineStr">
        <is>
          <t>AMCX</t>
        </is>
      </c>
      <c r="B24" s="2" t="inlineStr">
        <is>
          <t>S1 趨勢</t>
        </is>
      </c>
      <c r="C24" s="14" t="n">
        <v>1</v>
      </c>
      <c r="D24" s="7" t="n">
        <v>12</v>
      </c>
      <c r="E24" s="12" t="n">
        <v>-0.01804345157726706</v>
      </c>
      <c r="F24" s="11" t="n">
        <v>-0.06614785992217898</v>
      </c>
      <c r="G24" s="10" t="n">
        <v>20</v>
      </c>
      <c r="H24" s="3" t="inlineStr">
        <is>
          <t>MA20 ↓（vs 5日前）；MA20 &gt; MA50；MA50 ↑（vs 10日前）；收市 &gt; MA50</t>
        </is>
      </c>
    </row>
    <row r="25">
      <c r="A25" s="5" t="inlineStr">
        <is>
          <t>FROG</t>
        </is>
      </c>
      <c r="B25" s="2" t="inlineStr">
        <is>
          <t>S1 趨勢</t>
        </is>
      </c>
      <c r="C25" s="14" t="n">
        <v>1</v>
      </c>
      <c r="D25" s="7" t="n">
        <v>92.33</v>
      </c>
      <c r="E25" s="12" t="n">
        <v>-0.00115214228145788</v>
      </c>
      <c r="F25" s="11" t="n">
        <v>-0.1124675574353552</v>
      </c>
      <c r="G25" s="10" t="n">
        <v>18</v>
      </c>
      <c r="H25" s="3" t="inlineStr">
        <is>
          <t>MA20 ↑（vs 5日前）；MA20 &gt; MA50；MA50 ↓（vs 10日前）；收市 &gt; MA50</t>
        </is>
      </c>
    </row>
    <row r="26">
      <c r="A26" s="5" t="inlineStr">
        <is>
          <t>MORN</t>
        </is>
      </c>
      <c r="B26" s="2" t="inlineStr">
        <is>
          <t>S1 趨勢</t>
        </is>
      </c>
      <c r="C26" s="14" t="n">
        <v>1</v>
      </c>
      <c r="D26" s="7" t="n">
        <v>200.32</v>
      </c>
      <c r="E26" s="12" t="n">
        <v>-0.02406465961380655</v>
      </c>
      <c r="F26" s="11" t="n">
        <v>-0.08504613136019001</v>
      </c>
      <c r="G26" s="10" t="n">
        <v>16</v>
      </c>
      <c r="H26" s="3" t="inlineStr">
        <is>
          <t>MA20 ↓（vs 5日前）；MA20 &gt; MA50；MA50 ↑（vs 10日前）；收市 &gt; MA50</t>
        </is>
      </c>
    </row>
    <row r="27">
      <c r="A27" s="5" t="inlineStr">
        <is>
          <t>MRVI</t>
        </is>
      </c>
      <c r="B27" s="2" t="inlineStr">
        <is>
          <t>S1 趨勢</t>
        </is>
      </c>
      <c r="C27" s="14" t="n">
        <v>1</v>
      </c>
      <c r="D27" s="7" t="n">
        <v>7.37</v>
      </c>
      <c r="E27" s="12" t="n">
        <v>0.009554467312763215</v>
      </c>
      <c r="F27" s="11" t="n">
        <v>-0.1811111111111111</v>
      </c>
      <c r="G27" s="10" t="n">
        <v>20</v>
      </c>
      <c r="H27" s="3" t="inlineStr">
        <is>
          <t>MA20 ↓（vs 5日前）；MA20 &gt; MA50；MA50 ↑（vs 10日前）；收市 &gt; MA50</t>
        </is>
      </c>
    </row>
    <row r="28">
      <c r="A28" s="5" t="inlineStr">
        <is>
          <t>REGN</t>
        </is>
      </c>
      <c r="B28" s="2" t="inlineStr">
        <is>
          <t>S1 趨勢</t>
        </is>
      </c>
      <c r="C28" s="14" t="n">
        <v>1</v>
      </c>
      <c r="D28" s="7" t="n">
        <v>801.8200000000001</v>
      </c>
      <c r="E28" s="12" t="n">
        <v>-0.002473847937663365</v>
      </c>
      <c r="F28" s="11" t="n">
        <v>-0.05892984988791461</v>
      </c>
      <c r="G28" s="10" t="n">
        <v>14</v>
      </c>
      <c r="H28" s="3" t="inlineStr">
        <is>
          <t>MA20 ↓（vs 5日前）；MA20 &gt; MA50；MA50 ↑（vs 10日前）；收市 &gt; MA50</t>
        </is>
      </c>
    </row>
    <row r="29">
      <c r="A29" s="5" t="inlineStr">
        <is>
          <t>FET</t>
        </is>
      </c>
      <c r="B29" s="2" t="inlineStr">
        <is>
          <t>S2 近期高位</t>
        </is>
      </c>
      <c r="C29" s="14" t="n">
        <v>3</v>
      </c>
      <c r="D29" s="7" t="n">
        <v>82.68000000000001</v>
      </c>
      <c r="E29" s="12" t="n">
        <v>0.0196392785571109</v>
      </c>
      <c r="F29" s="11" t="n">
        <v>-0.04205769899200551</v>
      </c>
      <c r="G29" s="10" t="n">
        <v>26</v>
      </c>
      <c r="H29" s="3" t="inlineStr">
        <is>
          <t>高位喺 26 個交易日前（要 2–25）；高位係紀錄高嘅 100%（要 ≥95%）</t>
        </is>
      </c>
    </row>
    <row r="30">
      <c r="A30" s="5" t="inlineStr">
        <is>
          <t>INSP</t>
        </is>
      </c>
      <c r="B30" s="2" t="inlineStr">
        <is>
          <t>S2 近期高位</t>
        </is>
      </c>
      <c r="C30" s="14" t="n">
        <v>3</v>
      </c>
      <c r="D30" s="7" t="n">
        <v>69.06</v>
      </c>
      <c r="E30" s="12" t="n">
        <v>0.02018657625917042</v>
      </c>
      <c r="F30" s="11" t="n">
        <v>-0.1005470174524615</v>
      </c>
      <c r="G30" s="10" t="n">
        <v>3</v>
      </c>
      <c r="H30" s="3" t="inlineStr">
        <is>
          <t>高位喺 3 個交易日前（要 2–25）；高位係紀錄高嘅 78%（要 ≥95%）</t>
        </is>
      </c>
    </row>
    <row r="31">
      <c r="A31" s="5" t="inlineStr">
        <is>
          <t>ACN</t>
        </is>
      </c>
      <c r="B31" s="2" t="inlineStr">
        <is>
          <t>S2 近期高位</t>
        </is>
      </c>
      <c r="C31" s="14" t="n">
        <v>2</v>
      </c>
      <c r="D31" s="7" t="n">
        <v>183.52</v>
      </c>
      <c r="E31" s="12" t="n">
        <v>-0.01422106436408321</v>
      </c>
      <c r="F31" s="11" t="n">
        <v>-0.05887179487179484</v>
      </c>
      <c r="G31" s="10" t="n">
        <v>7</v>
      </c>
      <c r="H31" s="3" t="inlineStr">
        <is>
          <t>高位喺 7 個交易日前（要 2–25）；高位係紀錄高嘅 68%（要 ≥95%）</t>
        </is>
      </c>
    </row>
    <row r="32">
      <c r="A32" s="5" t="inlineStr">
        <is>
          <t>AUGO</t>
        </is>
      </c>
      <c r="B32" s="2" t="inlineStr">
        <is>
          <t>S2 近期高位</t>
        </is>
      </c>
      <c r="C32" s="14" t="n">
        <v>2</v>
      </c>
      <c r="D32" s="7" t="n">
        <v>85.34</v>
      </c>
      <c r="E32" s="12" t="n">
        <v>-0.01293398837010862</v>
      </c>
      <c r="F32" s="11" t="n">
        <v>-0.08009054651288128</v>
      </c>
      <c r="G32" s="10" t="n">
        <v>1</v>
      </c>
      <c r="H32" s="3" t="inlineStr">
        <is>
          <t>高位喺 1 個交易日前（要 2–25）；高位係紀錄高嘅 85%（要 ≥95%）</t>
        </is>
      </c>
    </row>
    <row r="33">
      <c r="A33" s="5" t="inlineStr">
        <is>
          <t>CNXC</t>
        </is>
      </c>
      <c r="B33" s="2" t="inlineStr">
        <is>
          <t>S2 近期高位</t>
        </is>
      </c>
      <c r="C33" s="14" t="n">
        <v>2</v>
      </c>
      <c r="D33" s="7" t="n">
        <v>30.21</v>
      </c>
      <c r="E33" s="12" t="n">
        <v>0.0278831595243354</v>
      </c>
      <c r="F33" s="11" t="n">
        <v>-0.08036529680365301</v>
      </c>
      <c r="G33" s="10" t="n">
        <v>13</v>
      </c>
      <c r="H33" s="3" t="inlineStr">
        <is>
          <t>高位喺 13 個交易日前（要 2–25）；高位係紀錄高嘅 75%（要 ≥95%）</t>
        </is>
      </c>
    </row>
    <row r="34">
      <c r="A34" s="5" t="inlineStr">
        <is>
          <t>CRCL</t>
        </is>
      </c>
      <c r="B34" s="2" t="inlineStr">
        <is>
          <t>S2 近期高位</t>
        </is>
      </c>
      <c r="C34" s="14" t="n">
        <v>2</v>
      </c>
      <c r="D34" s="7" t="n">
        <v>91.72</v>
      </c>
      <c r="E34" s="12" t="n">
        <v>-0.004217851772635783</v>
      </c>
      <c r="F34" s="11" t="n">
        <v>-0.1114985953695632</v>
      </c>
      <c r="G34" s="10" t="n">
        <v>13</v>
      </c>
      <c r="H34" s="3" t="inlineStr">
        <is>
          <t>高位喺 13 個交易日前（要 2–25）；高位係紀錄高嘅 78%（要 ≥95%）</t>
        </is>
      </c>
    </row>
    <row r="35">
      <c r="A35" s="5" t="inlineStr">
        <is>
          <t>CSTL</t>
        </is>
      </c>
      <c r="B35" s="2" t="inlineStr">
        <is>
          <t>S2 近期高位</t>
        </is>
      </c>
      <c r="C35" s="14" t="n">
        <v>2</v>
      </c>
      <c r="D35" s="7" t="n">
        <v>34.88</v>
      </c>
      <c r="E35" s="12" t="n">
        <v>0.02849897533430856</v>
      </c>
      <c r="F35" s="11" t="n">
        <v>-0.05165851005981503</v>
      </c>
      <c r="G35" s="10" t="n">
        <v>4</v>
      </c>
      <c r="H35" s="3" t="inlineStr">
        <is>
          <t>高位喺 4 個交易日前（要 2–25）；高位係紀錄高嘅 85%（要 ≥95%）</t>
        </is>
      </c>
    </row>
    <row r="36">
      <c r="A36" s="5" t="inlineStr">
        <is>
          <t>PPHC</t>
        </is>
      </c>
      <c r="B36" s="2" t="inlineStr">
        <is>
          <t>S2 近期高位</t>
        </is>
      </c>
      <c r="C36" s="14" t="n">
        <v>2</v>
      </c>
      <c r="D36" s="7" t="n">
        <v>11.72</v>
      </c>
      <c r="E36" s="12" t="n">
        <v>0.01820077320707081</v>
      </c>
      <c r="F36" s="11" t="n">
        <v>-0.1060259344012203</v>
      </c>
      <c r="G36" s="10" t="n">
        <v>3</v>
      </c>
      <c r="H36" s="3" t="inlineStr">
        <is>
          <t>高位喺 3 個交易日前（要 2–25）；高位係紀錄高嘅 90%（要 ≥95%）</t>
        </is>
      </c>
    </row>
    <row r="37">
      <c r="A37" s="5" t="inlineStr">
        <is>
          <t>SPSC</t>
        </is>
      </c>
      <c r="B37" s="2" t="inlineStr">
        <is>
          <t>S2 近期高位</t>
        </is>
      </c>
      <c r="C37" s="14" t="n">
        <v>2</v>
      </c>
      <c r="D37" s="7" t="n">
        <v>81.29000000000001</v>
      </c>
      <c r="E37" s="12" t="n">
        <v>-0.00583364927171115</v>
      </c>
      <c r="F37" s="11" t="n">
        <v>-0.04812646370023421</v>
      </c>
      <c r="G37" s="10" t="n">
        <v>16</v>
      </c>
      <c r="H37" s="3" t="inlineStr">
        <is>
          <t>高位喺 16 個交易日前（要 2–25）；高位係紀錄高嘅 89%（要 ≥95%）</t>
        </is>
      </c>
    </row>
    <row r="38">
      <c r="A38" s="5" t="inlineStr">
        <is>
          <t>AGCO</t>
        </is>
      </c>
      <c r="B38" s="2" t="inlineStr">
        <is>
          <t>S2 近期高位</t>
        </is>
      </c>
      <c r="C38" s="14" t="n">
        <v>1</v>
      </c>
      <c r="D38" s="7" t="n">
        <v>121.68</v>
      </c>
      <c r="E38" s="12" t="n">
        <v>0.001819544043666133</v>
      </c>
      <c r="F38" s="11" t="n">
        <v>-0.08785607196401801</v>
      </c>
      <c r="G38" s="10" t="n">
        <v>12</v>
      </c>
      <c r="H38" s="3" t="inlineStr">
        <is>
          <t>高位喺 12 個交易日前（要 2–25）；高位係紀錄高嘅 95%（要 ≥95%）</t>
        </is>
      </c>
    </row>
    <row r="39">
      <c r="A39" s="5" t="inlineStr">
        <is>
          <t>CDW</t>
        </is>
      </c>
      <c r="B39" s="2" t="inlineStr">
        <is>
          <t>S2 近期高位</t>
        </is>
      </c>
      <c r="C39" s="14" t="n">
        <v>1</v>
      </c>
      <c r="D39" s="7" t="n">
        <v>146.16</v>
      </c>
      <c r="E39" s="12" t="n">
        <v>-0.01542606938362967</v>
      </c>
      <c r="F39" s="11" t="n">
        <v>-0.0509090909090909</v>
      </c>
      <c r="G39" s="10" t="n">
        <v>35</v>
      </c>
      <c r="H39" s="3" t="inlineStr">
        <is>
          <t>高位喺 35 個交易日前（要 2–25）；高位係紀錄高嘅 100%（要 ≥95%）</t>
        </is>
      </c>
    </row>
    <row r="40">
      <c r="A40" s="5" t="inlineStr">
        <is>
          <t>DOCS</t>
        </is>
      </c>
      <c r="B40" s="2" t="inlineStr">
        <is>
          <t>S2 近期高位</t>
        </is>
      </c>
      <c r="C40" s="14" t="n">
        <v>1</v>
      </c>
      <c r="D40" s="7" t="n">
        <v>26.57</v>
      </c>
      <c r="E40" s="12" t="n">
        <v>0.02284757376859914</v>
      </c>
      <c r="F40" s="11" t="n">
        <v>-0.03029197080291968</v>
      </c>
      <c r="G40" s="10" t="n">
        <v>32</v>
      </c>
      <c r="H40" s="3" t="inlineStr">
        <is>
          <t>高位喺 32 個交易日前（要 2–25）；高位係紀錄高嘅 59%（要 ≥95%）</t>
        </is>
      </c>
    </row>
    <row r="41">
      <c r="A41" s="5" t="inlineStr">
        <is>
          <t>LAND</t>
        </is>
      </c>
      <c r="B41" s="2" t="inlineStr">
        <is>
          <t>S2 近期高位</t>
        </is>
      </c>
      <c r="C41" s="14" t="n">
        <v>1</v>
      </c>
      <c r="D41" s="7" t="n">
        <v>9.529999999999999</v>
      </c>
      <c r="E41" s="12" t="n">
        <v>0.009026178564812248</v>
      </c>
      <c r="F41" s="11" t="n">
        <v>-0.03051881993896244</v>
      </c>
      <c r="G41" s="10" t="n">
        <v>12</v>
      </c>
      <c r="H41" s="3" t="inlineStr">
        <is>
          <t>高位喺 12 個交易日前（要 2–25）；高位係紀錄高嘅 79%（要 ≥95%）</t>
        </is>
      </c>
    </row>
    <row r="42">
      <c r="A42" s="5" t="inlineStr">
        <is>
          <t>LITE</t>
        </is>
      </c>
      <c r="B42" s="2" t="inlineStr">
        <is>
          <t>S2 近期高位</t>
        </is>
      </c>
      <c r="C42" s="14" t="n">
        <v>1</v>
      </c>
      <c r="D42" s="7" t="n">
        <v>937</v>
      </c>
      <c r="E42" s="12" t="n">
        <v>0.02637690049511576</v>
      </c>
      <c r="F42" s="11" t="n">
        <v>-0.05255920241056444</v>
      </c>
      <c r="G42" s="10" t="n">
        <v>10</v>
      </c>
      <c r="H42" s="3" t="inlineStr">
        <is>
          <t>高位喺 10 個交易日前（要 2–25）；高位係紀錄高嘅 94%（要 ≥95%）</t>
        </is>
      </c>
    </row>
    <row r="43">
      <c r="A43" s="5" t="inlineStr">
        <is>
          <t>PEGA</t>
        </is>
      </c>
      <c r="B43" s="2" t="inlineStr">
        <is>
          <t>S2 近期高位</t>
        </is>
      </c>
      <c r="C43" s="14" t="n">
        <v>1</v>
      </c>
      <c r="D43" s="7" t="n">
        <v>35.18</v>
      </c>
      <c r="E43" s="12" t="n">
        <v>-0.02780752357594563</v>
      </c>
      <c r="F43" s="11" t="n">
        <v>-0.09119090674244379</v>
      </c>
      <c r="G43" s="10" t="n">
        <v>7</v>
      </c>
      <c r="H43" s="3" t="inlineStr">
        <is>
          <t>高位喺 7 個交易日前（要 2–25）；高位係紀錄高嘅 62%（要 ≥95%）</t>
        </is>
      </c>
    </row>
    <row r="44">
      <c r="A44" s="5" t="inlineStr">
        <is>
          <t>RWAY</t>
        </is>
      </c>
      <c r="B44" s="2" t="inlineStr">
        <is>
          <t>S2 近期高位</t>
        </is>
      </c>
      <c r="C44" s="14" t="n">
        <v>1</v>
      </c>
      <c r="D44" s="7" t="n">
        <v>6.74</v>
      </c>
      <c r="E44" s="12" t="n">
        <v>0.01689800844900646</v>
      </c>
      <c r="F44" s="11" t="n">
        <v>-0.03299856527977041</v>
      </c>
      <c r="G44" s="10" t="n">
        <v>28</v>
      </c>
      <c r="H44" s="3" t="inlineStr">
        <is>
          <t>高位喺 28 個交易日前（要 2–25）；高位係紀錄高嘅 73%（要 ≥95%）</t>
        </is>
      </c>
    </row>
    <row r="45">
      <c r="A45" s="5" t="inlineStr">
        <is>
          <t>SMMT</t>
        </is>
      </c>
      <c r="B45" s="2" t="inlineStr">
        <is>
          <t>S2 近期高位</t>
        </is>
      </c>
      <c r="C45" s="14" t="n">
        <v>1</v>
      </c>
      <c r="D45" s="7" t="n">
        <v>16.45</v>
      </c>
      <c r="E45" s="12" t="n">
        <v>0.00324759479774972</v>
      </c>
      <c r="F45" s="11" t="n">
        <v>-0.1069489685124866</v>
      </c>
      <c r="G45" s="10" t="n">
        <v>7</v>
      </c>
      <c r="H45" s="3" t="inlineStr">
        <is>
          <t>高位喺 7 個交易日前（要 2–25）；高位係紀錄高嘅 70%（要 ≥95%）</t>
        </is>
      </c>
    </row>
    <row r="46">
      <c r="A46" s="5" t="inlineStr">
        <is>
          <t>SND</t>
        </is>
      </c>
      <c r="B46" s="2" t="inlineStr">
        <is>
          <t>S2 近期高位</t>
        </is>
      </c>
      <c r="C46" s="14" t="n">
        <v>1</v>
      </c>
      <c r="D46" s="7" t="n">
        <v>5.07</v>
      </c>
      <c r="E46" s="12" t="n">
        <v>-0.02668458437320298</v>
      </c>
      <c r="F46" s="11" t="n">
        <v>-0.05936920222634501</v>
      </c>
      <c r="G46" s="10" t="n">
        <v>10</v>
      </c>
      <c r="H46" s="3" t="inlineStr">
        <is>
          <t>高位喺 10 個交易日前（要 2–25）；高位係紀錄高嘅 93%（要 ≥95%）</t>
        </is>
      </c>
    </row>
    <row r="47">
      <c r="A47" s="5" t="inlineStr">
        <is>
          <t>TDS</t>
        </is>
      </c>
      <c r="B47" s="2" t="inlineStr">
        <is>
          <t>S2 近期高位</t>
        </is>
      </c>
      <c r="C47" s="14" t="n">
        <v>1</v>
      </c>
      <c r="D47" s="7" t="n">
        <v>36.43</v>
      </c>
      <c r="E47" s="12" t="n">
        <v>0.006284096402185746</v>
      </c>
      <c r="F47" s="11" t="n">
        <v>-0.05253576072821853</v>
      </c>
      <c r="G47" s="10" t="n">
        <v>61</v>
      </c>
      <c r="H47" s="3" t="inlineStr">
        <is>
          <t>高位喺 61 個交易日前（要 2–25）；高位係紀錄高嘅 81%（要 ≥95%）</t>
        </is>
      </c>
    </row>
    <row r="48">
      <c r="A48" s="5" t="inlineStr">
        <is>
          <t>TLYS</t>
        </is>
      </c>
      <c r="B48" s="2" t="inlineStr">
        <is>
          <t>S2 近期高位</t>
        </is>
      </c>
      <c r="C48" s="14" t="n">
        <v>1</v>
      </c>
      <c r="D48" s="7" t="n">
        <v>4.13</v>
      </c>
      <c r="E48" s="12" t="n">
        <v>-0.01970092570614357</v>
      </c>
      <c r="F48" s="11" t="n">
        <v>-0.1605691056910569</v>
      </c>
      <c r="G48" s="10" t="n">
        <v>7</v>
      </c>
      <c r="H48" s="3" t="inlineStr">
        <is>
          <t>高位喺 7 個交易日前（要 2–25）；高位係紀錄高嘅 90%（要 ≥95%）</t>
        </is>
      </c>
    </row>
    <row r="49">
      <c r="A49" s="5" t="inlineStr">
        <is>
          <t>RDVT</t>
        </is>
      </c>
      <c r="B49" s="2" t="inlineStr">
        <is>
          <t>S3 回調深度</t>
        </is>
      </c>
      <c r="C49" s="14" t="n">
        <v>4</v>
      </c>
      <c r="D49" s="7" t="n">
        <v>76.2</v>
      </c>
      <c r="E49" s="12" t="n">
        <v>0.02080458692244935</v>
      </c>
      <c r="F49" s="11" t="n">
        <v>-0.01702786377708965</v>
      </c>
      <c r="G49" s="10" t="n">
        <v>5</v>
      </c>
      <c r="H49" s="3" t="inlineStr">
        <is>
          <t>距高位 -1.7%（要 −3% 至 −30%）</t>
        </is>
      </c>
    </row>
    <row r="50">
      <c r="A50" s="5" t="inlineStr">
        <is>
          <t>SST</t>
        </is>
      </c>
      <c r="B50" s="2" t="inlineStr">
        <is>
          <t>S3 回調深度</t>
        </is>
      </c>
      <c r="C50" s="14" t="n">
        <v>4</v>
      </c>
      <c r="D50" s="7" t="n">
        <v>3.14</v>
      </c>
      <c r="E50" s="12" t="n">
        <v>-0.02891603525591735</v>
      </c>
      <c r="F50" s="11" t="n">
        <v>-0.372</v>
      </c>
      <c r="G50" s="10" t="n">
        <v>11</v>
      </c>
      <c r="H50" s="3" t="inlineStr">
        <is>
          <t>距高位 -37.2%（要 −3% 至 −30%）</t>
        </is>
      </c>
    </row>
    <row r="51">
      <c r="A51" s="5" t="inlineStr">
        <is>
          <t>HZO</t>
        </is>
      </c>
      <c r="B51" s="2" t="inlineStr">
        <is>
          <t>S3 回調深度</t>
        </is>
      </c>
      <c r="C51" s="14" t="n">
        <v>3</v>
      </c>
      <c r="D51" s="7" t="n">
        <v>52.42</v>
      </c>
      <c r="E51" s="12" t="n">
        <v>0.003128797374490011</v>
      </c>
      <c r="F51" s="11" t="n">
        <v>-0.002663622526636211</v>
      </c>
      <c r="G51" s="10" t="n">
        <v>3</v>
      </c>
      <c r="H51" s="3" t="inlineStr">
        <is>
          <t>距高位 -0.3%（要 −3% 至 −30%）</t>
        </is>
      </c>
    </row>
    <row r="52">
      <c r="A52" s="5" t="inlineStr">
        <is>
          <t>NTNX</t>
        </is>
      </c>
      <c r="B52" s="2" t="inlineStr">
        <is>
          <t>S3 回調深度</t>
        </is>
      </c>
      <c r="C52" s="14" t="n">
        <v>3</v>
      </c>
      <c r="D52" s="7" t="n">
        <v>69.68000000000001</v>
      </c>
      <c r="E52" s="12" t="n">
        <v>0.02355438367131057</v>
      </c>
      <c r="F52" s="11" t="n">
        <v>-0.005139920045688195</v>
      </c>
      <c r="G52" s="10" t="n">
        <v>2</v>
      </c>
      <c r="H52" s="3" t="inlineStr">
        <is>
          <t>距高位 -0.5%（要 −3% 至 −30%）</t>
        </is>
      </c>
    </row>
    <row r="53">
      <c r="A53" s="5" t="inlineStr">
        <is>
          <t>RIGL</t>
        </is>
      </c>
      <c r="B53" s="2" t="inlineStr">
        <is>
          <t>S3 回調深度</t>
        </is>
      </c>
      <c r="C53" s="14" t="n">
        <v>3</v>
      </c>
      <c r="D53" s="7" t="n">
        <v>48.13</v>
      </c>
      <c r="E53" s="12" t="n">
        <v>0.02412971316707901</v>
      </c>
      <c r="F53" s="11" t="n">
        <v>-0.02610279239174418</v>
      </c>
      <c r="G53" s="10" t="n">
        <v>14</v>
      </c>
      <c r="H53" s="3" t="inlineStr">
        <is>
          <t>距高位 -2.6%（要 −3% 至 −30%）</t>
        </is>
      </c>
    </row>
    <row r="54">
      <c r="A54" s="5" t="inlineStr">
        <is>
          <t>DV</t>
        </is>
      </c>
      <c r="B54" s="2" t="inlineStr">
        <is>
          <t>S3 回調深度</t>
        </is>
      </c>
      <c r="C54" s="14" t="n">
        <v>2</v>
      </c>
      <c r="D54" s="7" t="n">
        <v>13.4</v>
      </c>
      <c r="E54" s="12" t="n">
        <v>7.463243525718255e-05</v>
      </c>
      <c r="F54" s="11" t="n">
        <v>-0.008875739644970349</v>
      </c>
      <c r="G54" s="10" t="n">
        <v>7</v>
      </c>
      <c r="H54" s="3" t="inlineStr">
        <is>
          <t>距高位 -0.9%（要 −3% 至 −30%）</t>
        </is>
      </c>
    </row>
    <row r="55">
      <c r="A55" s="5" t="inlineStr">
        <is>
          <t>IQV</t>
        </is>
      </c>
      <c r="B55" s="2" t="inlineStr">
        <is>
          <t>S3 回調深度</t>
        </is>
      </c>
      <c r="C55" s="14" t="n">
        <v>2</v>
      </c>
      <c r="D55" s="7" t="n">
        <v>267.86</v>
      </c>
      <c r="E55" s="12" t="n">
        <v>0.01241231253023978</v>
      </c>
      <c r="F55" s="11" t="n">
        <v>-0.01384286871364404</v>
      </c>
      <c r="G55" s="10" t="n">
        <v>13</v>
      </c>
      <c r="H55" s="3" t="inlineStr">
        <is>
          <t>距高位 -1.4%（要 −3% 至 −30%）</t>
        </is>
      </c>
    </row>
    <row r="56">
      <c r="A56" s="5" t="inlineStr">
        <is>
          <t>BIO</t>
        </is>
      </c>
      <c r="B56" s="2" t="inlineStr">
        <is>
          <t>S3 回調深度</t>
        </is>
      </c>
      <c r="C56" s="14" t="n">
        <v>1</v>
      </c>
      <c r="D56" s="7" t="n">
        <v>378.88</v>
      </c>
      <c r="E56" s="12" t="n">
        <v>-0.004417163082924391</v>
      </c>
      <c r="F56" s="11" t="n">
        <v>-0.02935902034124094</v>
      </c>
      <c r="G56" s="10" t="n">
        <v>20</v>
      </c>
      <c r="H56" s="3" t="inlineStr">
        <is>
          <t>距高位 -2.9%（要 −3% 至 −30%）</t>
        </is>
      </c>
    </row>
    <row r="57">
      <c r="A57" s="5" t="inlineStr">
        <is>
          <t>NSIT</t>
        </is>
      </c>
      <c r="B57" s="2" t="inlineStr">
        <is>
          <t>S4 曾經拉開</t>
        </is>
      </c>
      <c r="C57" s="14" t="n">
        <v>4</v>
      </c>
      <c r="D57" s="7" t="n">
        <v>158.25</v>
      </c>
      <c r="E57" s="12" t="n">
        <v>0.004710871828731866</v>
      </c>
      <c r="F57" s="11" t="n">
        <v>-0.04305496764830385</v>
      </c>
      <c r="G57" s="10" t="n">
        <v>8</v>
      </c>
      <c r="H57" s="3" t="inlineStr">
        <is>
          <t>25 日內最多只係高過 MA20 7.7%（要 ≥8%）</t>
        </is>
      </c>
    </row>
    <row r="58">
      <c r="A58" s="5" t="inlineStr">
        <is>
          <t>AVTR</t>
        </is>
      </c>
      <c r="B58" s="2" t="inlineStr">
        <is>
          <t>S4 曾經拉開</t>
        </is>
      </c>
      <c r="C58" s="14" t="n">
        <v>3</v>
      </c>
      <c r="D58" s="7" t="n">
        <v>14.76</v>
      </c>
      <c r="E58" s="12" t="n">
        <v>-0.01419268659208561</v>
      </c>
      <c r="F58" s="11" t="n">
        <v>-0.06935687263556112</v>
      </c>
      <c r="G58" s="10" t="n">
        <v>4</v>
      </c>
      <c r="H58" s="3" t="inlineStr">
        <is>
          <t>25 日內最多只係高過 MA20 7.4%（要 ≥8%）</t>
        </is>
      </c>
    </row>
    <row r="59">
      <c r="A59" s="5" t="inlineStr">
        <is>
          <t>LILA</t>
        </is>
      </c>
      <c r="B59" s="2" t="inlineStr">
        <is>
          <t>S4 曾經拉開</t>
        </is>
      </c>
      <c r="C59" s="14" t="n">
        <v>1</v>
      </c>
      <c r="D59" s="7" t="n">
        <v>8.52</v>
      </c>
      <c r="E59" s="12" t="n">
        <v>-0.01571164510166367</v>
      </c>
      <c r="F59" s="11" t="n">
        <v>-0.04054054054054068</v>
      </c>
      <c r="G59" s="10" t="n">
        <v>6</v>
      </c>
      <c r="H59" s="3" t="inlineStr">
        <is>
          <t>25 日內最多只係高過 MA20 3.5%（要 ≥8%）</t>
        </is>
      </c>
    </row>
    <row r="60">
      <c r="A60" s="5" t="inlineStr">
        <is>
          <t>LILAK</t>
        </is>
      </c>
      <c r="B60" s="2" t="inlineStr">
        <is>
          <t>S4 曾經拉開</t>
        </is>
      </c>
      <c r="C60" s="14" t="n">
        <v>1</v>
      </c>
      <c r="D60" s="7" t="n">
        <v>8.44</v>
      </c>
      <c r="E60" s="12" t="n">
        <v>-0.01911790342263053</v>
      </c>
      <c r="F60" s="11" t="n">
        <v>-0.04632768361581918</v>
      </c>
      <c r="G60" s="10" t="n">
        <v>6</v>
      </c>
      <c r="H60" s="3" t="inlineStr">
        <is>
          <t>25 日內最多只係高過 MA20 3.8%（要 ≥8%）</t>
        </is>
      </c>
    </row>
    <row r="61">
      <c r="A61" s="5" t="inlineStr">
        <is>
          <t>TMCI</t>
        </is>
      </c>
      <c r="B61" s="2" t="inlineStr">
        <is>
          <t>S4 曾經拉開</t>
        </is>
      </c>
      <c r="C61" s="14" t="n">
        <v>1</v>
      </c>
      <c r="D61" s="7" t="n">
        <v>4.51</v>
      </c>
      <c r="E61" s="12" t="n">
        <v>-0.02009777294948478</v>
      </c>
      <c r="F61" s="11" t="n">
        <v>-0.0758196721311476</v>
      </c>
      <c r="G61" s="10" t="n">
        <v>13</v>
      </c>
      <c r="H61" s="3" t="inlineStr">
        <is>
          <t>25 日內最多只係高過 MA20 5.7%（要 ≥8%）</t>
        </is>
      </c>
    </row>
    <row r="62">
      <c r="A62" s="5" t="inlineStr">
        <is>
          <t>AGPU</t>
        </is>
      </c>
      <c r="B62" s="2" t="inlineStr">
        <is>
          <t>S5 回到20MA</t>
        </is>
      </c>
      <c r="C62" s="14" t="n">
        <v>4</v>
      </c>
      <c r="D62" s="7" t="n">
        <v>11.495</v>
      </c>
      <c r="E62" s="12" t="n">
        <v>0.05068324116813638</v>
      </c>
      <c r="F62" s="11" t="n">
        <v>-0.1102941176470589</v>
      </c>
      <c r="G62" s="10" t="n">
        <v>4</v>
      </c>
      <c r="H62" s="3" t="inlineStr">
        <is>
          <t>收市距 MA20 +5.1%（要 -3% 至 +3%）；近 3 日最低價最近去到 MA20 +4.1%（要 ≤+1.5%）</t>
        </is>
      </c>
    </row>
    <row r="63">
      <c r="A63" s="5" t="inlineStr">
        <is>
          <t>ASST</t>
        </is>
      </c>
      <c r="B63" s="2" t="inlineStr">
        <is>
          <t>S5 回到20MA</t>
        </is>
      </c>
      <c r="C63" s="14" t="n">
        <v>4</v>
      </c>
      <c r="D63" s="7" t="n">
        <v>28.99</v>
      </c>
      <c r="E63" s="12" t="n">
        <v>0.08927632073344904</v>
      </c>
      <c r="F63" s="11" t="n">
        <v>-0.04418067919551594</v>
      </c>
      <c r="G63" s="10" t="n">
        <v>2</v>
      </c>
      <c r="H63" s="3" t="inlineStr">
        <is>
          <t>收市距 MA20 +8.9%（要 -3% 至 +3%）；近 3 日最低價最近去到 MA20 +6.4%（要 ≤+1.5%）</t>
        </is>
      </c>
    </row>
    <row r="64">
      <c r="A64" s="5" t="inlineStr">
        <is>
          <t>BDSX</t>
        </is>
      </c>
      <c r="B64" s="2" t="inlineStr">
        <is>
          <t>S5 回到20MA</t>
        </is>
      </c>
      <c r="C64" s="14" t="n">
        <v>4</v>
      </c>
      <c r="D64" s="7" t="n">
        <v>29.29</v>
      </c>
      <c r="E64" s="12" t="n">
        <v>0.06239628578423995</v>
      </c>
      <c r="F64" s="11" t="n">
        <v>-0.04281045751633994</v>
      </c>
      <c r="G64" s="10" t="n">
        <v>19</v>
      </c>
      <c r="H64" s="3" t="inlineStr">
        <is>
          <t>收市距 MA20 +6.2%（要 -3% 至 +3%）；近 3 日最低價最近去到 MA20 +0.3%（要 ≤+1.5%）</t>
        </is>
      </c>
    </row>
    <row r="65">
      <c r="A65" s="5" t="inlineStr">
        <is>
          <t>BNC</t>
        </is>
      </c>
      <c r="B65" s="2" t="inlineStr">
        <is>
          <t>S5 回到20MA</t>
        </is>
      </c>
      <c r="C65" s="14" t="n">
        <v>4</v>
      </c>
      <c r="D65" s="7" t="n">
        <v>6.11</v>
      </c>
      <c r="E65" s="12" t="n">
        <v>0.3687275985663103</v>
      </c>
      <c r="F65" s="11" t="n">
        <v>-0.0700152207001522</v>
      </c>
      <c r="G65" s="10" t="n">
        <v>2</v>
      </c>
      <c r="H65" s="3" t="inlineStr">
        <is>
          <t>收市距 MA20 +36.9%（要 -3% 至 +3%）；近 3 日最低價最近去到 MA20 +32.8%（要 ≤+1.5%）</t>
        </is>
      </c>
    </row>
    <row r="66">
      <c r="A66" s="5" t="inlineStr">
        <is>
          <t>CHPT</t>
        </is>
      </c>
      <c r="B66" s="2" t="inlineStr">
        <is>
          <t>S5 回到20MA</t>
        </is>
      </c>
      <c r="C66" s="14" t="n">
        <v>4</v>
      </c>
      <c r="D66" s="7" t="n">
        <v>9.23</v>
      </c>
      <c r="E66" s="12" t="n">
        <v>0.1261591020009771</v>
      </c>
      <c r="F66" s="11" t="n">
        <v>-0.1056201550387597</v>
      </c>
      <c r="G66" s="10" t="n">
        <v>3</v>
      </c>
      <c r="H66" s="3" t="inlineStr">
        <is>
          <t>收市距 MA20 +12.6%（要 -3% 至 +3%）；近 3 日最低價最近去到 MA20 +10.1%（要 ≤+1.5%）</t>
        </is>
      </c>
    </row>
    <row r="67">
      <c r="A67" s="5" t="inlineStr">
        <is>
          <t>OESX</t>
        </is>
      </c>
      <c r="B67" s="2" t="inlineStr">
        <is>
          <t>S5 回到20MA</t>
        </is>
      </c>
      <c r="C67" s="14" t="n">
        <v>4</v>
      </c>
      <c r="D67" s="7" t="n">
        <v>28.42</v>
      </c>
      <c r="E67" s="12" t="n">
        <v>0.07863974495218073</v>
      </c>
      <c r="F67" s="11" t="n">
        <v>-0.0688073394495412</v>
      </c>
      <c r="G67" s="10" t="n">
        <v>11</v>
      </c>
      <c r="H67" s="3" t="inlineStr">
        <is>
          <t>收市距 MA20 +7.9%（要 -3% 至 +3%）；近 3 日最低價最近去到 MA20 +5.3%（要 ≤+1.5%）</t>
        </is>
      </c>
    </row>
    <row r="68">
      <c r="A68" s="5" t="inlineStr">
        <is>
          <t>RVTY</t>
        </is>
      </c>
      <c r="B68" s="2" t="inlineStr">
        <is>
          <t>S5 回到20MA</t>
        </is>
      </c>
      <c r="C68" s="14" t="n">
        <v>4</v>
      </c>
      <c r="D68" s="7" t="n">
        <v>142.11</v>
      </c>
      <c r="E68" s="12" t="n">
        <v>0.06781781499723927</v>
      </c>
      <c r="F68" s="11" t="n">
        <v>-0.03148640359844601</v>
      </c>
      <c r="G68" s="10" t="n">
        <v>4</v>
      </c>
      <c r="H68" s="3" t="inlineStr">
        <is>
          <t>收市距 MA20 +6.8%（要 -3% 至 +3%）；近 3 日最低價最近去到 MA20 +5.3%（要 ≤+1.5%）</t>
        </is>
      </c>
    </row>
    <row r="69">
      <c r="A69" s="5" t="inlineStr">
        <is>
          <t>TTRX</t>
        </is>
      </c>
      <c r="B69" s="2" t="inlineStr">
        <is>
          <t>S5 回到20MA</t>
        </is>
      </c>
      <c r="C69" s="14" t="n">
        <v>4</v>
      </c>
      <c r="D69" s="7" t="n">
        <v>13.51</v>
      </c>
      <c r="E69" s="12" t="n">
        <v>0.1048865262727461</v>
      </c>
      <c r="F69" s="11" t="n">
        <v>-0.1192959582790092</v>
      </c>
      <c r="G69" s="10" t="n">
        <v>2</v>
      </c>
      <c r="H69" s="3" t="inlineStr">
        <is>
          <t>收市距 MA20 +10.5%（要 -3% 至 +3%）；近 3 日最低價最近去到 MA20 +10.4%（要 ≤+1.5%）</t>
        </is>
      </c>
    </row>
    <row r="70">
      <c r="A70" s="5" t="inlineStr">
        <is>
          <t>TWST</t>
        </is>
      </c>
      <c r="B70" s="2" t="inlineStr">
        <is>
          <t>S5 回到20MA</t>
        </is>
      </c>
      <c r="C70" s="14" t="n">
        <v>4</v>
      </c>
      <c r="D70" s="7" t="n">
        <v>158.5</v>
      </c>
      <c r="E70" s="12" t="n">
        <v>0.1181342325437038</v>
      </c>
      <c r="F70" s="11" t="n">
        <v>-0.05084136774657166</v>
      </c>
      <c r="G70" s="10" t="n">
        <v>3</v>
      </c>
      <c r="H70" s="3" t="inlineStr">
        <is>
          <t>收市距 MA20 +11.8%（要 -3% 至 +3%）；近 3 日最低價最近去到 MA20 +11.0%（要 ≤+1.5%）</t>
        </is>
      </c>
    </row>
    <row r="71">
      <c r="A71" s="5" t="inlineStr">
        <is>
          <t>XHLD</t>
        </is>
      </c>
      <c r="B71" s="2" t="inlineStr">
        <is>
          <t>S5 回到20MA</t>
        </is>
      </c>
      <c r="C71" s="14" t="n">
        <v>4</v>
      </c>
      <c r="D71" s="7" t="n">
        <v>12.08</v>
      </c>
      <c r="E71" s="12" t="n">
        <v>0.223662884927067</v>
      </c>
      <c r="F71" s="11" t="n">
        <v>-0.03591380686352752</v>
      </c>
      <c r="G71" s="10" t="n">
        <v>8</v>
      </c>
      <c r="H71" s="3" t="inlineStr">
        <is>
          <t>收市距 MA20 +22.4%（要 -3% 至 +3%）；近 3 日最低價最近去到 MA20 +1.7%（要 ≤+1.5%）</t>
        </is>
      </c>
    </row>
    <row r="72">
      <c r="A72" s="5" t="inlineStr">
        <is>
          <t>ANF</t>
        </is>
      </c>
      <c r="B72" s="2" t="inlineStr">
        <is>
          <t>S5 回到20MA</t>
        </is>
      </c>
      <c r="C72" s="14" t="n">
        <v>3</v>
      </c>
      <c r="D72" s="7" t="n">
        <v>132.25</v>
      </c>
      <c r="E72" s="12" t="n">
        <v>-0.06945490110539376</v>
      </c>
      <c r="F72" s="11" t="n">
        <v>-0.1303918990005261</v>
      </c>
      <c r="G72" s="10" t="n">
        <v>10</v>
      </c>
      <c r="H72" s="3" t="inlineStr">
        <is>
          <t>收市距 MA20 -6.9%（要 -3% 至 +3%）；近 3 日最低價最近去到 MA20 -8.0%（要 ≤+1.5%）</t>
        </is>
      </c>
    </row>
    <row r="73">
      <c r="A73" s="5" t="inlineStr">
        <is>
          <t>AVAH</t>
        </is>
      </c>
      <c r="B73" s="2" t="inlineStr">
        <is>
          <t>S5 回到20MA</t>
        </is>
      </c>
      <c r="C73" s="14" t="n">
        <v>3</v>
      </c>
      <c r="D73" s="7" t="n">
        <v>12.79</v>
      </c>
      <c r="E73" s="12" t="n">
        <v>-0.06546836182960702</v>
      </c>
      <c r="F73" s="11" t="n">
        <v>-0.1105702364394994</v>
      </c>
      <c r="G73" s="10" t="n">
        <v>7</v>
      </c>
      <c r="H73" s="3" t="inlineStr">
        <is>
          <t>收市距 MA20 -6.5%（要 -3% 至 +3%）；近 3 日最低價最近去到 MA20 -7.3%（要 ≤+1.5%）</t>
        </is>
      </c>
    </row>
    <row r="74">
      <c r="A74" s="5" t="inlineStr">
        <is>
          <t>CRM</t>
        </is>
      </c>
      <c r="B74" s="2" t="inlineStr">
        <is>
          <t>S5 回到20MA</t>
        </is>
      </c>
      <c r="C74" s="14" t="n">
        <v>3</v>
      </c>
      <c r="D74" s="7" t="n">
        <v>237.58</v>
      </c>
      <c r="E74" s="12" t="n">
        <v>-0.03961128470888897</v>
      </c>
      <c r="F74" s="11" t="n">
        <v>-0.1015391597020006</v>
      </c>
      <c r="G74" s="10" t="n">
        <v>13</v>
      </c>
      <c r="H74" s="3" t="inlineStr">
        <is>
          <t>收市距 MA20 -4.0%（要 -3% 至 +3%）；近 3 日最低價最近去到 MA20 -5.3%（要 ≤+1.5%）</t>
        </is>
      </c>
    </row>
    <row r="75">
      <c r="A75" s="5" t="inlineStr">
        <is>
          <t>CVI</t>
        </is>
      </c>
      <c r="B75" s="2" t="inlineStr">
        <is>
          <t>S5 回到20MA</t>
        </is>
      </c>
      <c r="C75" s="14" t="n">
        <v>3</v>
      </c>
      <c r="D75" s="7" t="n">
        <v>51.8</v>
      </c>
      <c r="E75" s="12" t="n">
        <v>0.09265411590993011</v>
      </c>
      <c r="F75" s="11" t="n">
        <v>-0.04322127816771337</v>
      </c>
      <c r="G75" s="10" t="n">
        <v>4</v>
      </c>
      <c r="H75" s="3" t="inlineStr">
        <is>
          <t>收市距 MA20 +9.3%（要 -3% 至 +3%）；近 3 日最低價最近去到 MA20 +5.8%（要 ≤+1.5%）</t>
        </is>
      </c>
    </row>
    <row r="76">
      <c r="A76" s="5" t="inlineStr">
        <is>
          <t>DELL</t>
        </is>
      </c>
      <c r="B76" s="2" t="inlineStr">
        <is>
          <t>S5 回到20MA</t>
        </is>
      </c>
      <c r="C76" s="14" t="n">
        <v>3</v>
      </c>
      <c r="D76" s="7" t="n">
        <v>549.83</v>
      </c>
      <c r="E76" s="12" t="n">
        <v>0.05526500139146151</v>
      </c>
      <c r="F76" s="11" t="n">
        <v>-0.06555064581917047</v>
      </c>
      <c r="G76" s="10" t="n">
        <v>4</v>
      </c>
      <c r="H76" s="3" t="inlineStr">
        <is>
          <t>收市距 MA20 +5.5%（要 -3% 至 +3%）；近 3 日最低價最近去到 MA20 +4.1%（要 ≤+1.5%）</t>
        </is>
      </c>
    </row>
    <row r="77">
      <c r="A77" s="5" t="inlineStr">
        <is>
          <t>DOCU</t>
        </is>
      </c>
      <c r="B77" s="2" t="inlineStr">
        <is>
          <t>S5 回到20MA</t>
        </is>
      </c>
      <c r="C77" s="14" t="n">
        <v>3</v>
      </c>
      <c r="D77" s="7" t="n">
        <v>69.48999999999999</v>
      </c>
      <c r="E77" s="12" t="n">
        <v>0.04079141485625559</v>
      </c>
      <c r="F77" s="11" t="n">
        <v>-0.03284620737647881</v>
      </c>
      <c r="G77" s="10" t="n">
        <v>6</v>
      </c>
      <c r="H77" s="3" t="inlineStr">
        <is>
          <t>收市距 MA20 +4.1%（要 -3% 至 +3%）；近 3 日最低價最近去到 MA20 +0.3%（要 ≤+1.5%）</t>
        </is>
      </c>
    </row>
    <row r="78">
      <c r="A78" s="5" t="inlineStr">
        <is>
          <t>GH</t>
        </is>
      </c>
      <c r="B78" s="2" t="inlineStr">
        <is>
          <t>S5 回到20MA</t>
        </is>
      </c>
      <c r="C78" s="14" t="n">
        <v>3</v>
      </c>
      <c r="D78" s="7" t="n">
        <v>176.31</v>
      </c>
      <c r="E78" s="12" t="n">
        <v>0.05000803987779334</v>
      </c>
      <c r="F78" s="11" t="n">
        <v>-0.03708356089568543</v>
      </c>
      <c r="G78" s="10" t="n">
        <v>4</v>
      </c>
      <c r="H78" s="3" t="inlineStr">
        <is>
          <t>收市距 MA20 +5.0%（要 -3% 至 +3%）；近 3 日最低價最近去到 MA20 +3.7%（要 ≤+1.5%）</t>
        </is>
      </c>
    </row>
    <row r="79">
      <c r="A79" s="5" t="inlineStr">
        <is>
          <t>HNST</t>
        </is>
      </c>
      <c r="B79" s="2" t="inlineStr">
        <is>
          <t>S5 回到20MA</t>
        </is>
      </c>
      <c r="C79" s="14" t="n">
        <v>3</v>
      </c>
      <c r="D79" s="7" t="n">
        <v>5.18</v>
      </c>
      <c r="E79" s="12" t="n">
        <v>-0.06510851419031771</v>
      </c>
      <c r="F79" s="11" t="n">
        <v>-0.1294117647058824</v>
      </c>
      <c r="G79" s="10" t="n">
        <v>12</v>
      </c>
      <c r="H79" s="3" t="inlineStr">
        <is>
          <t>收市距 MA20 -6.5%（要 -3% 至 +3%）；近 3 日最低價最近去到 MA20 -6.5%（要 ≤+1.5%）</t>
        </is>
      </c>
    </row>
    <row r="80">
      <c r="A80" s="5" t="inlineStr">
        <is>
          <t>HTFL</t>
        </is>
      </c>
      <c r="B80" s="2" t="inlineStr">
        <is>
          <t>S5 回到20MA</t>
        </is>
      </c>
      <c r="C80" s="14" t="n">
        <v>3</v>
      </c>
      <c r="D80" s="7" t="n">
        <v>47.39</v>
      </c>
      <c r="E80" s="12" t="n">
        <v>-0.03130525433602838</v>
      </c>
      <c r="F80" s="11" t="n">
        <v>-0.06620689655172418</v>
      </c>
      <c r="G80" s="10" t="n">
        <v>3</v>
      </c>
      <c r="H80" s="3" t="inlineStr">
        <is>
          <t>收市距 MA20 -3.1%（要 -3% 至 +3%）；近 3 日最低價最近去到 MA20 -4.4%（要 ≤+1.5%）</t>
        </is>
      </c>
    </row>
    <row r="81">
      <c r="A81" s="5" t="inlineStr">
        <is>
          <t>LIFE</t>
        </is>
      </c>
      <c r="B81" s="2" t="inlineStr">
        <is>
          <t>S5 回到20MA</t>
        </is>
      </c>
      <c r="C81" s="14" t="n">
        <v>3</v>
      </c>
      <c r="D81" s="7" t="n">
        <v>33.91</v>
      </c>
      <c r="E81" s="12" t="n">
        <v>-0.1086870810881851</v>
      </c>
      <c r="F81" s="11" t="n">
        <v>-0.1930033317467874</v>
      </c>
      <c r="G81" s="10" t="n">
        <v>11</v>
      </c>
      <c r="H81" s="3" t="inlineStr">
        <is>
          <t>收市距 MA20 -10.9%（要 -3% 至 +3%）；近 3 日最低價最近去到 MA20 -13.1%（要 ≤+1.5%）</t>
        </is>
      </c>
    </row>
    <row r="82">
      <c r="A82" s="5" t="inlineStr">
        <is>
          <t>OABI</t>
        </is>
      </c>
      <c r="B82" s="2" t="inlineStr">
        <is>
          <t>S5 回到20MA</t>
        </is>
      </c>
      <c r="C82" s="14" t="n">
        <v>3</v>
      </c>
      <c r="D82" s="7" t="n">
        <v>4.79</v>
      </c>
      <c r="E82" s="12" t="n">
        <v>0.07057048667374266</v>
      </c>
      <c r="F82" s="11" t="n">
        <v>-0.04960317460317465</v>
      </c>
      <c r="G82" s="10" t="n">
        <v>14</v>
      </c>
      <c r="H82" s="3" t="inlineStr">
        <is>
          <t>收市距 MA20 +7.1%（要 -3% 至 +3%）；近 3 日最低價最近去到 MA20 -0.2%（要 ≤+1.5%）</t>
        </is>
      </c>
    </row>
    <row r="83">
      <c r="A83" s="5" t="inlineStr">
        <is>
          <t>OBIO</t>
        </is>
      </c>
      <c r="B83" s="2" t="inlineStr">
        <is>
          <t>S5 回到20MA</t>
        </is>
      </c>
      <c r="C83" s="14" t="n">
        <v>3</v>
      </c>
      <c r="D83" s="7" t="n">
        <v>5.93</v>
      </c>
      <c r="E83" s="12" t="n">
        <v>0.06573212921777549</v>
      </c>
      <c r="F83" s="11" t="n">
        <v>-0.05120000000000002</v>
      </c>
      <c r="G83" s="10" t="n">
        <v>2</v>
      </c>
      <c r="H83" s="3" t="inlineStr">
        <is>
          <t>收市距 MA20 +6.6%（要 -3% 至 +3%）；近 3 日最低價最近去到 MA20 +6.0%（要 ≤+1.5%）</t>
        </is>
      </c>
    </row>
    <row r="84">
      <c r="A84" s="5" t="inlineStr">
        <is>
          <t>PYXS</t>
        </is>
      </c>
      <c r="B84" s="2" t="inlineStr">
        <is>
          <t>S5 回到20MA</t>
        </is>
      </c>
      <c r="C84" s="14" t="n">
        <v>3</v>
      </c>
      <c r="D84" s="7" t="n">
        <v>3.22</v>
      </c>
      <c r="E84" s="12" t="n">
        <v>-0.05474827535593618</v>
      </c>
      <c r="F84" s="11" t="n">
        <v>-0.1722365038560411</v>
      </c>
      <c r="G84" s="10" t="n">
        <v>11</v>
      </c>
      <c r="H84" s="3" t="inlineStr">
        <is>
          <t>收市距 MA20 -5.5%（要 -3% 至 +3%）；近 3 日最低價最近去到 MA20 -6.1%（要 ≤+1.5%）</t>
        </is>
      </c>
    </row>
    <row r="85">
      <c r="A85" s="5" t="inlineStr">
        <is>
          <t>SGMT</t>
        </is>
      </c>
      <c r="B85" s="2" t="inlineStr">
        <is>
          <t>S5 回到20MA</t>
        </is>
      </c>
      <c r="C85" s="14" t="n">
        <v>3</v>
      </c>
      <c r="D85" s="7" t="n">
        <v>10.42</v>
      </c>
      <c r="E85" s="12" t="n">
        <v>-0.03361929051704193</v>
      </c>
      <c r="F85" s="11" t="n">
        <v>-0.06714413607878245</v>
      </c>
      <c r="G85" s="10" t="n">
        <v>4</v>
      </c>
      <c r="H85" s="3" t="inlineStr">
        <is>
          <t>收市距 MA20 -3.4%（要 -3% 至 +3%）；近 3 日最低價最近去到 MA20 -5.9%（要 ≤+1.5%）</t>
        </is>
      </c>
    </row>
    <row r="86">
      <c r="A86" s="5" t="inlineStr">
        <is>
          <t>SMTC</t>
        </is>
      </c>
      <c r="B86" s="2" t="inlineStr">
        <is>
          <t>S5 回到20MA</t>
        </is>
      </c>
      <c r="C86" s="14" t="n">
        <v>3</v>
      </c>
      <c r="D86" s="7" t="n">
        <v>169.33</v>
      </c>
      <c r="E86" s="12" t="n">
        <v>0.09265251997948143</v>
      </c>
      <c r="F86" s="11" t="n">
        <v>-0.08470270270270264</v>
      </c>
      <c r="G86" s="10" t="n">
        <v>3</v>
      </c>
      <c r="H86" s="3" t="inlineStr">
        <is>
          <t>收市距 MA20 +9.3%（要 -3% 至 +3%）；近 3 日最低價最近去到 MA20 +6.5%（要 ≤+1.5%）</t>
        </is>
      </c>
    </row>
    <row r="87">
      <c r="A87" s="5" t="inlineStr">
        <is>
          <t>SPT</t>
        </is>
      </c>
      <c r="B87" s="2" t="inlineStr">
        <is>
          <t>S5 回到20MA</t>
        </is>
      </c>
      <c r="C87" s="14" t="n">
        <v>3</v>
      </c>
      <c r="D87" s="7" t="n">
        <v>9.955</v>
      </c>
      <c r="E87" s="12" t="n">
        <v>-0.08423981785985302</v>
      </c>
      <c r="F87" s="11" t="n">
        <v>-0.1440240756663801</v>
      </c>
      <c r="G87" s="10" t="n">
        <v>7</v>
      </c>
      <c r="H87" s="3" t="inlineStr">
        <is>
          <t>收市距 MA20 -8.4%（要 -3% 至 +3%）；近 3 日最低價最近去到 MA20 -10.5%（要 ≤+1.5%）</t>
        </is>
      </c>
    </row>
    <row r="88">
      <c r="A88" s="5" t="inlineStr">
        <is>
          <t>TEM</t>
        </is>
      </c>
      <c r="B88" s="2" t="inlineStr">
        <is>
          <t>S5 回到20MA</t>
        </is>
      </c>
      <c r="C88" s="14" t="n">
        <v>3</v>
      </c>
      <c r="D88" s="7" t="n">
        <v>76.59</v>
      </c>
      <c r="E88" s="12" t="n">
        <v>0.1312227219354374</v>
      </c>
      <c r="F88" s="11" t="n">
        <v>-0.04691388750622194</v>
      </c>
      <c r="G88" s="10" t="n">
        <v>4</v>
      </c>
      <c r="H88" s="3" t="inlineStr">
        <is>
          <t>收市距 MA20 +13.1%（要 -3% 至 +3%）；近 3 日最低價最近去到 MA20 +12.1%（要 ≤+1.5%）</t>
        </is>
      </c>
    </row>
    <row r="89">
      <c r="A89" s="5" t="inlineStr">
        <is>
          <t>XRX</t>
        </is>
      </c>
      <c r="B89" s="2" t="inlineStr">
        <is>
          <t>S5 回到20MA</t>
        </is>
      </c>
      <c r="C89" s="14" t="n">
        <v>3</v>
      </c>
      <c r="D89" s="7" t="n">
        <v>3.47</v>
      </c>
      <c r="E89" s="12" t="n">
        <v>0.05599513085818408</v>
      </c>
      <c r="F89" s="11" t="n">
        <v>-0.04143646408839774</v>
      </c>
      <c r="G89" s="10" t="n">
        <v>4</v>
      </c>
      <c r="H89" s="3" t="inlineStr">
        <is>
          <t>收市距 MA20 +5.6%（要 -3% 至 +3%）；近 3 日最低價最近去到 MA20 +2.9%（要 ≤+1.5%）</t>
        </is>
      </c>
    </row>
    <row r="90">
      <c r="A90" s="5" t="inlineStr">
        <is>
          <t>AII</t>
        </is>
      </c>
      <c r="B90" s="2" t="inlineStr">
        <is>
          <t>S5 回到20MA</t>
        </is>
      </c>
      <c r="C90" s="14" t="n">
        <v>2</v>
      </c>
      <c r="D90" s="7" t="n">
        <v>24.97</v>
      </c>
      <c r="E90" s="12" t="n">
        <v>-0.04235939327695515</v>
      </c>
      <c r="F90" s="11" t="n">
        <v>-0.06723944714232355</v>
      </c>
      <c r="G90" s="10" t="n">
        <v>4</v>
      </c>
      <c r="H90" s="3" t="inlineStr">
        <is>
          <t>收市距 MA20 -4.2%（要 -3% 至 +3%）；近 3 日最低價最近去到 MA20 -5.5%（要 ≤+1.5%）</t>
        </is>
      </c>
    </row>
    <row r="91">
      <c r="A91" s="5" t="inlineStr">
        <is>
          <t>ELMT</t>
        </is>
      </c>
      <c r="B91" s="2" t="inlineStr">
        <is>
          <t>S5 回到20MA</t>
        </is>
      </c>
      <c r="C91" s="14" t="n">
        <v>2</v>
      </c>
      <c r="D91" s="7" t="n">
        <v>20.58</v>
      </c>
      <c r="E91" s="12" t="n">
        <v>0.1171425469547285</v>
      </c>
      <c r="F91" s="11" t="n">
        <v>-0.1044386422976502</v>
      </c>
      <c r="G91" s="10" t="n">
        <v>3</v>
      </c>
      <c r="H91" s="3" t="inlineStr">
        <is>
          <t>收市距 MA20 +11.7%（要 -3% 至 +3%）；近 3 日最低價最近去到 MA20 +9.0%（要 ≤+1.5%）</t>
        </is>
      </c>
    </row>
    <row r="92">
      <c r="A92" s="5" t="inlineStr">
        <is>
          <t>FEIM</t>
        </is>
      </c>
      <c r="B92" s="2" t="inlineStr">
        <is>
          <t>S5 回到20MA</t>
        </is>
      </c>
      <c r="C92" s="14" t="n">
        <v>2</v>
      </c>
      <c r="D92" s="7" t="n">
        <v>84.22</v>
      </c>
      <c r="E92" s="12" t="n">
        <v>0.164900827132151</v>
      </c>
      <c r="F92" s="11" t="n">
        <v>-0.05370786516853931</v>
      </c>
      <c r="G92" s="10" t="n">
        <v>2</v>
      </c>
      <c r="H92" s="3" t="inlineStr">
        <is>
          <t>收市距 MA20 +16.5%（要 -3% 至 +3%）；近 3 日最低價最近去到 MA20 +14.4%（要 ≤+1.5%）</t>
        </is>
      </c>
    </row>
    <row r="93">
      <c r="A93" s="5" t="inlineStr">
        <is>
          <t>DK</t>
        </is>
      </c>
      <c r="B93" s="2" t="inlineStr">
        <is>
          <t>S5 回到20MA</t>
        </is>
      </c>
      <c r="C93" s="14" t="n">
        <v>1</v>
      </c>
      <c r="D93" s="7" t="n">
        <v>72.26000000000001</v>
      </c>
      <c r="E93" s="12" t="n">
        <v>-0.03012569710554402</v>
      </c>
      <c r="F93" s="11" t="n">
        <v>-0.1139178418148374</v>
      </c>
      <c r="G93" s="10" t="n">
        <v>4</v>
      </c>
      <c r="H93" s="3" t="inlineStr">
        <is>
          <t>收市距 MA20 -3.0%（要 -3% 至 +3%）；近 3 日最低價最近去到 MA20 -6.5%（要 ≤+1.5%）</t>
        </is>
      </c>
    </row>
    <row r="94">
      <c r="A94" s="5" t="inlineStr">
        <is>
          <t>GRDN</t>
        </is>
      </c>
      <c r="B94" s="2" t="inlineStr">
        <is>
          <t>S5 回到20MA</t>
        </is>
      </c>
      <c r="C94" s="14" t="n">
        <v>1</v>
      </c>
      <c r="D94" s="7" t="n">
        <v>43.26</v>
      </c>
      <c r="E94" s="12" t="n">
        <v>0.02485134206723227</v>
      </c>
      <c r="F94" s="11" t="n">
        <v>-0.09875</v>
      </c>
      <c r="G94" s="10" t="n">
        <v>6</v>
      </c>
      <c r="H94" s="3" t="inlineStr">
        <is>
          <t>收市距 MA20 +2.5%（要 -3% 至 +3%）；近 3 日最低價最近去到 MA20 +2.3%（要 ≤+1.5%）</t>
        </is>
      </c>
    </row>
    <row r="95">
      <c r="A95" s="5" t="inlineStr">
        <is>
          <t>LFST</t>
        </is>
      </c>
      <c r="B95" s="2" t="inlineStr">
        <is>
          <t>S5 回到20MA</t>
        </is>
      </c>
      <c r="C95" s="14" t="n">
        <v>1</v>
      </c>
      <c r="D95" s="7" t="n">
        <v>12.08</v>
      </c>
      <c r="E95" s="12" t="n">
        <v>-0.04607730880088257</v>
      </c>
      <c r="F95" s="11" t="n">
        <v>-0.09715994020926766</v>
      </c>
      <c r="G95" s="10" t="n">
        <v>7</v>
      </c>
      <c r="H95" s="3" t="inlineStr">
        <is>
          <t>收市距 MA20 -4.6%（要 -3% 至 +3%）；近 3 日最低價最近去到 MA20 -7.2%（要 ≤+1.5%）</t>
        </is>
      </c>
    </row>
    <row r="96">
      <c r="A96" s="5" t="inlineStr">
        <is>
          <t>MMED</t>
        </is>
      </c>
      <c r="B96" s="2" t="inlineStr">
        <is>
          <t>S5 回到20MA</t>
        </is>
      </c>
      <c r="C96" s="14" t="n">
        <v>1</v>
      </c>
      <c r="D96" s="7" t="n">
        <v>20.54</v>
      </c>
      <c r="E96" s="12" t="n">
        <v>-0.05941614195764167</v>
      </c>
      <c r="F96" s="11" t="n">
        <v>-0.1384228187919463</v>
      </c>
      <c r="G96" s="10" t="n">
        <v>13</v>
      </c>
      <c r="H96" s="3" t="inlineStr">
        <is>
          <t>收市距 MA20 -5.9%（要 -3% 至 +3%）；近 3 日最低價最近去到 MA20 -6.7%（要 ≤+1.5%）</t>
        </is>
      </c>
    </row>
    <row r="97">
      <c r="A97" s="5" t="inlineStr">
        <is>
          <t>PBF</t>
        </is>
      </c>
      <c r="B97" s="2" t="inlineStr">
        <is>
          <t>S5 回到20MA</t>
        </is>
      </c>
      <c r="C97" s="14" t="n">
        <v>1</v>
      </c>
      <c r="D97" s="7" t="n">
        <v>70.47</v>
      </c>
      <c r="E97" s="12" t="n">
        <v>-0.04846136188714312</v>
      </c>
      <c r="F97" s="11" t="n">
        <v>-0.09999999999999998</v>
      </c>
      <c r="G97" s="10" t="n">
        <v>8</v>
      </c>
      <c r="H97" s="3" t="inlineStr">
        <is>
          <t>收市距 MA20 -4.8%（要 -3% 至 +3%）；近 3 日最低價最近去到 MA20 -7.6%（要 ≤+1.5%）</t>
        </is>
      </c>
    </row>
    <row r="98">
      <c r="A98" s="5" t="inlineStr">
        <is>
          <t>TARS</t>
        </is>
      </c>
      <c r="B98" s="2" t="inlineStr">
        <is>
          <t>S5 回到20MA</t>
        </is>
      </c>
      <c r="C98" s="14" t="n">
        <v>1</v>
      </c>
      <c r="D98" s="7" t="n">
        <v>74.29000000000001</v>
      </c>
      <c r="E98" s="12" t="n">
        <v>-0.05456697347531592</v>
      </c>
      <c r="F98" s="11" t="n">
        <v>-0.1816479400749063</v>
      </c>
      <c r="G98" s="10" t="n">
        <v>12</v>
      </c>
      <c r="H98" s="3" t="inlineStr">
        <is>
          <t>收市距 MA20 -5.5%（要 -3% 至 +3%）；近 3 日最低價最近去到 MA20 -5.6%（要 ≤+1.5%）</t>
        </is>
      </c>
    </row>
    <row r="99">
      <c r="A99" s="5" t="inlineStr">
        <is>
          <t>TITN</t>
        </is>
      </c>
      <c r="B99" s="2" t="inlineStr">
        <is>
          <t>S5 回到20MA</t>
        </is>
      </c>
      <c r="C99" s="14" t="n">
        <v>1</v>
      </c>
      <c r="D99" s="7" t="n">
        <v>24.22</v>
      </c>
      <c r="E99" s="12" t="n">
        <v>0.06118693451924706</v>
      </c>
      <c r="F99" s="11" t="n">
        <v>-0.07627765064836001</v>
      </c>
      <c r="G99" s="10" t="n">
        <v>12</v>
      </c>
      <c r="H99" s="3" t="inlineStr">
        <is>
          <t>收市距 MA20 +6.1%（要 -3% 至 +3%）；近 3 日最低價最近去到 MA20 +3.8%（要 ≤+1.5%）</t>
        </is>
      </c>
    </row>
  </sheetData>
  <autoFilter ref="A3:H3"/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  <hyperlink xmlns:r="http://schemas.openxmlformats.org/officeDocument/2006/relationships" ref="A18" r:id="rId15"/>
    <hyperlink xmlns:r="http://schemas.openxmlformats.org/officeDocument/2006/relationships" ref="A19" r:id="rId16"/>
    <hyperlink xmlns:r="http://schemas.openxmlformats.org/officeDocument/2006/relationships" ref="A20" r:id="rId17"/>
    <hyperlink xmlns:r="http://schemas.openxmlformats.org/officeDocument/2006/relationships" ref="A21" r:id="rId18"/>
    <hyperlink xmlns:r="http://schemas.openxmlformats.org/officeDocument/2006/relationships" ref="A22" r:id="rId19"/>
    <hyperlink xmlns:r="http://schemas.openxmlformats.org/officeDocument/2006/relationships" ref="A23" r:id="rId20"/>
    <hyperlink xmlns:r="http://schemas.openxmlformats.org/officeDocument/2006/relationships" ref="A24" r:id="rId21"/>
    <hyperlink xmlns:r="http://schemas.openxmlformats.org/officeDocument/2006/relationships" ref="A25" r:id="rId22"/>
    <hyperlink xmlns:r="http://schemas.openxmlformats.org/officeDocument/2006/relationships" ref="A26" r:id="rId23"/>
    <hyperlink xmlns:r="http://schemas.openxmlformats.org/officeDocument/2006/relationships" ref="A27" r:id="rId24"/>
    <hyperlink xmlns:r="http://schemas.openxmlformats.org/officeDocument/2006/relationships" ref="A28" r:id="rId25"/>
    <hyperlink xmlns:r="http://schemas.openxmlformats.org/officeDocument/2006/relationships" ref="A29" r:id="rId26"/>
    <hyperlink xmlns:r="http://schemas.openxmlformats.org/officeDocument/2006/relationships" ref="A30" r:id="rId27"/>
    <hyperlink xmlns:r="http://schemas.openxmlformats.org/officeDocument/2006/relationships" ref="A31" r:id="rId28"/>
    <hyperlink xmlns:r="http://schemas.openxmlformats.org/officeDocument/2006/relationships" ref="A32" r:id="rId29"/>
    <hyperlink xmlns:r="http://schemas.openxmlformats.org/officeDocument/2006/relationships" ref="A33" r:id="rId30"/>
    <hyperlink xmlns:r="http://schemas.openxmlformats.org/officeDocument/2006/relationships" ref="A34" r:id="rId31"/>
    <hyperlink xmlns:r="http://schemas.openxmlformats.org/officeDocument/2006/relationships" ref="A35" r:id="rId32"/>
    <hyperlink xmlns:r="http://schemas.openxmlformats.org/officeDocument/2006/relationships" ref="A36" r:id="rId33"/>
    <hyperlink xmlns:r="http://schemas.openxmlformats.org/officeDocument/2006/relationships" ref="A37" r:id="rId34"/>
    <hyperlink xmlns:r="http://schemas.openxmlformats.org/officeDocument/2006/relationships" ref="A38" r:id="rId35"/>
    <hyperlink xmlns:r="http://schemas.openxmlformats.org/officeDocument/2006/relationships" ref="A39" r:id="rId36"/>
    <hyperlink xmlns:r="http://schemas.openxmlformats.org/officeDocument/2006/relationships" ref="A40" r:id="rId37"/>
    <hyperlink xmlns:r="http://schemas.openxmlformats.org/officeDocument/2006/relationships" ref="A41" r:id="rId38"/>
    <hyperlink xmlns:r="http://schemas.openxmlformats.org/officeDocument/2006/relationships" ref="A42" r:id="rId39"/>
    <hyperlink xmlns:r="http://schemas.openxmlformats.org/officeDocument/2006/relationships" ref="A43" r:id="rId40"/>
    <hyperlink xmlns:r="http://schemas.openxmlformats.org/officeDocument/2006/relationships" ref="A44" r:id="rId41"/>
    <hyperlink xmlns:r="http://schemas.openxmlformats.org/officeDocument/2006/relationships" ref="A45" r:id="rId42"/>
    <hyperlink xmlns:r="http://schemas.openxmlformats.org/officeDocument/2006/relationships" ref="A46" r:id="rId43"/>
    <hyperlink xmlns:r="http://schemas.openxmlformats.org/officeDocument/2006/relationships" ref="A47" r:id="rId44"/>
    <hyperlink xmlns:r="http://schemas.openxmlformats.org/officeDocument/2006/relationships" ref="A48" r:id="rId45"/>
    <hyperlink xmlns:r="http://schemas.openxmlformats.org/officeDocument/2006/relationships" ref="A49" r:id="rId46"/>
    <hyperlink xmlns:r="http://schemas.openxmlformats.org/officeDocument/2006/relationships" ref="A50" r:id="rId47"/>
    <hyperlink xmlns:r="http://schemas.openxmlformats.org/officeDocument/2006/relationships" ref="A51" r:id="rId48"/>
    <hyperlink xmlns:r="http://schemas.openxmlformats.org/officeDocument/2006/relationships" ref="A52" r:id="rId49"/>
    <hyperlink xmlns:r="http://schemas.openxmlformats.org/officeDocument/2006/relationships" ref="A53" r:id="rId50"/>
    <hyperlink xmlns:r="http://schemas.openxmlformats.org/officeDocument/2006/relationships" ref="A54" r:id="rId51"/>
    <hyperlink xmlns:r="http://schemas.openxmlformats.org/officeDocument/2006/relationships" ref="A55" r:id="rId52"/>
    <hyperlink xmlns:r="http://schemas.openxmlformats.org/officeDocument/2006/relationships" ref="A56" r:id="rId53"/>
    <hyperlink xmlns:r="http://schemas.openxmlformats.org/officeDocument/2006/relationships" ref="A57" r:id="rId54"/>
    <hyperlink xmlns:r="http://schemas.openxmlformats.org/officeDocument/2006/relationships" ref="A58" r:id="rId55"/>
    <hyperlink xmlns:r="http://schemas.openxmlformats.org/officeDocument/2006/relationships" ref="A59" r:id="rId56"/>
    <hyperlink xmlns:r="http://schemas.openxmlformats.org/officeDocument/2006/relationships" ref="A60" r:id="rId57"/>
    <hyperlink xmlns:r="http://schemas.openxmlformats.org/officeDocument/2006/relationships" ref="A61" r:id="rId58"/>
    <hyperlink xmlns:r="http://schemas.openxmlformats.org/officeDocument/2006/relationships" ref="A62" r:id="rId59"/>
    <hyperlink xmlns:r="http://schemas.openxmlformats.org/officeDocument/2006/relationships" ref="A63" r:id="rId60"/>
    <hyperlink xmlns:r="http://schemas.openxmlformats.org/officeDocument/2006/relationships" ref="A64" r:id="rId61"/>
    <hyperlink xmlns:r="http://schemas.openxmlformats.org/officeDocument/2006/relationships" ref="A65" r:id="rId62"/>
    <hyperlink xmlns:r="http://schemas.openxmlformats.org/officeDocument/2006/relationships" ref="A66" r:id="rId63"/>
    <hyperlink xmlns:r="http://schemas.openxmlformats.org/officeDocument/2006/relationships" ref="A67" r:id="rId64"/>
    <hyperlink xmlns:r="http://schemas.openxmlformats.org/officeDocument/2006/relationships" ref="A68" r:id="rId65"/>
    <hyperlink xmlns:r="http://schemas.openxmlformats.org/officeDocument/2006/relationships" ref="A69" r:id="rId66"/>
    <hyperlink xmlns:r="http://schemas.openxmlformats.org/officeDocument/2006/relationships" ref="A70" r:id="rId67"/>
    <hyperlink xmlns:r="http://schemas.openxmlformats.org/officeDocument/2006/relationships" ref="A71" r:id="rId68"/>
    <hyperlink xmlns:r="http://schemas.openxmlformats.org/officeDocument/2006/relationships" ref="A72" r:id="rId69"/>
    <hyperlink xmlns:r="http://schemas.openxmlformats.org/officeDocument/2006/relationships" ref="A73" r:id="rId70"/>
    <hyperlink xmlns:r="http://schemas.openxmlformats.org/officeDocument/2006/relationships" ref="A74" r:id="rId71"/>
    <hyperlink xmlns:r="http://schemas.openxmlformats.org/officeDocument/2006/relationships" ref="A75" r:id="rId72"/>
    <hyperlink xmlns:r="http://schemas.openxmlformats.org/officeDocument/2006/relationships" ref="A76" r:id="rId73"/>
    <hyperlink xmlns:r="http://schemas.openxmlformats.org/officeDocument/2006/relationships" ref="A77" r:id="rId74"/>
    <hyperlink xmlns:r="http://schemas.openxmlformats.org/officeDocument/2006/relationships" ref="A78" r:id="rId75"/>
    <hyperlink xmlns:r="http://schemas.openxmlformats.org/officeDocument/2006/relationships" ref="A79" r:id="rId76"/>
    <hyperlink xmlns:r="http://schemas.openxmlformats.org/officeDocument/2006/relationships" ref="A80" r:id="rId77"/>
    <hyperlink xmlns:r="http://schemas.openxmlformats.org/officeDocument/2006/relationships" ref="A81" r:id="rId78"/>
    <hyperlink xmlns:r="http://schemas.openxmlformats.org/officeDocument/2006/relationships" ref="A82" r:id="rId79"/>
    <hyperlink xmlns:r="http://schemas.openxmlformats.org/officeDocument/2006/relationships" ref="A83" r:id="rId80"/>
    <hyperlink xmlns:r="http://schemas.openxmlformats.org/officeDocument/2006/relationships" ref="A84" r:id="rId81"/>
    <hyperlink xmlns:r="http://schemas.openxmlformats.org/officeDocument/2006/relationships" ref="A85" r:id="rId82"/>
    <hyperlink xmlns:r="http://schemas.openxmlformats.org/officeDocument/2006/relationships" ref="A86" r:id="rId83"/>
    <hyperlink xmlns:r="http://schemas.openxmlformats.org/officeDocument/2006/relationships" ref="A87" r:id="rId84"/>
    <hyperlink xmlns:r="http://schemas.openxmlformats.org/officeDocument/2006/relationships" ref="A88" r:id="rId85"/>
    <hyperlink xmlns:r="http://schemas.openxmlformats.org/officeDocument/2006/relationships" ref="A89" r:id="rId86"/>
    <hyperlink xmlns:r="http://schemas.openxmlformats.org/officeDocument/2006/relationships" ref="A90" r:id="rId87"/>
    <hyperlink xmlns:r="http://schemas.openxmlformats.org/officeDocument/2006/relationships" ref="A91" r:id="rId88"/>
    <hyperlink xmlns:r="http://schemas.openxmlformats.org/officeDocument/2006/relationships" ref="A92" r:id="rId89"/>
    <hyperlink xmlns:r="http://schemas.openxmlformats.org/officeDocument/2006/relationships" ref="A93" r:id="rId90"/>
    <hyperlink xmlns:r="http://schemas.openxmlformats.org/officeDocument/2006/relationships" ref="A94" r:id="rId91"/>
    <hyperlink xmlns:r="http://schemas.openxmlformats.org/officeDocument/2006/relationships" ref="A95" r:id="rId92"/>
    <hyperlink xmlns:r="http://schemas.openxmlformats.org/officeDocument/2006/relationships" ref="A96" r:id="rId93"/>
    <hyperlink xmlns:r="http://schemas.openxmlformats.org/officeDocument/2006/relationships" ref="A97" r:id="rId94"/>
    <hyperlink xmlns:r="http://schemas.openxmlformats.org/officeDocument/2006/relationships" ref="A98" r:id="rId95"/>
    <hyperlink xmlns:r="http://schemas.openxmlformats.org/officeDocument/2006/relationships" ref="A99" r:id="rId9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1" max="1"/>
    <col width="8" customWidth="1" min="2" max="2"/>
    <col width="9" customWidth="1" min="3" max="3"/>
    <col width="9" customWidth="1" min="4" max="4"/>
    <col width="70" customWidth="1" min="5" max="5"/>
  </cols>
  <sheetData>
    <row r="1">
      <c r="A1" s="1" t="inlineStr">
        <is>
          <t>R20（10MA 上升＋底部遞升）名單 vs R21.00（高動能回到 20MA）名單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R20 排名</t>
        </is>
      </c>
      <c r="D3" s="4" t="inlineStr">
        <is>
          <t>R21.00 排名</t>
        </is>
      </c>
      <c r="E3" s="4" t="inlineStr">
        <is>
          <t>說明</t>
        </is>
      </c>
    </row>
    <row r="4">
      <c r="A4" s="2" t="inlineStr">
        <is>
          <t>兩份名單都有</t>
        </is>
      </c>
      <c r="B4" s="25" t="inlineStr">
        <is>
          <t>NUTX</t>
        </is>
      </c>
      <c r="C4" s="14" t="n">
        <v>27</v>
      </c>
      <c r="D4" s="14" t="n">
        <v>2</v>
      </c>
      <c r="E4" s="3" t="inlineStr"/>
    </row>
    <row r="5">
      <c r="A5" s="2" t="inlineStr">
        <is>
          <t>兩份名單都有</t>
        </is>
      </c>
      <c r="B5" s="25" t="inlineStr">
        <is>
          <t>NOW</t>
        </is>
      </c>
      <c r="C5" s="14" t="n">
        <v>73</v>
      </c>
      <c r="D5" s="14" t="n">
        <v>6</v>
      </c>
      <c r="E5" s="3" t="inlineStr"/>
    </row>
    <row r="6">
      <c r="A6" s="2" t="inlineStr">
        <is>
          <t>兩份名單都有</t>
        </is>
      </c>
      <c r="B6" s="25" t="inlineStr">
        <is>
          <t>HPQ</t>
        </is>
      </c>
      <c r="C6" s="14" t="n">
        <v>55</v>
      </c>
      <c r="D6" s="14" t="n">
        <v>7</v>
      </c>
      <c r="E6" s="3" t="inlineStr"/>
    </row>
    <row r="7">
      <c r="A7" s="2" t="inlineStr">
        <is>
          <t>兩份名單都有</t>
        </is>
      </c>
      <c r="B7" s="25" t="inlineStr">
        <is>
          <t>SGP</t>
        </is>
      </c>
      <c r="C7" s="14" t="n">
        <v>42</v>
      </c>
      <c r="D7" s="14" t="n">
        <v>21</v>
      </c>
      <c r="E7" s="3" t="inlineStr"/>
    </row>
    <row r="8">
      <c r="A8" s="2" t="inlineStr">
        <is>
          <t>兩份名單都有</t>
        </is>
      </c>
      <c r="B8" s="25" t="inlineStr">
        <is>
          <t>REPX</t>
        </is>
      </c>
      <c r="C8" s="14" t="n">
        <v>51</v>
      </c>
      <c r="D8" s="14" t="n">
        <v>26</v>
      </c>
      <c r="E8" s="3" t="inlineStr"/>
    </row>
    <row r="9">
      <c r="A9" s="2" t="inlineStr">
        <is>
          <t>只喺 R21</t>
        </is>
      </c>
      <c r="B9" s="5" t="inlineStr">
        <is>
          <t>VEEV</t>
        </is>
      </c>
      <c r="C9" s="14" t="n"/>
      <c r="D9" s="14" t="n">
        <v>1</v>
      </c>
      <c r="E9" s="3" t="inlineStr">
        <is>
          <t>動能 93；距 MA20 +0.8%</t>
        </is>
      </c>
    </row>
    <row r="10">
      <c r="A10" s="2" t="inlineStr">
        <is>
          <t>只喺 R21</t>
        </is>
      </c>
      <c r="B10" s="5" t="inlineStr">
        <is>
          <t>CLMT</t>
        </is>
      </c>
      <c r="C10" s="14" t="n"/>
      <c r="D10" s="14" t="n">
        <v>3</v>
      </c>
      <c r="E10" s="3" t="inlineStr">
        <is>
          <t>動能 95；距 MA20 +0.3%</t>
        </is>
      </c>
    </row>
    <row r="11">
      <c r="A11" s="2" t="inlineStr">
        <is>
          <t>只喺 R21</t>
        </is>
      </c>
      <c r="B11" s="5" t="inlineStr">
        <is>
          <t>ESTC</t>
        </is>
      </c>
      <c r="C11" s="14" t="n"/>
      <c r="D11" s="14" t="n">
        <v>4</v>
      </c>
      <c r="E11" s="3" t="inlineStr">
        <is>
          <t>動能 95；距 MA20 +2.9%</t>
        </is>
      </c>
    </row>
    <row r="12">
      <c r="A12" s="2" t="inlineStr">
        <is>
          <t>只喺 R21</t>
        </is>
      </c>
      <c r="B12" s="5" t="inlineStr">
        <is>
          <t>NEO</t>
        </is>
      </c>
      <c r="C12" s="14" t="n"/>
      <c r="D12" s="14" t="n">
        <v>5</v>
      </c>
      <c r="E12" s="3" t="inlineStr">
        <is>
          <t>動能 95；距 MA20 +0.7%</t>
        </is>
      </c>
    </row>
    <row r="13">
      <c r="A13" s="2" t="inlineStr">
        <is>
          <t>只喺 R21</t>
        </is>
      </c>
      <c r="B13" s="5" t="inlineStr">
        <is>
          <t>PLSE</t>
        </is>
      </c>
      <c r="C13" s="14" t="n"/>
      <c r="D13" s="14" t="n">
        <v>8</v>
      </c>
      <c r="E13" s="3" t="inlineStr">
        <is>
          <t>動能 96；距 MA20 +0.1%</t>
        </is>
      </c>
    </row>
    <row r="14">
      <c r="A14" s="2" t="inlineStr">
        <is>
          <t>只喺 R21</t>
        </is>
      </c>
      <c r="B14" s="5" t="inlineStr">
        <is>
          <t>IRD</t>
        </is>
      </c>
      <c r="C14" s="14" t="n"/>
      <c r="D14" s="14" t="n">
        <v>9</v>
      </c>
      <c r="E14" s="3" t="inlineStr">
        <is>
          <t>動能 81；距 MA20 -1.0%</t>
        </is>
      </c>
    </row>
    <row r="15">
      <c r="A15" s="2" t="inlineStr">
        <is>
          <t>只喺 R21</t>
        </is>
      </c>
      <c r="B15" s="5" t="inlineStr">
        <is>
          <t>AMWL</t>
        </is>
      </c>
      <c r="C15" s="14" t="n"/>
      <c r="D15" s="14" t="n">
        <v>10</v>
      </c>
      <c r="E15" s="3" t="inlineStr">
        <is>
          <t>動能 94；距 MA20 +2.3%</t>
        </is>
      </c>
    </row>
    <row r="16">
      <c r="A16" s="2" t="inlineStr">
        <is>
          <t>只喺 R21</t>
        </is>
      </c>
      <c r="B16" s="5" t="inlineStr">
        <is>
          <t>SNOW</t>
        </is>
      </c>
      <c r="C16" s="14" t="n"/>
      <c r="D16" s="14" t="n">
        <v>11</v>
      </c>
      <c r="E16" s="3" t="inlineStr">
        <is>
          <t>動能 92；距 MA20 +1.2%</t>
        </is>
      </c>
    </row>
    <row r="17">
      <c r="A17" s="2" t="inlineStr">
        <is>
          <t>只喺 R21</t>
        </is>
      </c>
      <c r="B17" s="5" t="inlineStr">
        <is>
          <t>AMPL</t>
        </is>
      </c>
      <c r="C17" s="14" t="n"/>
      <c r="D17" s="14" t="n">
        <v>12</v>
      </c>
      <c r="E17" s="3" t="inlineStr">
        <is>
          <t>動能 95；距 MA20 +3.0%</t>
        </is>
      </c>
    </row>
    <row r="18">
      <c r="A18" s="2" t="inlineStr">
        <is>
          <t>只喺 R21</t>
        </is>
      </c>
      <c r="B18" s="5" t="inlineStr">
        <is>
          <t>DHX</t>
        </is>
      </c>
      <c r="C18" s="14" t="n"/>
      <c r="D18" s="14" t="n">
        <v>13</v>
      </c>
      <c r="E18" s="3" t="inlineStr">
        <is>
          <t>動能 90；距 MA20 +0.6%</t>
        </is>
      </c>
    </row>
    <row r="19">
      <c r="A19" s="2" t="inlineStr">
        <is>
          <t>只喺 R21</t>
        </is>
      </c>
      <c r="B19" s="5" t="inlineStr">
        <is>
          <t>ZETA</t>
        </is>
      </c>
      <c r="C19" s="14" t="n"/>
      <c r="D19" s="14" t="n">
        <v>14</v>
      </c>
      <c r="E19" s="3" t="inlineStr">
        <is>
          <t>動能 94；距 MA20 -2.7%</t>
        </is>
      </c>
    </row>
    <row r="20">
      <c r="A20" s="2" t="inlineStr">
        <is>
          <t>只喺 R21</t>
        </is>
      </c>
      <c r="B20" s="5" t="inlineStr">
        <is>
          <t>DINO</t>
        </is>
      </c>
      <c r="C20" s="14" t="n"/>
      <c r="D20" s="14" t="n">
        <v>15</v>
      </c>
      <c r="E20" s="3" t="inlineStr">
        <is>
          <t>動能 93；距 MA20 -0.6%</t>
        </is>
      </c>
    </row>
    <row r="21">
      <c r="A21" s="2" t="inlineStr">
        <is>
          <t>只喺 R21</t>
        </is>
      </c>
      <c r="B21" s="5" t="inlineStr">
        <is>
          <t>MGNI</t>
        </is>
      </c>
      <c r="C21" s="14" t="n"/>
      <c r="D21" s="14" t="n">
        <v>16</v>
      </c>
      <c r="E21" s="3" t="inlineStr">
        <is>
          <t>動能 91；距 MA20 -0.0%</t>
        </is>
      </c>
    </row>
    <row r="22">
      <c r="A22" s="2" t="inlineStr">
        <is>
          <t>只喺 R21</t>
        </is>
      </c>
      <c r="B22" s="5" t="inlineStr">
        <is>
          <t>VLO</t>
        </is>
      </c>
      <c r="C22" s="14" t="n"/>
      <c r="D22" s="14" t="n">
        <v>17</v>
      </c>
      <c r="E22" s="3" t="inlineStr">
        <is>
          <t>動能 92；距 MA20 -0.8%</t>
        </is>
      </c>
    </row>
    <row r="23">
      <c r="A23" s="2" t="inlineStr">
        <is>
          <t>只喺 R21</t>
        </is>
      </c>
      <c r="B23" s="5" t="inlineStr">
        <is>
          <t>SABR</t>
        </is>
      </c>
      <c r="C23" s="14" t="n"/>
      <c r="D23" s="14" t="n">
        <v>18</v>
      </c>
      <c r="E23" s="3" t="inlineStr">
        <is>
          <t>動能 82；距 MA20 +0.4%</t>
        </is>
      </c>
    </row>
    <row r="24">
      <c r="A24" s="2" t="inlineStr">
        <is>
          <t>只喺 R21</t>
        </is>
      </c>
      <c r="B24" s="5" t="inlineStr">
        <is>
          <t>VIR</t>
        </is>
      </c>
      <c r="C24" s="14" t="n"/>
      <c r="D24" s="14" t="n">
        <v>19</v>
      </c>
      <c r="E24" s="3" t="inlineStr">
        <is>
          <t>動能 83；距 MA20 +0.8%</t>
        </is>
      </c>
    </row>
    <row r="25">
      <c r="A25" s="2" t="inlineStr">
        <is>
          <t>只喺 R21</t>
        </is>
      </c>
      <c r="B25" s="5" t="inlineStr">
        <is>
          <t>MPC</t>
        </is>
      </c>
      <c r="C25" s="14" t="n"/>
      <c r="D25" s="14" t="n">
        <v>20</v>
      </c>
      <c r="E25" s="3" t="inlineStr">
        <is>
          <t>動能 92；距 MA20 -1.0%</t>
        </is>
      </c>
    </row>
    <row r="26">
      <c r="A26" s="2" t="inlineStr">
        <is>
          <t>只喺 R21</t>
        </is>
      </c>
      <c r="B26" s="5" t="inlineStr">
        <is>
          <t>ANGX</t>
        </is>
      </c>
      <c r="C26" s="14" t="n"/>
      <c r="D26" s="14" t="n">
        <v>22</v>
      </c>
      <c r="E26" s="3" t="inlineStr">
        <is>
          <t>動能 92；距 MA20 -0.4%</t>
        </is>
      </c>
    </row>
    <row r="27">
      <c r="A27" s="2" t="inlineStr">
        <is>
          <t>只喺 R21</t>
        </is>
      </c>
      <c r="B27" s="5" t="inlineStr">
        <is>
          <t>DJCO</t>
        </is>
      </c>
      <c r="C27" s="14" t="n"/>
      <c r="D27" s="14" t="n">
        <v>23</v>
      </c>
      <c r="E27" s="3" t="inlineStr">
        <is>
          <t>動能 85；距 MA20 +2.1%</t>
        </is>
      </c>
    </row>
    <row r="28">
      <c r="A28" s="2" t="inlineStr">
        <is>
          <t>只喺 R21</t>
        </is>
      </c>
      <c r="B28" s="5" t="inlineStr">
        <is>
          <t>PSX</t>
        </is>
      </c>
      <c r="C28" s="14" t="n"/>
      <c r="D28" s="14" t="n">
        <v>24</v>
      </c>
      <c r="E28" s="3" t="inlineStr">
        <is>
          <t>動能 89；距 MA20 -0.2%</t>
        </is>
      </c>
    </row>
    <row r="29">
      <c r="A29" s="2" t="inlineStr">
        <is>
          <t>只喺 R21</t>
        </is>
      </c>
      <c r="B29" s="5" t="inlineStr">
        <is>
          <t>LPG</t>
        </is>
      </c>
      <c r="C29" s="14" t="n"/>
      <c r="D29" s="14" t="n">
        <v>25</v>
      </c>
      <c r="E29" s="3" t="inlineStr">
        <is>
          <t>動能 88；距 MA20 -1.1%</t>
        </is>
      </c>
    </row>
    <row r="30">
      <c r="A30" s="2" t="inlineStr">
        <is>
          <t>只喺 R21</t>
        </is>
      </c>
      <c r="B30" s="5" t="inlineStr">
        <is>
          <t>APA</t>
        </is>
      </c>
      <c r="C30" s="14" t="n"/>
      <c r="D30" s="14" t="n">
        <v>27</v>
      </c>
      <c r="E30" s="3" t="inlineStr">
        <is>
          <t>動能 76；距 MA20 -0.7%</t>
        </is>
      </c>
    </row>
    <row r="31">
      <c r="A31" s="2" t="inlineStr">
        <is>
          <t>只喺 R21</t>
        </is>
      </c>
      <c r="B31" s="5" t="inlineStr">
        <is>
          <t>CBLL</t>
        </is>
      </c>
      <c r="C31" s="14" t="n"/>
      <c r="D31" s="14" t="n">
        <v>28</v>
      </c>
      <c r="E31" s="3" t="inlineStr">
        <is>
          <t>動能 82；距 MA20 -2.5%</t>
        </is>
      </c>
    </row>
    <row r="32">
      <c r="A32" s="2" t="inlineStr">
        <is>
          <t>只喺 R20</t>
        </is>
      </c>
      <c r="B32" s="5" t="inlineStr">
        <is>
          <t>ITGR</t>
        </is>
      </c>
      <c r="C32" s="14" t="n">
        <v>1</v>
      </c>
      <c r="D32" s="14" t="n"/>
      <c r="E32" s="3" t="inlineStr">
        <is>
          <t>形態唔過：S3 回調深度、S4 曾經拉開（距 MA20 +0.3%、距高位 -0.1%）</t>
        </is>
      </c>
    </row>
    <row r="33">
      <c r="A33" s="2" t="inlineStr">
        <is>
          <t>只喺 R20</t>
        </is>
      </c>
      <c r="B33" s="5" t="inlineStr">
        <is>
          <t>DV</t>
        </is>
      </c>
      <c r="C33" s="14" t="n">
        <v>2</v>
      </c>
      <c r="D33" s="14" t="n"/>
      <c r="E33" s="3" t="inlineStr">
        <is>
          <t>形態唔過：S3 回調深度（距 MA20 +0.0%、距高位 -0.9%）</t>
        </is>
      </c>
    </row>
    <row r="34">
      <c r="A34" s="2" t="inlineStr">
        <is>
          <t>只喺 R20</t>
        </is>
      </c>
      <c r="B34" s="5" t="inlineStr">
        <is>
          <t>HRTG</t>
        </is>
      </c>
      <c r="C34" s="14" t="n">
        <v>3</v>
      </c>
      <c r="D34" s="14" t="n"/>
      <c r="E34" s="3" t="inlineStr">
        <is>
          <t>形態唔過：S4 曾經拉開、S5 回到20MA（距 MA20 -3.6%、距高位 -6.6%）</t>
        </is>
      </c>
    </row>
    <row r="35">
      <c r="A35" s="2" t="inlineStr">
        <is>
          <t>只喺 R20</t>
        </is>
      </c>
      <c r="B35" s="5" t="inlineStr">
        <is>
          <t>FMAO</t>
        </is>
      </c>
      <c r="C35" s="14" t="n">
        <v>4</v>
      </c>
      <c r="D35" s="14" t="n"/>
      <c r="E35" s="3" t="inlineStr">
        <is>
          <t>形態唔過：S4 曾經拉開；動能：四個時間框都唔入頭 10%（距 MA20 -1.1%、距高位 -3.4%）</t>
        </is>
      </c>
    </row>
    <row r="36">
      <c r="A36" s="2" t="inlineStr">
        <is>
          <t>只喺 R20</t>
        </is>
      </c>
      <c r="B36" s="5" t="inlineStr">
        <is>
          <t>SMTI</t>
        </is>
      </c>
      <c r="C36" s="14" t="n">
        <v>5</v>
      </c>
      <c r="D36" s="14" t="n"/>
      <c r="E36" s="3" t="inlineStr">
        <is>
          <t>形態唔過：S2 近期高位、S3 回調深度、S4 曾經拉開（距 MA20 +0.6%、距高位 -0.4%）</t>
        </is>
      </c>
    </row>
    <row r="37">
      <c r="A37" s="2" t="inlineStr">
        <is>
          <t>只喺 R20</t>
        </is>
      </c>
      <c r="B37" s="5" t="inlineStr">
        <is>
          <t>AVTR</t>
        </is>
      </c>
      <c r="C37" s="14" t="n">
        <v>6</v>
      </c>
      <c r="D37" s="14" t="n"/>
      <c r="E37" s="3" t="inlineStr">
        <is>
          <t>形態唔過：S4 曾經拉開（距 MA20 -1.4%、距高位 -6.9%）</t>
        </is>
      </c>
    </row>
    <row r="38">
      <c r="A38" s="2" t="inlineStr">
        <is>
          <t>只喺 R20</t>
        </is>
      </c>
      <c r="B38" s="5" t="inlineStr">
        <is>
          <t>CDNA</t>
        </is>
      </c>
      <c r="C38" s="14" t="n">
        <v>7</v>
      </c>
      <c r="D38" s="14" t="n"/>
      <c r="E38" s="3" t="inlineStr">
        <is>
          <t>形態唔過：S2 近期高位、S5 回到20MA（距 MA20 +5.0%、距高位 -3.9%）</t>
        </is>
      </c>
    </row>
    <row r="39">
      <c r="A39" s="2" t="inlineStr">
        <is>
          <t>只喺 R20</t>
        </is>
      </c>
      <c r="B39" s="5" t="inlineStr">
        <is>
          <t>RDVT</t>
        </is>
      </c>
      <c r="C39" s="14" t="n">
        <v>8</v>
      </c>
      <c r="D39" s="14" t="n"/>
      <c r="E39" s="3" t="inlineStr">
        <is>
          <t>形態唔過：S3 回調深度（距 MA20 +2.1%、距高位 -1.7%）</t>
        </is>
      </c>
    </row>
    <row r="40">
      <c r="A40" s="2" t="inlineStr">
        <is>
          <t>只喺 R20</t>
        </is>
      </c>
      <c r="B40" s="5" t="inlineStr">
        <is>
          <t>DMLP</t>
        </is>
      </c>
      <c r="C40" s="14" t="n">
        <v>9</v>
      </c>
      <c r="D40" s="14" t="n"/>
      <c r="E40" s="3" t="inlineStr">
        <is>
          <t>形態唔過：S4 曾經拉開；動能：四個時間框都唔入頭 10%（距 MA20 -0.8%、距高位 -4.3%）</t>
        </is>
      </c>
    </row>
    <row r="41">
      <c r="A41" s="2" t="inlineStr">
        <is>
          <t>只喺 R20</t>
        </is>
      </c>
      <c r="B41" s="5" t="inlineStr">
        <is>
          <t>IOVA</t>
        </is>
      </c>
      <c r="C41" s="14" t="n">
        <v>10</v>
      </c>
      <c r="D41" s="14" t="n"/>
      <c r="E41" s="3" t="inlineStr">
        <is>
          <t>形態唔過：S2 近期高位、S5 回到20MA（距 MA20 +12.9%、距高位 -4.2%）</t>
        </is>
      </c>
    </row>
    <row r="42">
      <c r="A42" s="2" t="inlineStr">
        <is>
          <t>只喺 R20</t>
        </is>
      </c>
      <c r="B42" s="5" t="inlineStr">
        <is>
          <t>SAIC</t>
        </is>
      </c>
      <c r="C42" s="14" t="n">
        <v>11</v>
      </c>
      <c r="D42" s="14" t="n"/>
      <c r="E42" s="3" t="inlineStr">
        <is>
          <t>形態唔過：S3 回調深度、S4 曾經拉開；動能：四個時間框都唔入頭 10%（距 MA20 +2.6%、距高位 -0.6%）</t>
        </is>
      </c>
    </row>
    <row r="43">
      <c r="A43" s="2" t="inlineStr">
        <is>
          <t>只喺 R20</t>
        </is>
      </c>
      <c r="B43" s="5" t="inlineStr">
        <is>
          <t>HGTY</t>
        </is>
      </c>
      <c r="C43" s="14" t="n">
        <v>12</v>
      </c>
      <c r="D43" s="14" t="n"/>
      <c r="E43" s="3" t="inlineStr">
        <is>
          <t>形態唔過：S3 回調深度、S4 曾經拉開；動能：四個時間框都唔入頭 10%（距 MA20 +1.1%、距高位 -2.3%）</t>
        </is>
      </c>
    </row>
    <row r="44">
      <c r="A44" s="2" t="inlineStr">
        <is>
          <t>只喺 R20</t>
        </is>
      </c>
      <c r="B44" s="5" t="inlineStr">
        <is>
          <t>MKTX</t>
        </is>
      </c>
      <c r="C44" s="14" t="n">
        <v>13</v>
      </c>
      <c r="D44" s="14" t="n"/>
      <c r="E44" s="3" t="inlineStr">
        <is>
          <t>形態唔過：S2 近期高位、S3 回調深度、S4 曾經拉開（距 MA20 +0.4%、距高位 +0.0%）</t>
        </is>
      </c>
    </row>
    <row r="45">
      <c r="A45" s="2" t="inlineStr">
        <is>
          <t>只喺 R20</t>
        </is>
      </c>
      <c r="B45" s="5" t="inlineStr">
        <is>
          <t>HALO</t>
        </is>
      </c>
      <c r="C45" s="14" t="n">
        <v>14</v>
      </c>
      <c r="D45" s="14" t="n"/>
      <c r="E45" s="3" t="inlineStr">
        <is>
          <t>形態唔過：S2 近期高位、S3 回調深度、S5 回到20MA（距 MA20 +3.3%、距高位 -2.3%）</t>
        </is>
      </c>
    </row>
    <row r="46">
      <c r="A46" s="2" t="inlineStr">
        <is>
          <t>只喺 R20</t>
        </is>
      </c>
      <c r="B46" s="5" t="inlineStr">
        <is>
          <t>CRSR</t>
        </is>
      </c>
      <c r="C46" s="14" t="n">
        <v>15</v>
      </c>
      <c r="D46" s="14" t="n"/>
      <c r="E46" s="3" t="inlineStr">
        <is>
          <t>形態唔過：S2 近期高位、S5 回到20MA（距 MA20 +6.1%、距高位 -5.8%）</t>
        </is>
      </c>
    </row>
    <row r="47">
      <c r="A47" s="2" t="inlineStr">
        <is>
          <t>只喺 R20</t>
        </is>
      </c>
      <c r="B47" s="5" t="inlineStr">
        <is>
          <t>FBLA</t>
        </is>
      </c>
      <c r="C47" s="14" t="n">
        <v>16</v>
      </c>
      <c r="D47" s="14" t="n"/>
      <c r="E47" s="3" t="inlineStr">
        <is>
          <t>形態唔過：S2 近期高位、S3 回調深度、S4 曾經拉開；動能：四個時間框都唔入頭 10%（距 MA20 +1.1%、距高位 -1.2%）</t>
        </is>
      </c>
    </row>
    <row r="48">
      <c r="A48" s="2" t="inlineStr">
        <is>
          <t>只喺 R20</t>
        </is>
      </c>
      <c r="B48" s="5" t="inlineStr">
        <is>
          <t>PD</t>
        </is>
      </c>
      <c r="C48" s="14" t="n">
        <v>17</v>
      </c>
      <c r="D48" s="14" t="n"/>
      <c r="E48" s="3" t="inlineStr">
        <is>
          <t>形態唔過：S3 回調深度、S5 回到20MA（距 MA20 +6.3%、距高位 -0.1%）</t>
        </is>
      </c>
    </row>
    <row r="49">
      <c r="A49" s="2" t="inlineStr">
        <is>
          <t>只喺 R20</t>
        </is>
      </c>
      <c r="B49" s="5" t="inlineStr">
        <is>
          <t>AMPH</t>
        </is>
      </c>
      <c r="C49" s="14" t="n">
        <v>18</v>
      </c>
      <c r="D49" s="14" t="n"/>
      <c r="E49" s="3" t="inlineStr">
        <is>
          <t>形態唔過：S2 近期高位、S3 回調深度、S5 回到20MA（距 MA20 +6.6%、距高位 +0.0%）</t>
        </is>
      </c>
    </row>
    <row r="50">
      <c r="A50" s="2" t="inlineStr">
        <is>
          <t>只喺 R20</t>
        </is>
      </c>
      <c r="B50" s="5" t="inlineStr">
        <is>
          <t>BDSX</t>
        </is>
      </c>
      <c r="C50" s="14" t="n">
        <v>19</v>
      </c>
      <c r="D50" s="14" t="n"/>
      <c r="E50" s="3" t="inlineStr">
        <is>
          <t>形態唔過：S5 回到20MA（距 MA20 +6.2%、距高位 -4.3%）</t>
        </is>
      </c>
    </row>
    <row r="51">
      <c r="A51" s="2" t="inlineStr">
        <is>
          <t>只喺 R20</t>
        </is>
      </c>
      <c r="B51" s="5" t="inlineStr">
        <is>
          <t>ATRC</t>
        </is>
      </c>
      <c r="C51" s="14" t="n">
        <v>20</v>
      </c>
      <c r="D51" s="14" t="n"/>
      <c r="E51" s="3" t="inlineStr">
        <is>
          <t>形態唔過：S2 近期高位、S3 回調深度、S5 回到20MA（距 MA20 +11.3%、距高位 +0.0%）</t>
        </is>
      </c>
    </row>
    <row r="52">
      <c r="A52" s="2" t="inlineStr">
        <is>
          <t>只喺 R20</t>
        </is>
      </c>
      <c r="B52" s="5" t="inlineStr">
        <is>
          <t>NUE</t>
        </is>
      </c>
      <c r="C52" s="14" t="n">
        <v>21</v>
      </c>
      <c r="D52" s="14" t="n"/>
      <c r="E52" s="3" t="inlineStr">
        <is>
          <t>形態唔過：S1 趨勢、S2 近期高位、S4 曾經拉開、S5 回到20MA；動能：四個時間框都唔入頭 10%（距 MA20 -3.1%、距高位 -10.1%）</t>
        </is>
      </c>
    </row>
    <row r="53">
      <c r="A53" s="2" t="inlineStr">
        <is>
          <t>只喺 R20</t>
        </is>
      </c>
      <c r="B53" s="5" t="inlineStr">
        <is>
          <t>INSP</t>
        </is>
      </c>
      <c r="C53" s="14" t="n">
        <v>22</v>
      </c>
      <c r="D53" s="14" t="n"/>
      <c r="E53" s="3" t="inlineStr">
        <is>
          <t>形態唔過：S2 近期高位（距 MA20 +2.0%、距高位 -10.1%）</t>
        </is>
      </c>
    </row>
    <row r="54">
      <c r="A54" s="2" t="inlineStr">
        <is>
          <t>只喺 R20</t>
        </is>
      </c>
      <c r="B54" s="5" t="inlineStr">
        <is>
          <t>FPI</t>
        </is>
      </c>
      <c r="C54" s="14" t="n">
        <v>23</v>
      </c>
      <c r="D54" s="14" t="n"/>
      <c r="E54" s="3" t="inlineStr">
        <is>
          <t>形態唔過：S2 近期高位、S3 回調深度、S4 曾經拉開；動能：四個時間框都唔入頭 10%（距 MA20 +1.3%、距高位 -1.5%）</t>
        </is>
      </c>
    </row>
    <row r="55">
      <c r="A55" s="2" t="inlineStr">
        <is>
          <t>只喺 R20</t>
        </is>
      </c>
      <c r="B55" s="5" t="inlineStr">
        <is>
          <t>MYGN</t>
        </is>
      </c>
      <c r="C55" s="14" t="n">
        <v>24</v>
      </c>
      <c r="D55" s="14" t="n"/>
      <c r="E55" s="3" t="inlineStr">
        <is>
          <t>形態唔過：S1 趨勢、S2 近期高位、S3 回調深度、S5 回到20MA（距 MA20 +14.1%、距高位 -36.4%）</t>
        </is>
      </c>
    </row>
    <row r="56">
      <c r="A56" s="2" t="inlineStr">
        <is>
          <t>只喺 R20</t>
        </is>
      </c>
      <c r="B56" s="5" t="inlineStr">
        <is>
          <t>FET</t>
        </is>
      </c>
      <c r="C56" s="14" t="n">
        <v>25</v>
      </c>
      <c r="D56" s="14" t="n"/>
      <c r="E56" s="3" t="inlineStr">
        <is>
          <t>形態唔過：S2 近期高位（距 MA20 +2.0%、距高位 -4.2%）</t>
        </is>
      </c>
    </row>
    <row r="57">
      <c r="A57" s="2" t="inlineStr">
        <is>
          <t>只喺 R20</t>
        </is>
      </c>
      <c r="B57" s="5" t="inlineStr">
        <is>
          <t>RNG</t>
        </is>
      </c>
      <c r="C57" s="14" t="n">
        <v>26</v>
      </c>
      <c r="D57" s="14" t="n"/>
      <c r="E57" s="3" t="inlineStr">
        <is>
          <t>形態唔過：S2 近期高位、S3 回調深度、S5 回到20MA（距 MA20 +9.6%、距高位 -0.6%）</t>
        </is>
      </c>
    </row>
    <row r="58">
      <c r="A58" s="2" t="inlineStr">
        <is>
          <t>只喺 R20</t>
        </is>
      </c>
      <c r="B58" s="5" t="inlineStr">
        <is>
          <t>DOCU</t>
        </is>
      </c>
      <c r="C58" s="14" t="n">
        <v>28</v>
      </c>
      <c r="D58" s="14" t="n"/>
      <c r="E58" s="3" t="inlineStr">
        <is>
          <t>形態唔過：S5 回到20MA（距 MA20 +4.1%、距高位 -3.3%）</t>
        </is>
      </c>
    </row>
    <row r="59">
      <c r="A59" s="2" t="inlineStr">
        <is>
          <t>只喺 R20</t>
        </is>
      </c>
      <c r="B59" s="5" t="inlineStr">
        <is>
          <t>CLH</t>
        </is>
      </c>
      <c r="C59" s="14" t="n">
        <v>29</v>
      </c>
      <c r="D59" s="14" t="n"/>
      <c r="E59" s="3" t="inlineStr">
        <is>
          <t>形態唔過：S1 趨勢、S2 近期高位、S4 曾經拉開；動能：四個時間框都唔入頭 10%（距 MA20 -0.9%、距高位 -4.0%）</t>
        </is>
      </c>
    </row>
    <row r="60">
      <c r="A60" s="2" t="inlineStr">
        <is>
          <t>只喺 R20</t>
        </is>
      </c>
      <c r="B60" s="5" t="inlineStr">
        <is>
          <t>AUGO</t>
        </is>
      </c>
      <c r="C60" s="14" t="n">
        <v>30</v>
      </c>
      <c r="D60" s="14" t="n"/>
      <c r="E60" s="3" t="inlineStr">
        <is>
          <t>形態唔過：S2 近期高位（距 MA20 -1.3%、距高位 -8.0%）</t>
        </is>
      </c>
    </row>
    <row r="61">
      <c r="A61" s="2" t="inlineStr">
        <is>
          <t>只喺 R20</t>
        </is>
      </c>
      <c r="B61" s="5" t="inlineStr">
        <is>
          <t>DT</t>
        </is>
      </c>
      <c r="C61" s="14" t="n">
        <v>31</v>
      </c>
      <c r="D61" s="14" t="n"/>
      <c r="E61" s="3" t="inlineStr">
        <is>
          <t>形態唔過：S2 近期高位、S3 回調深度、S5 回到20MA（距 MA20 +9.2%、距高位 +0.0%）</t>
        </is>
      </c>
    </row>
    <row r="62">
      <c r="A62" s="2" t="inlineStr">
        <is>
          <t>只喺 R20</t>
        </is>
      </c>
      <c r="B62" s="5" t="inlineStr">
        <is>
          <t>INTG</t>
        </is>
      </c>
      <c r="C62" s="14" t="n">
        <v>32</v>
      </c>
      <c r="D62" s="14" t="n"/>
      <c r="E62" s="3" t="inlineStr">
        <is>
          <t>形態唔過：S1 趨勢、S2 近期高位（距 MA20 -0.5%、距高位 -25.7%）</t>
        </is>
      </c>
    </row>
    <row r="63">
      <c r="A63" s="2" t="inlineStr">
        <is>
          <t>只喺 R20</t>
        </is>
      </c>
      <c r="B63" s="5" t="inlineStr">
        <is>
          <t>REFI</t>
        </is>
      </c>
      <c r="C63" s="14" t="n">
        <v>33</v>
      </c>
      <c r="D63" s="14" t="n"/>
      <c r="E63" s="3" t="inlineStr">
        <is>
          <t>形態唔過：S2 近期高位、S4 曾經拉開；動能：四個時間框都唔入頭 10%（距 MA20 -1.3%、距高位 -6.3%）</t>
        </is>
      </c>
    </row>
    <row r="64">
      <c r="A64" s="2" t="inlineStr">
        <is>
          <t>只喺 R20</t>
        </is>
      </c>
      <c r="B64" s="5" t="inlineStr">
        <is>
          <t>INSW</t>
        </is>
      </c>
      <c r="C64" s="14" t="n">
        <v>34</v>
      </c>
      <c r="D64" s="14" t="n"/>
      <c r="E64" s="3" t="inlineStr">
        <is>
          <t>動能：四個時間框都唔入頭 10%（距 MA20 -1.6%、距高位 -8.3%）</t>
        </is>
      </c>
    </row>
    <row r="65">
      <c r="A65" s="2" t="inlineStr">
        <is>
          <t>只喺 R20</t>
        </is>
      </c>
      <c r="B65" s="5" t="inlineStr">
        <is>
          <t>EXPD</t>
        </is>
      </c>
      <c r="C65" s="14" t="n">
        <v>35</v>
      </c>
      <c r="D65" s="14" t="n"/>
      <c r="E65" s="3" t="inlineStr">
        <is>
          <t>形態唔過：S4 曾經拉開；動能：四個時間框都唔入頭 10%（距 MA20 -0.8%、距高位 -3.0%）</t>
        </is>
      </c>
    </row>
    <row r="66">
      <c r="A66" s="2" t="inlineStr">
        <is>
          <t>只喺 R20</t>
        </is>
      </c>
      <c r="B66" s="5" t="inlineStr">
        <is>
          <t>XRX</t>
        </is>
      </c>
      <c r="C66" s="14" t="n">
        <v>36</v>
      </c>
      <c r="D66" s="14" t="n"/>
      <c r="E66" s="3" t="inlineStr">
        <is>
          <t>形態唔過：S5 回到20MA（距 MA20 +5.6%、距高位 -4.1%）</t>
        </is>
      </c>
    </row>
    <row r="67">
      <c r="A67" s="2" t="inlineStr">
        <is>
          <t>只喺 R20</t>
        </is>
      </c>
      <c r="B67" s="5" t="inlineStr">
        <is>
          <t>ADM</t>
        </is>
      </c>
      <c r="C67" s="14" t="n">
        <v>37</v>
      </c>
      <c r="D67" s="14" t="n"/>
      <c r="E67" s="3" t="inlineStr">
        <is>
          <t>形態唔過：S1 趨勢、S4 曾經拉開；動能：四個時間框都唔入頭 10%（距 MA20 -2.5%、距高位 -6.7%）</t>
        </is>
      </c>
    </row>
    <row r="68">
      <c r="A68" s="2" t="inlineStr">
        <is>
          <t>只喺 R20</t>
        </is>
      </c>
      <c r="B68" s="5" t="inlineStr">
        <is>
          <t>BRK/B</t>
        </is>
      </c>
      <c r="C68" s="14" t="n">
        <v>38</v>
      </c>
      <c r="D68" s="14" t="n"/>
      <c r="E68" s="3" t="inlineStr">
        <is>
          <t>形態唔過：S2 近期高位、S4 曾經拉開；動能：四個時間框都唔入頭 10%（距 MA20 -0.1%、距高位 -4.2%）</t>
        </is>
      </c>
    </row>
    <row r="69">
      <c r="A69" s="2" t="inlineStr">
        <is>
          <t>只喺 R20</t>
        </is>
      </c>
      <c r="B69" s="5" t="inlineStr">
        <is>
          <t>SLDE</t>
        </is>
      </c>
      <c r="C69" s="14" t="n">
        <v>39</v>
      </c>
      <c r="D69" s="14" t="n"/>
      <c r="E69" s="3" t="inlineStr">
        <is>
          <t>形態唔過：S5 回到20MA；動能：四個時間框都唔入頭 10%（距 MA20 -5.9%、距高位 -13.3%）</t>
        </is>
      </c>
    </row>
    <row r="70">
      <c r="A70" s="2" t="inlineStr">
        <is>
          <t>只喺 R20</t>
        </is>
      </c>
      <c r="B70" s="5" t="inlineStr">
        <is>
          <t>NAKA</t>
        </is>
      </c>
      <c r="C70" s="14" t="n">
        <v>40</v>
      </c>
      <c r="D70" s="14" t="n"/>
      <c r="E70" s="3" t="inlineStr">
        <is>
          <t>形態唔過：S2 近期高位、S5 回到20MA（距 MA20 +12.4%、距高位 -8.5%）</t>
        </is>
      </c>
    </row>
    <row r="71">
      <c r="A71" s="2" t="inlineStr">
        <is>
          <t>只喺 R20</t>
        </is>
      </c>
      <c r="B71" s="5" t="inlineStr">
        <is>
          <t>BRK/A</t>
        </is>
      </c>
      <c r="C71" s="14" t="n">
        <v>41</v>
      </c>
      <c r="D71" s="14" t="n"/>
      <c r="E71" s="3" t="inlineStr">
        <is>
          <t>形態唔過：S2 近期高位、S4 曾經拉開；動能：四個時間框都唔入頭 10%（距 MA20 +0.5%、距高位 -3.6%）</t>
        </is>
      </c>
    </row>
    <row r="72">
      <c r="A72" s="2" t="inlineStr">
        <is>
          <t>只喺 R20</t>
        </is>
      </c>
      <c r="B72" s="5" t="inlineStr">
        <is>
          <t>TWLO</t>
        </is>
      </c>
      <c r="C72" s="14" t="n">
        <v>43</v>
      </c>
      <c r="D72" s="14" t="n"/>
      <c r="E72" s="3" t="inlineStr">
        <is>
          <t>形態唔過：S2 近期高位、S3 回調深度、S5 回到20MA（距 MA20 +20.4%、距高位 +0.0%）</t>
        </is>
      </c>
    </row>
    <row r="73">
      <c r="A73" s="2" t="inlineStr">
        <is>
          <t>只喺 R20</t>
        </is>
      </c>
      <c r="B73" s="5" t="inlineStr">
        <is>
          <t>OHI</t>
        </is>
      </c>
      <c r="C73" s="14" t="n">
        <v>44</v>
      </c>
      <c r="D73" s="14" t="n"/>
      <c r="E73" s="3" t="inlineStr">
        <is>
          <t>形態唔過：S1 趨勢、S2 近期高位、S4 曾經拉開；動能：四個時間框都唔入頭 10%（距 MA20 -1.3%、距高位 -10.7%）</t>
        </is>
      </c>
    </row>
    <row r="74">
      <c r="A74" s="2" t="inlineStr">
        <is>
          <t>只喺 R20</t>
        </is>
      </c>
      <c r="B74" s="5" t="inlineStr">
        <is>
          <t>COKE</t>
        </is>
      </c>
      <c r="C74" s="14" t="n">
        <v>45</v>
      </c>
      <c r="D74" s="14" t="n"/>
      <c r="E74" s="3" t="inlineStr">
        <is>
          <t>形態唔過：S1 趨勢、S2 近期高位、S4 曾經拉開、S5 回到20MA；動能：四個時間框都唔入頭 10%（距 MA20 -3.2%、距高位 -6.6%）</t>
        </is>
      </c>
    </row>
    <row r="75">
      <c r="A75" s="2" t="inlineStr">
        <is>
          <t>只喺 R20</t>
        </is>
      </c>
      <c r="B75" s="5" t="inlineStr">
        <is>
          <t>SMCI</t>
        </is>
      </c>
      <c r="C75" s="14" t="n">
        <v>46</v>
      </c>
      <c r="D75" s="14" t="n"/>
      <c r="E75" s="3" t="inlineStr">
        <is>
          <t>形態唔過：S2 近期高位、S3 回調深度、S5 回到20MA（距 MA20 +7.5%、距高位 -0.2%）</t>
        </is>
      </c>
    </row>
    <row r="76">
      <c r="A76" s="2" t="inlineStr">
        <is>
          <t>只喺 R20</t>
        </is>
      </c>
      <c r="B76" s="5" t="inlineStr">
        <is>
          <t>EPAM</t>
        </is>
      </c>
      <c r="C76" s="14" t="n">
        <v>47</v>
      </c>
      <c r="D76" s="14" t="n"/>
      <c r="E76" s="3" t="inlineStr">
        <is>
          <t>形態唔過：S2 近期高位、S5 回到20MA（距 MA20 -5.0%、距高位 -11.0%）</t>
        </is>
      </c>
    </row>
    <row r="77">
      <c r="A77" s="2" t="inlineStr">
        <is>
          <t>只喺 R20</t>
        </is>
      </c>
      <c r="B77" s="5" t="inlineStr">
        <is>
          <t>KOPN</t>
        </is>
      </c>
      <c r="C77" s="14" t="n">
        <v>48</v>
      </c>
      <c r="D77" s="14" t="n"/>
      <c r="E77" s="3" t="inlineStr">
        <is>
          <t>形態唔過：S1 趨勢、S2 近期高位、S5 回到20MA（距 MA20 +7.7%、距高位 -11.5%）</t>
        </is>
      </c>
    </row>
    <row r="78">
      <c r="A78" s="2" t="inlineStr">
        <is>
          <t>只喺 R20</t>
        </is>
      </c>
      <c r="B78" s="5" t="inlineStr">
        <is>
          <t>META</t>
        </is>
      </c>
      <c r="C78" s="14" t="n">
        <v>49</v>
      </c>
      <c r="D78" s="14" t="n"/>
      <c r="E78" s="3" t="inlineStr">
        <is>
          <t>形態唔過：S2 近期高位、S3 回調深度、S5 回到20MA（距 MA20 +16.0%、距高位 +0.0%）</t>
        </is>
      </c>
    </row>
    <row r="79">
      <c r="A79" s="2" t="inlineStr">
        <is>
          <t>只喺 R20</t>
        </is>
      </c>
      <c r="B79" s="5" t="inlineStr">
        <is>
          <t>CRCT</t>
        </is>
      </c>
      <c r="C79" s="14" t="n">
        <v>50</v>
      </c>
      <c r="D79" s="14" t="n"/>
      <c r="E79" s="3" t="inlineStr">
        <is>
          <t>形態唔過：S2 近期高位、S3 回調深度、S4 曾經拉開、S5 回到20MA（距 MA20 +3.6%、距高位 -3.0%）</t>
        </is>
      </c>
    </row>
    <row r="80">
      <c r="A80" s="2" t="inlineStr">
        <is>
          <t>只喺 R20</t>
        </is>
      </c>
      <c r="B80" s="5" t="inlineStr">
        <is>
          <t>OSPN</t>
        </is>
      </c>
      <c r="C80" s="14" t="n">
        <v>52</v>
      </c>
      <c r="D80" s="14" t="n"/>
      <c r="E80" s="3" t="inlineStr">
        <is>
          <t>形態唔過：S2 近期高位、S3 回調深度、S5 回到20MA（距 MA20 +6.7%、距高位 +0.0%）</t>
        </is>
      </c>
    </row>
    <row r="81">
      <c r="A81" s="2" t="inlineStr">
        <is>
          <t>只喺 R20</t>
        </is>
      </c>
      <c r="B81" s="5" t="inlineStr">
        <is>
          <t>XHLD</t>
        </is>
      </c>
      <c r="C81" s="14" t="n">
        <v>53</v>
      </c>
      <c r="D81" s="14" t="n"/>
      <c r="E81" s="3" t="inlineStr">
        <is>
          <t>形態唔過：S5 回到20MA（距 MA20 +22.4%、距高位 -3.6%）</t>
        </is>
      </c>
    </row>
    <row r="82">
      <c r="A82" s="2" t="inlineStr">
        <is>
          <t>只喺 R20</t>
        </is>
      </c>
      <c r="B82" s="5" t="inlineStr">
        <is>
          <t>CNXN</t>
        </is>
      </c>
      <c r="C82" s="14" t="n">
        <v>54</v>
      </c>
      <c r="D82" s="14" t="n"/>
      <c r="E82" s="3" t="inlineStr">
        <is>
          <t>形態唔過：S2 近期高位、S3 回調深度、S4 曾經拉開、S5 回到20MA（距 MA20 +5.7%、距高位 +0.0%）</t>
        </is>
      </c>
    </row>
    <row r="83">
      <c r="A83" s="2" t="inlineStr">
        <is>
          <t>只喺 R20</t>
        </is>
      </c>
      <c r="B83" s="5" t="inlineStr">
        <is>
          <t>NATH</t>
        </is>
      </c>
      <c r="C83" s="14" t="n">
        <v>56</v>
      </c>
      <c r="D83" s="14" t="n"/>
      <c r="E83" s="3" t="inlineStr">
        <is>
          <t>形態唔過：S1 趨勢、S2 近期高位、S4 曾經拉開、S5 回到20MA；動能：四個時間框都唔入頭 10%（距 MA20 -3.5%、距高位 -7.5%）</t>
        </is>
      </c>
    </row>
    <row r="84">
      <c r="A84" s="2" t="inlineStr">
        <is>
          <t>只喺 R20</t>
        </is>
      </c>
      <c r="B84" s="5" t="inlineStr">
        <is>
          <t>QRVO</t>
        </is>
      </c>
      <c r="C84" s="14" t="n">
        <v>57</v>
      </c>
      <c r="D84" s="14" t="n"/>
      <c r="E84" s="3" t="inlineStr">
        <is>
          <t>形態唔過：S2 近期高位、S3 回調深度、S5 回到20MA（距 MA20 +11.1%、距高位 +0.0%）</t>
        </is>
      </c>
    </row>
    <row r="85">
      <c r="A85" s="2" t="inlineStr">
        <is>
          <t>只喺 R20</t>
        </is>
      </c>
      <c r="B85" s="5" t="inlineStr">
        <is>
          <t>DFIN</t>
        </is>
      </c>
      <c r="C85" s="14" t="n">
        <v>58</v>
      </c>
      <c r="D85" s="14" t="n"/>
      <c r="E85" s="3" t="inlineStr">
        <is>
          <t>形態唔過：S1 趨勢、S2 近期高位、S4 曾經拉開；動能：四個時間框都唔入頭 10%（距 MA20 +0.2%、距高位 -7.6%）</t>
        </is>
      </c>
    </row>
    <row r="86">
      <c r="A86" s="2" t="inlineStr">
        <is>
          <t>只喺 R20</t>
        </is>
      </c>
      <c r="B86" s="5" t="inlineStr">
        <is>
          <t>TSLA</t>
        </is>
      </c>
      <c r="C86" s="14" t="n">
        <v>59</v>
      </c>
      <c r="D86" s="14" t="n"/>
      <c r="E86" s="3" t="inlineStr">
        <is>
          <t>形態唔過：S1 趨勢、S2 近期高位、S5 回到20MA（距 MA20 +4.7%、距高位 -10.6%）</t>
        </is>
      </c>
    </row>
    <row r="87">
      <c r="A87" s="2" t="inlineStr">
        <is>
          <t>只喺 R20</t>
        </is>
      </c>
      <c r="B87" s="5" t="inlineStr">
        <is>
          <t>IBM</t>
        </is>
      </c>
      <c r="C87" s="14" t="n">
        <v>60</v>
      </c>
      <c r="D87" s="14" t="n"/>
      <c r="E87" s="3" t="inlineStr">
        <is>
          <t>形態唔過：S1 趨勢、S2 近期高位、S4 曾經拉開；動能：四個時間框都唔入頭 10%（距 MA20 -1.3%、距高位 -24.0%）</t>
        </is>
      </c>
    </row>
    <row r="88">
      <c r="A88" s="2" t="inlineStr">
        <is>
          <t>只喺 R20</t>
        </is>
      </c>
      <c r="B88" s="5" t="inlineStr">
        <is>
          <t>MDT</t>
        </is>
      </c>
      <c r="C88" s="14" t="n">
        <v>61</v>
      </c>
      <c r="D88" s="14" t="n"/>
      <c r="E88" s="3" t="inlineStr">
        <is>
          <t>形態唔過：S1 趨勢、S2 近期高位、S4 曾經拉開；動能：四個時間框都唔入頭 10%（距 MA20 -2.9%、距高位 -5.2%）</t>
        </is>
      </c>
    </row>
    <row r="89">
      <c r="A89" s="2" t="inlineStr">
        <is>
          <t>只喺 R20</t>
        </is>
      </c>
      <c r="B89" s="5" t="inlineStr">
        <is>
          <t>TMO</t>
        </is>
      </c>
      <c r="C89" s="14" t="n">
        <v>62</v>
      </c>
      <c r="D89" s="14" t="n"/>
      <c r="E89" s="3" t="inlineStr">
        <is>
          <t>形態唔過：S2 近期高位、S3 回調深度、S4 曾經拉開、S5 回到20MA（距 MA20 +5.9%、距高位 +0.0%）</t>
        </is>
      </c>
    </row>
    <row r="90">
      <c r="A90" s="2" t="inlineStr">
        <is>
          <t>只喺 R20</t>
        </is>
      </c>
      <c r="B90" s="5" t="inlineStr">
        <is>
          <t>CURI</t>
        </is>
      </c>
      <c r="C90" s="14" t="n">
        <v>63</v>
      </c>
      <c r="D90" s="14" t="n"/>
      <c r="E90" s="3" t="inlineStr">
        <is>
          <t>形態唔過：S1 趨勢、S2 近期高位、S4 曾經拉開、S5 回到20MA；動能：四個時間框都唔入頭 10%（距 MA20 +4.5%、距高位 -27.8%）</t>
        </is>
      </c>
    </row>
    <row r="91">
      <c r="A91" s="2" t="inlineStr">
        <is>
          <t>只喺 R20</t>
        </is>
      </c>
      <c r="B91" s="5" t="inlineStr">
        <is>
          <t>CRWD</t>
        </is>
      </c>
      <c r="C91" s="14" t="n">
        <v>64</v>
      </c>
      <c r="D91" s="14" t="n"/>
      <c r="E91" s="3" t="inlineStr">
        <is>
          <t>形態唔過：S2 近期高位、S3 回調深度、S5 回到20MA（距 MA20 +16.4%、距高位 +0.0%）</t>
        </is>
      </c>
    </row>
    <row r="92">
      <c r="A92" s="2" t="inlineStr">
        <is>
          <t>只喺 R20</t>
        </is>
      </c>
      <c r="B92" s="5" t="inlineStr">
        <is>
          <t>NSIT</t>
        </is>
      </c>
      <c r="C92" s="14" t="n">
        <v>65</v>
      </c>
      <c r="D92" s="14" t="n"/>
      <c r="E92" s="3" t="inlineStr">
        <is>
          <t>形態唔過：S4 曾經拉開（距 MA20 +0.5%、距高位 -4.3%）</t>
        </is>
      </c>
    </row>
    <row r="93">
      <c r="A93" s="2" t="inlineStr">
        <is>
          <t>只喺 R20</t>
        </is>
      </c>
      <c r="B93" s="5" t="inlineStr">
        <is>
          <t>HYPD</t>
        </is>
      </c>
      <c r="C93" s="14" t="n">
        <v>66</v>
      </c>
      <c r="D93" s="14" t="n"/>
      <c r="E93" s="3" t="inlineStr">
        <is>
          <t>形態唔過：S2 近期高位、S3 回調深度、S5 回到20MA（距 MA20 +11.8%、距高位 -1.8%）</t>
        </is>
      </c>
    </row>
    <row r="94">
      <c r="A94" s="2" t="inlineStr">
        <is>
          <t>只喺 R20</t>
        </is>
      </c>
      <c r="B94" s="5" t="inlineStr">
        <is>
          <t>SWKS</t>
        </is>
      </c>
      <c r="C94" s="14" t="n">
        <v>67</v>
      </c>
      <c r="D94" s="14" t="n"/>
      <c r="E94" s="3" t="inlineStr">
        <is>
          <t>形態唔過：S2 近期高位、S3 回調深度、S5 回到20MA（距 MA20 +15.7%、距高位 +0.0%）</t>
        </is>
      </c>
    </row>
    <row r="95">
      <c r="A95" s="2" t="inlineStr">
        <is>
          <t>只喺 R20</t>
        </is>
      </c>
      <c r="B95" s="5" t="inlineStr">
        <is>
          <t>OBIO</t>
        </is>
      </c>
      <c r="C95" s="14" t="n">
        <v>68</v>
      </c>
      <c r="D95" s="14" t="n"/>
      <c r="E95" s="3" t="inlineStr">
        <is>
          <t>形態唔過：S5 回到20MA（距 MA20 +6.6%、距高位 -5.1%）</t>
        </is>
      </c>
    </row>
    <row r="96">
      <c r="A96" s="2" t="inlineStr">
        <is>
          <t>只喺 R20</t>
        </is>
      </c>
      <c r="B96" s="5" t="inlineStr">
        <is>
          <t>NPK</t>
        </is>
      </c>
      <c r="C96" s="14" t="n">
        <v>69</v>
      </c>
      <c r="D96" s="14" t="n"/>
      <c r="E96" s="3" t="inlineStr">
        <is>
          <t>形態唔過：S1 趨勢；動能：四個時間框都唔入頭 10%（距 MA20 -2.6%、距高位 -6.8%）</t>
        </is>
      </c>
    </row>
    <row r="97">
      <c r="A97" s="2" t="inlineStr">
        <is>
          <t>只喺 R20</t>
        </is>
      </c>
      <c r="B97" s="5" t="inlineStr">
        <is>
          <t>UNM</t>
        </is>
      </c>
      <c r="C97" s="14" t="n">
        <v>70</v>
      </c>
      <c r="D97" s="14" t="n"/>
      <c r="E97" s="3" t="inlineStr">
        <is>
          <t>形態唔過：S3 回調深度、S4 曾經拉開；動能：四個時間框都唔入頭 10%（距 MA20 +0.4%、距高位 -2.2%）</t>
        </is>
      </c>
    </row>
    <row r="98">
      <c r="A98" s="2" t="inlineStr">
        <is>
          <t>只喺 R20</t>
        </is>
      </c>
      <c r="B98" s="5" t="inlineStr">
        <is>
          <t>NTSK</t>
        </is>
      </c>
      <c r="C98" s="14" t="n">
        <v>71</v>
      </c>
      <c r="D98" s="14" t="n"/>
      <c r="E98" s="3" t="inlineStr">
        <is>
          <t>形態唔過：S2 近期高位、S3 回調深度、S5 回到20MA（距 MA20 +17.5%、距高位 +0.0%）</t>
        </is>
      </c>
    </row>
    <row r="99">
      <c r="A99" s="2" t="inlineStr">
        <is>
          <t>只喺 R20</t>
        </is>
      </c>
      <c r="B99" s="5" t="inlineStr">
        <is>
          <t>OESX</t>
        </is>
      </c>
      <c r="C99" s="14" t="n">
        <v>72</v>
      </c>
      <c r="D99" s="14" t="n"/>
      <c r="E99" s="3" t="inlineStr">
        <is>
          <t>形態唔過：S5 回到20MA（距 MA20 +7.9%、距高位 -6.9%）</t>
        </is>
      </c>
    </row>
    <row r="100">
      <c r="A100" s="2" t="inlineStr">
        <is>
          <t>只喺 R20</t>
        </is>
      </c>
      <c r="B100" s="5" t="inlineStr">
        <is>
          <t>SPT</t>
        </is>
      </c>
      <c r="C100" s="14" t="n">
        <v>74</v>
      </c>
      <c r="D100" s="14" t="n"/>
      <c r="E100" s="3" t="inlineStr">
        <is>
          <t>形態唔過：S5 回到20MA（距 MA20 -8.4%、距高位 -14.4%）</t>
        </is>
      </c>
    </row>
    <row r="101">
      <c r="A101" s="2" t="inlineStr">
        <is>
          <t>只喺 R20</t>
        </is>
      </c>
      <c r="B101" s="5" t="inlineStr">
        <is>
          <t>AESI</t>
        </is>
      </c>
      <c r="C101" s="14" t="n">
        <v>75</v>
      </c>
      <c r="D101" s="14" t="n"/>
      <c r="E101" s="3" t="inlineStr">
        <is>
          <t>形態唔過：S1 趨勢、S2 近期高位、S3 回調深度、S5 回到20MA；動能：四個時間框都唔入頭 10%（距 MA20 -12.8%、距高位 -32.2%）</t>
        </is>
      </c>
    </row>
    <row r="102">
      <c r="A102" s="2" t="inlineStr">
        <is>
          <t>只喺 R20</t>
        </is>
      </c>
      <c r="B102" s="5" t="inlineStr">
        <is>
          <t>CYPH</t>
        </is>
      </c>
      <c r="C102" s="14" t="n">
        <v>76</v>
      </c>
      <c r="D102" s="14" t="n"/>
      <c r="E102" s="3" t="inlineStr">
        <is>
          <t>形態唔過：S2 近期高位、S5 回到20MA（距 MA20 +46.4%、距高位 -3.2%）</t>
        </is>
      </c>
    </row>
    <row r="103">
      <c r="A103" s="2" t="inlineStr">
        <is>
          <t>只喺 R20</t>
        </is>
      </c>
      <c r="B103" s="5" t="inlineStr">
        <is>
          <t>FEIM</t>
        </is>
      </c>
      <c r="C103" s="14" t="n">
        <v>77</v>
      </c>
      <c r="D103" s="14" t="n"/>
      <c r="E103" s="3" t="inlineStr">
        <is>
          <t>形態唔過：S5 回到20MA（距 MA20 +16.5%、距高位 -5.4%）</t>
        </is>
      </c>
    </row>
    <row r="104">
      <c r="A104" s="2" t="inlineStr">
        <is>
          <t>只喺 R20</t>
        </is>
      </c>
      <c r="B104" s="5" t="inlineStr">
        <is>
          <t>PEGA</t>
        </is>
      </c>
      <c r="C104" s="14" t="n">
        <v>78</v>
      </c>
      <c r="D104" s="14" t="n"/>
      <c r="E104" s="3" t="inlineStr">
        <is>
          <t>形態唔過：S2 近期高位（距 MA20 -2.8%、距高位 -9.1%）</t>
        </is>
      </c>
    </row>
    <row r="105">
      <c r="A105" s="2" t="inlineStr">
        <is>
          <t>只喺 R20</t>
        </is>
      </c>
      <c r="B105" s="5" t="inlineStr">
        <is>
          <t>CTKB</t>
        </is>
      </c>
      <c r="C105" s="14" t="n">
        <v>79</v>
      </c>
      <c r="D105" s="14" t="n"/>
      <c r="E105" s="3" t="inlineStr">
        <is>
          <t>形態唔過：S2 近期高位、S3 回調深度、S5 回到20MA（距 MA20 +16.3%、距高位 -0.5%）</t>
        </is>
      </c>
    </row>
    <row r="106">
      <c r="A106" s="2" t="inlineStr">
        <is>
          <t>只喺 R20</t>
        </is>
      </c>
      <c r="B106" s="5" t="inlineStr">
        <is>
          <t>EFSI</t>
        </is>
      </c>
      <c r="C106" s="14" t="n">
        <v>80</v>
      </c>
      <c r="D106" s="14" t="n"/>
      <c r="E106" s="3" t="inlineStr">
        <is>
          <t>形態唔過：S3 回調深度、S5 回到20MA（距 MA20 +2.8%、距高位 -2.6%）</t>
        </is>
      </c>
    </row>
    <row r="107">
      <c r="A107" s="2" t="inlineStr">
        <is>
          <t>只喺 R20</t>
        </is>
      </c>
      <c r="B107" s="5" t="inlineStr">
        <is>
          <t>AGM</t>
        </is>
      </c>
      <c r="C107" s="14" t="n">
        <v>81</v>
      </c>
      <c r="D107" s="14" t="n"/>
      <c r="E107" s="3" t="inlineStr">
        <is>
          <t>形態唔過：S1 趨勢、S2 近期高位、S4 曾經拉開；動能：四個時間框都唔入頭 10%（距 MA20 -2.4%、距高位 -10.2%）</t>
        </is>
      </c>
    </row>
    <row r="108">
      <c r="A108" s="2" t="inlineStr">
        <is>
          <t>只喺 R20</t>
        </is>
      </c>
      <c r="B108" s="5" t="inlineStr">
        <is>
          <t>ABTC</t>
        </is>
      </c>
      <c r="C108" s="14" t="n">
        <v>82</v>
      </c>
      <c r="D108" s="14" t="n"/>
      <c r="E108" s="3" t="inlineStr">
        <is>
          <t>形態唔過：S2 近期高位、S5 回到20MA（距 MA20 +14.8%、距高位 -8.0%）</t>
        </is>
      </c>
    </row>
    <row r="109">
      <c r="A109" s="2" t="inlineStr">
        <is>
          <t>只喺 R20</t>
        </is>
      </c>
      <c r="B109" s="5" t="inlineStr">
        <is>
          <t>CRVL</t>
        </is>
      </c>
      <c r="C109" s="14" t="n">
        <v>83</v>
      </c>
      <c r="D109" s="14" t="n"/>
      <c r="E109" s="3" t="inlineStr">
        <is>
          <t>形態唔過：S2 近期高位、S3 回調深度、S5 回到20MA；動能：四個時間框都唔入頭 10%（距 MA20 +4.6%、距高位 -0.4%）</t>
        </is>
      </c>
    </row>
    <row r="110">
      <c r="A110" s="2" t="inlineStr">
        <is>
          <t>只喺 R20</t>
        </is>
      </c>
      <c r="B110" s="5" t="inlineStr">
        <is>
          <t>NWSA</t>
        </is>
      </c>
      <c r="C110" s="14" t="n">
        <v>84</v>
      </c>
      <c r="D110" s="14" t="n"/>
      <c r="E110" s="3" t="inlineStr">
        <is>
          <t>形態唔過：S1 趨勢、S4 曾經拉開、S5 回到20MA；動能：四個時間框都唔入頭 10%（距 MA20 -6.7%、距高位 -9.8%）</t>
        </is>
      </c>
    </row>
    <row r="111">
      <c r="A111" s="2" t="inlineStr">
        <is>
          <t>只喺 R20</t>
        </is>
      </c>
      <c r="B111" s="5" t="inlineStr">
        <is>
          <t>APPF</t>
        </is>
      </c>
      <c r="C111" s="14" t="n">
        <v>85</v>
      </c>
      <c r="D111" s="14" t="n"/>
      <c r="E111" s="3" t="inlineStr">
        <is>
          <t>形態唔過：S1 趨勢、S5 回到20MA（距 MA20 -3.8%、距高位 -10.4%）</t>
        </is>
      </c>
    </row>
    <row r="112">
      <c r="A112" s="2" t="inlineStr">
        <is>
          <t>只喺 R20</t>
        </is>
      </c>
      <c r="B112" s="5" t="inlineStr">
        <is>
          <t>CTSH</t>
        </is>
      </c>
      <c r="C112" s="14" t="n">
        <v>86</v>
      </c>
      <c r="D112" s="14" t="n"/>
      <c r="E112" s="3" t="inlineStr">
        <is>
          <t>形態唔過：S1 趨勢、S2 近期高位、S5 回到20MA（距 MA20 -4.1%、距高位 -8.5%）</t>
        </is>
      </c>
    </row>
    <row r="113">
      <c r="A113" s="2" t="inlineStr">
        <is>
          <t>只喺 R20</t>
        </is>
      </c>
      <c r="B113" s="5" t="inlineStr">
        <is>
          <t>ITIC</t>
        </is>
      </c>
      <c r="C113" s="14" t="n">
        <v>87</v>
      </c>
      <c r="D113" s="14" t="n"/>
      <c r="E113" s="3" t="inlineStr">
        <is>
          <t>形態唔過：S1 趨勢、S4 曾經拉開；動能：四個時間框都唔入頭 10%（距 MA20 -2.0%、距高位 -4.9%）</t>
        </is>
      </c>
    </row>
    <row r="114">
      <c r="A114" s="2" t="inlineStr">
        <is>
          <t>只喺 R20</t>
        </is>
      </c>
      <c r="B114" s="5" t="inlineStr">
        <is>
          <t>IESC</t>
        </is>
      </c>
      <c r="C114" s="14" t="n">
        <v>88</v>
      </c>
      <c r="D114" s="14" t="n"/>
      <c r="E114" s="3" t="inlineStr">
        <is>
          <t>形態唔過：S1 趨勢、S2 近期高位、S4 曾經拉開；動能：四個時間框都唔入頭 10%（距 MA20 -0.2%、距高位 -19.5%）</t>
        </is>
      </c>
    </row>
    <row r="115">
      <c r="A115" s="2" t="inlineStr">
        <is>
          <t>只喺 R20</t>
        </is>
      </c>
      <c r="B115" s="5" t="inlineStr">
        <is>
          <t>NKTX</t>
        </is>
      </c>
      <c r="C115" s="14" t="n">
        <v>89</v>
      </c>
      <c r="D115" s="14" t="n"/>
      <c r="E115" s="3" t="inlineStr">
        <is>
          <t>形態唔過：S1 趨勢、S2 近期高位；動能：四個時間框都唔入頭 10%（距 MA20 -2.8%、距高位 -24.8%）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  <hyperlink xmlns:r="http://schemas.openxmlformats.org/officeDocument/2006/relationships" ref="B50" r:id="rId47"/>
    <hyperlink xmlns:r="http://schemas.openxmlformats.org/officeDocument/2006/relationships" ref="B51" r:id="rId48"/>
    <hyperlink xmlns:r="http://schemas.openxmlformats.org/officeDocument/2006/relationships" ref="B52" r:id="rId49"/>
    <hyperlink xmlns:r="http://schemas.openxmlformats.org/officeDocument/2006/relationships" ref="B53" r:id="rId50"/>
    <hyperlink xmlns:r="http://schemas.openxmlformats.org/officeDocument/2006/relationships" ref="B54" r:id="rId51"/>
    <hyperlink xmlns:r="http://schemas.openxmlformats.org/officeDocument/2006/relationships" ref="B55" r:id="rId52"/>
    <hyperlink xmlns:r="http://schemas.openxmlformats.org/officeDocument/2006/relationships" ref="B56" r:id="rId53"/>
    <hyperlink xmlns:r="http://schemas.openxmlformats.org/officeDocument/2006/relationships" ref="B57" r:id="rId54"/>
    <hyperlink xmlns:r="http://schemas.openxmlformats.org/officeDocument/2006/relationships" ref="B58" r:id="rId55"/>
    <hyperlink xmlns:r="http://schemas.openxmlformats.org/officeDocument/2006/relationships" ref="B59" r:id="rId56"/>
    <hyperlink xmlns:r="http://schemas.openxmlformats.org/officeDocument/2006/relationships" ref="B60" r:id="rId57"/>
    <hyperlink xmlns:r="http://schemas.openxmlformats.org/officeDocument/2006/relationships" ref="B61" r:id="rId58"/>
    <hyperlink xmlns:r="http://schemas.openxmlformats.org/officeDocument/2006/relationships" ref="B62" r:id="rId59"/>
    <hyperlink xmlns:r="http://schemas.openxmlformats.org/officeDocument/2006/relationships" ref="B63" r:id="rId60"/>
    <hyperlink xmlns:r="http://schemas.openxmlformats.org/officeDocument/2006/relationships" ref="B64" r:id="rId61"/>
    <hyperlink xmlns:r="http://schemas.openxmlformats.org/officeDocument/2006/relationships" ref="B65" r:id="rId62"/>
    <hyperlink xmlns:r="http://schemas.openxmlformats.org/officeDocument/2006/relationships" ref="B66" r:id="rId63"/>
    <hyperlink xmlns:r="http://schemas.openxmlformats.org/officeDocument/2006/relationships" ref="B67" r:id="rId64"/>
    <hyperlink xmlns:r="http://schemas.openxmlformats.org/officeDocument/2006/relationships" ref="B68" r:id="rId65"/>
    <hyperlink xmlns:r="http://schemas.openxmlformats.org/officeDocument/2006/relationships" ref="B69" r:id="rId66"/>
    <hyperlink xmlns:r="http://schemas.openxmlformats.org/officeDocument/2006/relationships" ref="B70" r:id="rId67"/>
    <hyperlink xmlns:r="http://schemas.openxmlformats.org/officeDocument/2006/relationships" ref="B71" r:id="rId68"/>
    <hyperlink xmlns:r="http://schemas.openxmlformats.org/officeDocument/2006/relationships" ref="B72" r:id="rId69"/>
    <hyperlink xmlns:r="http://schemas.openxmlformats.org/officeDocument/2006/relationships" ref="B73" r:id="rId70"/>
    <hyperlink xmlns:r="http://schemas.openxmlformats.org/officeDocument/2006/relationships" ref="B74" r:id="rId71"/>
    <hyperlink xmlns:r="http://schemas.openxmlformats.org/officeDocument/2006/relationships" ref="B75" r:id="rId72"/>
    <hyperlink xmlns:r="http://schemas.openxmlformats.org/officeDocument/2006/relationships" ref="B76" r:id="rId73"/>
    <hyperlink xmlns:r="http://schemas.openxmlformats.org/officeDocument/2006/relationships" ref="B77" r:id="rId74"/>
    <hyperlink xmlns:r="http://schemas.openxmlformats.org/officeDocument/2006/relationships" ref="B78" r:id="rId75"/>
    <hyperlink xmlns:r="http://schemas.openxmlformats.org/officeDocument/2006/relationships" ref="B79" r:id="rId76"/>
    <hyperlink xmlns:r="http://schemas.openxmlformats.org/officeDocument/2006/relationships" ref="B80" r:id="rId77"/>
    <hyperlink xmlns:r="http://schemas.openxmlformats.org/officeDocument/2006/relationships" ref="B81" r:id="rId78"/>
    <hyperlink xmlns:r="http://schemas.openxmlformats.org/officeDocument/2006/relationships" ref="B82" r:id="rId79"/>
    <hyperlink xmlns:r="http://schemas.openxmlformats.org/officeDocument/2006/relationships" ref="B83" r:id="rId80"/>
    <hyperlink xmlns:r="http://schemas.openxmlformats.org/officeDocument/2006/relationships" ref="B84" r:id="rId81"/>
    <hyperlink xmlns:r="http://schemas.openxmlformats.org/officeDocument/2006/relationships" ref="B85" r:id="rId82"/>
    <hyperlink xmlns:r="http://schemas.openxmlformats.org/officeDocument/2006/relationships" ref="B86" r:id="rId83"/>
    <hyperlink xmlns:r="http://schemas.openxmlformats.org/officeDocument/2006/relationships" ref="B87" r:id="rId84"/>
    <hyperlink xmlns:r="http://schemas.openxmlformats.org/officeDocument/2006/relationships" ref="B88" r:id="rId85"/>
    <hyperlink xmlns:r="http://schemas.openxmlformats.org/officeDocument/2006/relationships" ref="B89" r:id="rId86"/>
    <hyperlink xmlns:r="http://schemas.openxmlformats.org/officeDocument/2006/relationships" ref="B90" r:id="rId87"/>
    <hyperlink xmlns:r="http://schemas.openxmlformats.org/officeDocument/2006/relationships" ref="B91" r:id="rId88"/>
    <hyperlink xmlns:r="http://schemas.openxmlformats.org/officeDocument/2006/relationships" ref="B92" r:id="rId89"/>
    <hyperlink xmlns:r="http://schemas.openxmlformats.org/officeDocument/2006/relationships" ref="B93" r:id="rId90"/>
    <hyperlink xmlns:r="http://schemas.openxmlformats.org/officeDocument/2006/relationships" ref="B94" r:id="rId91"/>
    <hyperlink xmlns:r="http://schemas.openxmlformats.org/officeDocument/2006/relationships" ref="B95" r:id="rId92"/>
    <hyperlink xmlns:r="http://schemas.openxmlformats.org/officeDocument/2006/relationships" ref="B96" r:id="rId93"/>
    <hyperlink xmlns:r="http://schemas.openxmlformats.org/officeDocument/2006/relationships" ref="B97" r:id="rId94"/>
    <hyperlink xmlns:r="http://schemas.openxmlformats.org/officeDocument/2006/relationships" ref="B98" r:id="rId95"/>
    <hyperlink xmlns:r="http://schemas.openxmlformats.org/officeDocument/2006/relationships" ref="B99" r:id="rId96"/>
    <hyperlink xmlns:r="http://schemas.openxmlformats.org/officeDocument/2006/relationships" ref="B100" r:id="rId97"/>
    <hyperlink xmlns:r="http://schemas.openxmlformats.org/officeDocument/2006/relationships" ref="B101" r:id="rId98"/>
    <hyperlink xmlns:r="http://schemas.openxmlformats.org/officeDocument/2006/relationships" ref="B102" r:id="rId99"/>
    <hyperlink xmlns:r="http://schemas.openxmlformats.org/officeDocument/2006/relationships" ref="B103" r:id="rId100"/>
    <hyperlink xmlns:r="http://schemas.openxmlformats.org/officeDocument/2006/relationships" ref="B104" r:id="rId101"/>
    <hyperlink xmlns:r="http://schemas.openxmlformats.org/officeDocument/2006/relationships" ref="B105" r:id="rId102"/>
    <hyperlink xmlns:r="http://schemas.openxmlformats.org/officeDocument/2006/relationships" ref="B106" r:id="rId103"/>
    <hyperlink xmlns:r="http://schemas.openxmlformats.org/officeDocument/2006/relationships" ref="B107" r:id="rId104"/>
    <hyperlink xmlns:r="http://schemas.openxmlformats.org/officeDocument/2006/relationships" ref="B108" r:id="rId105"/>
    <hyperlink xmlns:r="http://schemas.openxmlformats.org/officeDocument/2006/relationships" ref="B109" r:id="rId106"/>
    <hyperlink xmlns:r="http://schemas.openxmlformats.org/officeDocument/2006/relationships" ref="B110" r:id="rId107"/>
    <hyperlink xmlns:r="http://schemas.openxmlformats.org/officeDocument/2006/relationships" ref="B111" r:id="rId108"/>
    <hyperlink xmlns:r="http://schemas.openxmlformats.org/officeDocument/2006/relationships" ref="B112" r:id="rId109"/>
    <hyperlink xmlns:r="http://schemas.openxmlformats.org/officeDocument/2006/relationships" ref="B113" r:id="rId110"/>
    <hyperlink xmlns:r="http://schemas.openxmlformats.org/officeDocument/2006/relationships" ref="B114" r:id="rId111"/>
    <hyperlink xmlns:r="http://schemas.openxmlformats.org/officeDocument/2006/relationships" ref="B115" r:id="rId11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4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80" customWidth="1" min="5" max="5"/>
  </cols>
  <sheetData>
    <row r="1">
      <c r="A1" s="1" t="inlineStr">
        <is>
          <t>同一套規則回算 2026-09-22 收市嘅名單，對比 2026-09-23</t>
        </is>
      </c>
    </row>
    <row r="3" ht="42" customHeight="1">
      <c r="A3" s="4" t="inlineStr">
        <is>
          <t>類別</t>
        </is>
      </c>
      <c r="B3" s="4" t="inlineStr">
        <is>
          <t>代號</t>
        </is>
      </c>
      <c r="C3" s="4" t="inlineStr">
        <is>
          <t>2026-09-22 排名</t>
        </is>
      </c>
      <c r="D3" s="4" t="inlineStr">
        <is>
          <t>2026-09-23 排名</t>
        </is>
      </c>
      <c r="E3" s="4" t="inlineStr">
        <is>
          <t>說明</t>
        </is>
      </c>
    </row>
    <row r="4">
      <c r="A4" s="2" t="inlineStr">
        <is>
          <t>兩日都上榜</t>
        </is>
      </c>
      <c r="B4" s="5" t="inlineStr">
        <is>
          <t>VEEV</t>
        </is>
      </c>
      <c r="C4" s="14" t="n">
        <v>16</v>
      </c>
      <c r="D4" s="14" t="n">
        <v>1</v>
      </c>
      <c r="E4" s="3" t="inlineStr"/>
    </row>
    <row r="5">
      <c r="A5" s="2" t="inlineStr">
        <is>
          <t>兩日都上榜</t>
        </is>
      </c>
      <c r="B5" s="5" t="inlineStr">
        <is>
          <t>ESTC</t>
        </is>
      </c>
      <c r="C5" s="14" t="n">
        <v>4</v>
      </c>
      <c r="D5" s="14" t="n">
        <v>4</v>
      </c>
      <c r="E5" s="3" t="inlineStr"/>
    </row>
    <row r="6">
      <c r="A6" s="2" t="inlineStr">
        <is>
          <t>兩日都上榜</t>
        </is>
      </c>
      <c r="B6" s="5" t="inlineStr">
        <is>
          <t>NOW</t>
        </is>
      </c>
      <c r="C6" s="14" t="n">
        <v>13</v>
      </c>
      <c r="D6" s="14" t="n">
        <v>6</v>
      </c>
      <c r="E6" s="3" t="inlineStr"/>
    </row>
    <row r="7">
      <c r="A7" s="2" t="inlineStr">
        <is>
          <t>兩日都上榜</t>
        </is>
      </c>
      <c r="B7" s="5" t="inlineStr">
        <is>
          <t>HPQ</t>
        </is>
      </c>
      <c r="C7" s="14" t="n">
        <v>3</v>
      </c>
      <c r="D7" s="14" t="n">
        <v>7</v>
      </c>
      <c r="E7" s="3" t="inlineStr"/>
    </row>
    <row r="8">
      <c r="A8" s="2" t="inlineStr">
        <is>
          <t>兩日都上榜</t>
        </is>
      </c>
      <c r="B8" s="5" t="inlineStr">
        <is>
          <t>PLSE</t>
        </is>
      </c>
      <c r="C8" s="14" t="n">
        <v>9</v>
      </c>
      <c r="D8" s="14" t="n">
        <v>8</v>
      </c>
      <c r="E8" s="3" t="inlineStr"/>
    </row>
    <row r="9">
      <c r="A9" s="2" t="inlineStr">
        <is>
          <t>兩日都上榜</t>
        </is>
      </c>
      <c r="B9" s="5" t="inlineStr">
        <is>
          <t>SNOW</t>
        </is>
      </c>
      <c r="C9" s="14" t="n">
        <v>11</v>
      </c>
      <c r="D9" s="14" t="n">
        <v>11</v>
      </c>
      <c r="E9" s="3" t="inlineStr"/>
    </row>
    <row r="10">
      <c r="A10" s="2" t="inlineStr">
        <is>
          <t>兩日都上榜</t>
        </is>
      </c>
      <c r="B10" s="5" t="inlineStr">
        <is>
          <t>AMPL</t>
        </is>
      </c>
      <c r="C10" s="14" t="n">
        <v>8</v>
      </c>
      <c r="D10" s="14" t="n">
        <v>12</v>
      </c>
      <c r="E10" s="3" t="inlineStr"/>
    </row>
    <row r="11">
      <c r="A11" s="2" t="inlineStr">
        <is>
          <t>兩日都上榜</t>
        </is>
      </c>
      <c r="B11" s="5" t="inlineStr">
        <is>
          <t>ZETA</t>
        </is>
      </c>
      <c r="C11" s="14" t="n">
        <v>5</v>
      </c>
      <c r="D11" s="14" t="n">
        <v>14</v>
      </c>
      <c r="E11" s="3" t="inlineStr"/>
    </row>
    <row r="12">
      <c r="A12" s="2" t="inlineStr">
        <is>
          <t>兩日都上榜</t>
        </is>
      </c>
      <c r="B12" s="5" t="inlineStr">
        <is>
          <t>DINO</t>
        </is>
      </c>
      <c r="C12" s="14" t="n">
        <v>7</v>
      </c>
      <c r="D12" s="14" t="n">
        <v>15</v>
      </c>
      <c r="E12" s="3" t="inlineStr"/>
    </row>
    <row r="13">
      <c r="A13" s="2" t="inlineStr">
        <is>
          <t>兩日都上榜</t>
        </is>
      </c>
      <c r="B13" s="5" t="inlineStr">
        <is>
          <t>VLO</t>
        </is>
      </c>
      <c r="C13" s="14" t="n">
        <v>18</v>
      </c>
      <c r="D13" s="14" t="n">
        <v>17</v>
      </c>
      <c r="E13" s="3" t="inlineStr"/>
    </row>
    <row r="14">
      <c r="A14" s="2" t="inlineStr">
        <is>
          <t>兩日都上榜</t>
        </is>
      </c>
      <c r="B14" s="5" t="inlineStr">
        <is>
          <t>MPC</t>
        </is>
      </c>
      <c r="C14" s="14" t="n">
        <v>14</v>
      </c>
      <c r="D14" s="14" t="n">
        <v>20</v>
      </c>
      <c r="E14" s="3" t="inlineStr"/>
    </row>
    <row r="15">
      <c r="A15" s="2" t="inlineStr">
        <is>
          <t>兩日都上榜</t>
        </is>
      </c>
      <c r="B15" s="5" t="inlineStr">
        <is>
          <t>DJCO</t>
        </is>
      </c>
      <c r="C15" s="14" t="n">
        <v>31</v>
      </c>
      <c r="D15" s="14" t="n">
        <v>23</v>
      </c>
      <c r="E15" s="3" t="inlineStr"/>
    </row>
    <row r="16">
      <c r="A16" s="2" t="inlineStr">
        <is>
          <t>兩日都上榜</t>
        </is>
      </c>
      <c r="B16" s="5" t="inlineStr">
        <is>
          <t>PSX</t>
        </is>
      </c>
      <c r="C16" s="14" t="n">
        <v>24</v>
      </c>
      <c r="D16" s="14" t="n">
        <v>24</v>
      </c>
      <c r="E16" s="3" t="inlineStr"/>
    </row>
    <row r="17">
      <c r="A17" s="2" t="inlineStr">
        <is>
          <t>兩日都上榜</t>
        </is>
      </c>
      <c r="B17" s="5" t="inlineStr">
        <is>
          <t>LPG</t>
        </is>
      </c>
      <c r="C17" s="14" t="n">
        <v>27</v>
      </c>
      <c r="D17" s="14" t="n">
        <v>25</v>
      </c>
      <c r="E17" s="3" t="inlineStr"/>
    </row>
    <row r="18">
      <c r="A18" s="2" t="inlineStr">
        <is>
          <t>兩日都上榜</t>
        </is>
      </c>
      <c r="B18" s="5" t="inlineStr">
        <is>
          <t>CBLL</t>
        </is>
      </c>
      <c r="C18" s="14" t="n">
        <v>22</v>
      </c>
      <c r="D18" s="14" t="n">
        <v>28</v>
      </c>
      <c r="E18" s="3" t="inlineStr"/>
    </row>
    <row r="19">
      <c r="A19" s="2" t="inlineStr">
        <is>
          <t>今日新上榜</t>
        </is>
      </c>
      <c r="B19" s="25" t="inlineStr">
        <is>
          <t>NUTX</t>
        </is>
      </c>
      <c r="C19" s="14" t="n"/>
      <c r="D19" s="14" t="n">
        <v>2</v>
      </c>
      <c r="E19" s="3" t="inlineStr">
        <is>
          <t>上日：形態唔過 S5 回到20MA</t>
        </is>
      </c>
    </row>
    <row r="20">
      <c r="A20" s="2" t="inlineStr">
        <is>
          <t>今日新上榜</t>
        </is>
      </c>
      <c r="B20" s="25" t="inlineStr">
        <is>
          <t>CLMT</t>
        </is>
      </c>
      <c r="C20" s="14" t="n"/>
      <c r="D20" s="14" t="n">
        <v>3</v>
      </c>
      <c r="E20" s="3" t="inlineStr">
        <is>
          <t>上日：形態唔過 S5 回到20MA</t>
        </is>
      </c>
    </row>
    <row r="21">
      <c r="A21" s="2" t="inlineStr">
        <is>
          <t>今日新上榜</t>
        </is>
      </c>
      <c r="B21" s="25" t="inlineStr">
        <is>
          <t>NEO</t>
        </is>
      </c>
      <c r="C21" s="14" t="n"/>
      <c r="D21" s="14" t="n">
        <v>5</v>
      </c>
      <c r="E21" s="3" t="inlineStr">
        <is>
          <t>上日：形態唔過 S5 回到20MA</t>
        </is>
      </c>
    </row>
    <row r="22">
      <c r="A22" s="2" t="inlineStr">
        <is>
          <t>今日新上榜</t>
        </is>
      </c>
      <c r="B22" s="25" t="inlineStr">
        <is>
          <t>IRD</t>
        </is>
      </c>
      <c r="C22" s="14" t="n"/>
      <c r="D22" s="14" t="n">
        <v>9</v>
      </c>
      <c r="E22" s="3" t="inlineStr">
        <is>
          <t>上日：形態唔過 S5 回到20MA</t>
        </is>
      </c>
    </row>
    <row r="23">
      <c r="A23" s="2" t="inlineStr">
        <is>
          <t>今日新上榜</t>
        </is>
      </c>
      <c r="B23" s="25" t="inlineStr">
        <is>
          <t>AMWL</t>
        </is>
      </c>
      <c r="C23" s="14" t="n"/>
      <c r="D23" s="14" t="n">
        <v>10</v>
      </c>
      <c r="E23" s="3" t="inlineStr">
        <is>
          <t>上日：形態唔過 S5 回到20MA</t>
        </is>
      </c>
    </row>
    <row r="24">
      <c r="A24" s="2" t="inlineStr">
        <is>
          <t>今日新上榜</t>
        </is>
      </c>
      <c r="B24" s="25" t="inlineStr">
        <is>
          <t>DHX</t>
        </is>
      </c>
      <c r="C24" s="14" t="n"/>
      <c r="D24" s="14" t="n">
        <v>13</v>
      </c>
      <c r="E24" s="3" t="inlineStr">
        <is>
          <t>上日：形態唔過 S5 回到20MA</t>
        </is>
      </c>
    </row>
    <row r="25">
      <c r="A25" s="2" t="inlineStr">
        <is>
          <t>今日新上榜</t>
        </is>
      </c>
      <c r="B25" s="25" t="inlineStr">
        <is>
          <t>MGNI</t>
        </is>
      </c>
      <c r="C25" s="14" t="n"/>
      <c r="D25" s="14" t="n">
        <v>16</v>
      </c>
      <c r="E25" s="3" t="inlineStr">
        <is>
          <t>上日：形態唔過 S5 回到20MA</t>
        </is>
      </c>
    </row>
    <row r="26">
      <c r="A26" s="2" t="inlineStr">
        <is>
          <t>今日新上榜</t>
        </is>
      </c>
      <c r="B26" s="25" t="inlineStr">
        <is>
          <t>SABR</t>
        </is>
      </c>
      <c r="C26" s="14" t="n"/>
      <c r="D26" s="14" t="n">
        <v>18</v>
      </c>
      <c r="E26" s="3" t="inlineStr">
        <is>
          <t>上日：形態唔過 S2 近期高位、S3 回調深度、S5 回到20MA</t>
        </is>
      </c>
    </row>
    <row r="27">
      <c r="A27" s="2" t="inlineStr">
        <is>
          <t>今日新上榜</t>
        </is>
      </c>
      <c r="B27" s="25" t="inlineStr">
        <is>
          <t>VIR</t>
        </is>
      </c>
      <c r="C27" s="14" t="n"/>
      <c r="D27" s="14" t="n">
        <v>19</v>
      </c>
      <c r="E27" s="3" t="inlineStr">
        <is>
          <t>上日：形態唔過 S3 回調深度、S5 回到20MA</t>
        </is>
      </c>
    </row>
    <row r="28">
      <c r="A28" s="2" t="inlineStr">
        <is>
          <t>今日新上榜</t>
        </is>
      </c>
      <c r="B28" s="25" t="inlineStr">
        <is>
          <t>SGP</t>
        </is>
      </c>
      <c r="C28" s="14" t="n"/>
      <c r="D28" s="14" t="n">
        <v>21</v>
      </c>
      <c r="E28" s="3" t="inlineStr">
        <is>
          <t>上日：形態唔過 S3 回調深度</t>
        </is>
      </c>
    </row>
    <row r="29">
      <c r="A29" s="2" t="inlineStr">
        <is>
          <t>今日新上榜</t>
        </is>
      </c>
      <c r="B29" s="25" t="inlineStr">
        <is>
          <t>ANGX</t>
        </is>
      </c>
      <c r="C29" s="14" t="n"/>
      <c r="D29" s="14" t="n">
        <v>22</v>
      </c>
      <c r="E29" s="3" t="inlineStr">
        <is>
          <t>上日：形態唔過 S5 回到20MA</t>
        </is>
      </c>
    </row>
    <row r="30">
      <c r="A30" s="2" t="inlineStr">
        <is>
          <t>今日新上榜</t>
        </is>
      </c>
      <c r="B30" s="25" t="inlineStr">
        <is>
          <t>REPX</t>
        </is>
      </c>
      <c r="C30" s="14" t="n"/>
      <c r="D30" s="14" t="n">
        <v>26</v>
      </c>
      <c r="E30" s="3" t="inlineStr">
        <is>
          <t>上日：動能未入頭 10%</t>
        </is>
      </c>
    </row>
    <row r="31">
      <c r="A31" s="2" t="inlineStr">
        <is>
          <t>今日新上榜</t>
        </is>
      </c>
      <c r="B31" s="25" t="inlineStr">
        <is>
          <t>APA</t>
        </is>
      </c>
      <c r="C31" s="14" t="n"/>
      <c r="D31" s="14" t="n">
        <v>27</v>
      </c>
      <c r="E31" s="3" t="inlineStr">
        <is>
          <t>上日：形態唔過 S5 回到20MA動能未入頭 10%</t>
        </is>
      </c>
    </row>
    <row r="32">
      <c r="A32" s="2" t="inlineStr">
        <is>
          <t>今日跌出</t>
        </is>
      </c>
      <c r="B32" s="19" t="inlineStr">
        <is>
          <t>BDSX</t>
        </is>
      </c>
      <c r="C32" s="14" t="n">
        <v>1</v>
      </c>
      <c r="D32" s="14" t="n"/>
      <c r="E32" s="3" t="inlineStr">
        <is>
          <t>今日：形態唔過：S5 回到20MA（距 MA20 +6.2%、距高位 -4.3%）</t>
        </is>
      </c>
    </row>
    <row r="33">
      <c r="A33" s="2" t="inlineStr">
        <is>
          <t>今日跌出</t>
        </is>
      </c>
      <c r="B33" s="19" t="inlineStr">
        <is>
          <t>PYXS</t>
        </is>
      </c>
      <c r="C33" s="14" t="n">
        <v>2</v>
      </c>
      <c r="D33" s="14" t="n"/>
      <c r="E33" s="3" t="inlineStr">
        <is>
          <t>今日：形態唔過：S5 回到20MA（距 MA20 -5.5%、距高位 -17.2%）</t>
        </is>
      </c>
    </row>
    <row r="34">
      <c r="A34" s="2" t="inlineStr">
        <is>
          <t>今日跌出</t>
        </is>
      </c>
      <c r="B34" s="19" t="inlineStr">
        <is>
          <t>DOCU</t>
        </is>
      </c>
      <c r="C34" s="14" t="n">
        <v>6</v>
      </c>
      <c r="D34" s="14" t="n"/>
      <c r="E34" s="3" t="inlineStr">
        <is>
          <t>今日：形態唔過：S5 回到20MA（距 MA20 +4.1%、距高位 -3.3%）</t>
        </is>
      </c>
    </row>
    <row r="35">
      <c r="A35" s="2" t="inlineStr">
        <is>
          <t>今日跌出</t>
        </is>
      </c>
      <c r="B35" s="19" t="inlineStr">
        <is>
          <t>FET</t>
        </is>
      </c>
      <c r="C35" s="14" t="n">
        <v>10</v>
      </c>
      <c r="D35" s="14" t="n"/>
      <c r="E35" s="3" t="inlineStr">
        <is>
          <t>今日：形態唔過：S2 近期高位（距 MA20 +2.0%、距高位 -4.2%）</t>
        </is>
      </c>
    </row>
    <row r="36">
      <c r="A36" s="2" t="inlineStr">
        <is>
          <t>今日跌出</t>
        </is>
      </c>
      <c r="B36" s="19" t="inlineStr">
        <is>
          <t>HNST</t>
        </is>
      </c>
      <c r="C36" s="14" t="n">
        <v>12</v>
      </c>
      <c r="D36" s="14" t="n"/>
      <c r="E36" s="3" t="inlineStr">
        <is>
          <t>今日：形態唔過：S5 回到20MA（距 MA20 -6.5%、距高位 -12.9%）</t>
        </is>
      </c>
    </row>
    <row r="37">
      <c r="A37" s="2" t="inlineStr">
        <is>
          <t>今日跌出</t>
        </is>
      </c>
      <c r="B37" s="19" t="inlineStr">
        <is>
          <t>NSIT</t>
        </is>
      </c>
      <c r="C37" s="14" t="n">
        <v>15</v>
      </c>
      <c r="D37" s="14" t="n"/>
      <c r="E37" s="3" t="inlineStr">
        <is>
          <t>今日：形態唔過：S4 曾經拉開（距 MA20 +0.5%、距高位 -4.3%）</t>
        </is>
      </c>
    </row>
    <row r="38">
      <c r="A38" s="2" t="inlineStr">
        <is>
          <t>今日跌出</t>
        </is>
      </c>
      <c r="B38" s="19" t="inlineStr">
        <is>
          <t>RDVT</t>
        </is>
      </c>
      <c r="C38" s="14" t="n">
        <v>17</v>
      </c>
      <c r="D38" s="14" t="n"/>
      <c r="E38" s="3" t="inlineStr">
        <is>
          <t>今日：形態唔過：S3 回調深度（距 MA20 +2.1%、距高位 -1.7%）</t>
        </is>
      </c>
    </row>
    <row r="39">
      <c r="A39" s="2" t="inlineStr">
        <is>
          <t>今日跌出</t>
        </is>
      </c>
      <c r="B39" s="19" t="inlineStr">
        <is>
          <t>DK</t>
        </is>
      </c>
      <c r="C39" s="14" t="n">
        <v>19</v>
      </c>
      <c r="D39" s="14" t="n"/>
      <c r="E39" s="3" t="inlineStr">
        <is>
          <t>今日：形態唔過：S5 回到20MA（距 MA20 -3.0%、距高位 -11.4%）</t>
        </is>
      </c>
    </row>
    <row r="40">
      <c r="A40" s="2" t="inlineStr">
        <is>
          <t>今日跌出</t>
        </is>
      </c>
      <c r="B40" s="19" t="inlineStr">
        <is>
          <t>SRPT</t>
        </is>
      </c>
      <c r="C40" s="14" t="n">
        <v>20</v>
      </c>
      <c r="D40" s="14" t="n"/>
      <c r="E40" s="3" t="inlineStr">
        <is>
          <t>今日：形態唔過：S5 回到20MA；動能：四個時間框都唔入頭 10%（距 MA20 -9.5%、距高位 -18.4%）</t>
        </is>
      </c>
    </row>
    <row r="41">
      <c r="A41" s="2" t="inlineStr">
        <is>
          <t>今日跌出</t>
        </is>
      </c>
      <c r="B41" s="19" t="inlineStr">
        <is>
          <t>PAYC</t>
        </is>
      </c>
      <c r="C41" s="14" t="n">
        <v>21</v>
      </c>
      <c r="D41" s="14" t="n"/>
      <c r="E41" s="3" t="inlineStr">
        <is>
          <t>今日：形態唔過：S1 趨勢（距 MA20 -2.9%、距高位 -7.8%）</t>
        </is>
      </c>
    </row>
    <row r="42">
      <c r="A42" s="2" t="inlineStr">
        <is>
          <t>今日跌出</t>
        </is>
      </c>
      <c r="B42" s="19" t="inlineStr">
        <is>
          <t>HRMY</t>
        </is>
      </c>
      <c r="C42" s="14" t="n">
        <v>23</v>
      </c>
      <c r="D42" s="14" t="n"/>
      <c r="E42" s="3" t="inlineStr">
        <is>
          <t>今日：動能：四個時間框都唔入頭 10%（距 MA20 -2.2%、距高位 -5.5%）</t>
        </is>
      </c>
    </row>
    <row r="43">
      <c r="A43" s="2" t="inlineStr">
        <is>
          <t>今日跌出</t>
        </is>
      </c>
      <c r="B43" s="19" t="inlineStr">
        <is>
          <t>MANH</t>
        </is>
      </c>
      <c r="C43" s="14" t="n">
        <v>25</v>
      </c>
      <c r="D43" s="14" t="n"/>
      <c r="E43" s="3" t="inlineStr">
        <is>
          <t>今日：形態唔過：S1 趨勢（距 MA20 -1.2%、距高位 -6.0%）</t>
        </is>
      </c>
    </row>
    <row r="44">
      <c r="A44" s="2" t="inlineStr">
        <is>
          <t>今日跌出</t>
        </is>
      </c>
      <c r="B44" s="19" t="inlineStr">
        <is>
          <t>AII</t>
        </is>
      </c>
      <c r="C44" s="14" t="n">
        <v>26</v>
      </c>
      <c r="D44" s="14" t="n"/>
      <c r="E44" s="3" t="inlineStr">
        <is>
          <t>今日：形態唔過：S5 回到20MA（距 MA20 -4.2%、距高位 -6.7%）</t>
        </is>
      </c>
    </row>
    <row r="45">
      <c r="A45" s="2" t="inlineStr">
        <is>
          <t>今日跌出</t>
        </is>
      </c>
      <c r="B45" s="19" t="inlineStr">
        <is>
          <t>LFST</t>
        </is>
      </c>
      <c r="C45" s="14" t="n">
        <v>28</v>
      </c>
      <c r="D45" s="14" t="n"/>
      <c r="E45" s="3" t="inlineStr">
        <is>
          <t>今日：形態唔過：S5 回到20MA（距 MA20 -4.6%、距高位 -9.7%）</t>
        </is>
      </c>
    </row>
    <row r="46">
      <c r="A46" s="2" t="inlineStr">
        <is>
          <t>今日跌出</t>
        </is>
      </c>
      <c r="B46" s="19" t="inlineStr">
        <is>
          <t>TARS</t>
        </is>
      </c>
      <c r="C46" s="14" t="n">
        <v>29</v>
      </c>
      <c r="D46" s="14" t="n"/>
      <c r="E46" s="3" t="inlineStr">
        <is>
          <t>今日：形態唔過：S5 回到20MA（距 MA20 -5.5%、距高位 -18.2%）</t>
        </is>
      </c>
    </row>
    <row r="47">
      <c r="A47" s="2" t="inlineStr">
        <is>
          <t>今日跌出</t>
        </is>
      </c>
      <c r="B47" s="19" t="inlineStr">
        <is>
          <t>MMED</t>
        </is>
      </c>
      <c r="C47" s="14" t="n">
        <v>30</v>
      </c>
      <c r="D47" s="14" t="n"/>
      <c r="E47" s="3" t="inlineStr">
        <is>
          <t>今日：形態唔過：S5 回到20MA（距 MA20 -5.9%、距高位 -13.8%）</t>
        </is>
      </c>
    </row>
    <row r="48">
      <c r="A48" s="2" t="inlineStr">
        <is>
          <t>今日跌出</t>
        </is>
      </c>
      <c r="B48" s="19" t="inlineStr">
        <is>
          <t>HRTG</t>
        </is>
      </c>
      <c r="C48" s="14" t="n">
        <v>32</v>
      </c>
      <c r="D48" s="14" t="n"/>
      <c r="E48" s="3" t="inlineStr">
        <is>
          <t>今日：形態唔過：S4 曾經拉開、S5 回到20MA（距 MA20 -3.6%、距高位 -6.6%）</t>
        </is>
      </c>
    </row>
    <row r="49">
      <c r="A49" s="2" t="inlineStr">
        <is>
          <t>今日跌出</t>
        </is>
      </c>
      <c r="B49" s="19" t="inlineStr">
        <is>
          <t>SLDE</t>
        </is>
      </c>
      <c r="C49" s="14" t="n">
        <v>33</v>
      </c>
      <c r="D49" s="14" t="n"/>
      <c r="E49" s="3" t="inlineStr">
        <is>
          <t>今日：形態唔過：S5 回到20MA；動能：四個時間框都唔入頭 10%（距 MA20 -5.9%、距高位 -13.3%）</t>
        </is>
      </c>
    </row>
  </sheetData>
  <autoFilter ref="A3:E3"/>
  <hyperlinks>
    <hyperlink xmlns:r="http://schemas.openxmlformats.org/officeDocument/2006/relationships" ref="B4" r:id="rId1"/>
    <hyperlink xmlns:r="http://schemas.openxmlformats.org/officeDocument/2006/relationships" ref="B5" r:id="rId2"/>
    <hyperlink xmlns:r="http://schemas.openxmlformats.org/officeDocument/2006/relationships" ref="B6" r:id="rId3"/>
    <hyperlink xmlns:r="http://schemas.openxmlformats.org/officeDocument/2006/relationships" ref="B7" r:id="rId4"/>
    <hyperlink xmlns:r="http://schemas.openxmlformats.org/officeDocument/2006/relationships" ref="B8" r:id="rId5"/>
    <hyperlink xmlns:r="http://schemas.openxmlformats.org/officeDocument/2006/relationships" ref="B9" r:id="rId6"/>
    <hyperlink xmlns:r="http://schemas.openxmlformats.org/officeDocument/2006/relationships" ref="B10" r:id="rId7"/>
    <hyperlink xmlns:r="http://schemas.openxmlformats.org/officeDocument/2006/relationships" ref="B11" r:id="rId8"/>
    <hyperlink xmlns:r="http://schemas.openxmlformats.org/officeDocument/2006/relationships" ref="B12" r:id="rId9"/>
    <hyperlink xmlns:r="http://schemas.openxmlformats.org/officeDocument/2006/relationships" ref="B13" r:id="rId10"/>
    <hyperlink xmlns:r="http://schemas.openxmlformats.org/officeDocument/2006/relationships" ref="B14" r:id="rId11"/>
    <hyperlink xmlns:r="http://schemas.openxmlformats.org/officeDocument/2006/relationships" ref="B15" r:id="rId12"/>
    <hyperlink xmlns:r="http://schemas.openxmlformats.org/officeDocument/2006/relationships" ref="B16" r:id="rId13"/>
    <hyperlink xmlns:r="http://schemas.openxmlformats.org/officeDocument/2006/relationships" ref="B17" r:id="rId14"/>
    <hyperlink xmlns:r="http://schemas.openxmlformats.org/officeDocument/2006/relationships" ref="B18" r:id="rId15"/>
    <hyperlink xmlns:r="http://schemas.openxmlformats.org/officeDocument/2006/relationships" ref="B19" r:id="rId16"/>
    <hyperlink xmlns:r="http://schemas.openxmlformats.org/officeDocument/2006/relationships" ref="B20" r:id="rId17"/>
    <hyperlink xmlns:r="http://schemas.openxmlformats.org/officeDocument/2006/relationships" ref="B21" r:id="rId18"/>
    <hyperlink xmlns:r="http://schemas.openxmlformats.org/officeDocument/2006/relationships" ref="B22" r:id="rId19"/>
    <hyperlink xmlns:r="http://schemas.openxmlformats.org/officeDocument/2006/relationships" ref="B23" r:id="rId20"/>
    <hyperlink xmlns:r="http://schemas.openxmlformats.org/officeDocument/2006/relationships" ref="B24" r:id="rId21"/>
    <hyperlink xmlns:r="http://schemas.openxmlformats.org/officeDocument/2006/relationships" ref="B25" r:id="rId22"/>
    <hyperlink xmlns:r="http://schemas.openxmlformats.org/officeDocument/2006/relationships" ref="B26" r:id="rId23"/>
    <hyperlink xmlns:r="http://schemas.openxmlformats.org/officeDocument/2006/relationships" ref="B27" r:id="rId24"/>
    <hyperlink xmlns:r="http://schemas.openxmlformats.org/officeDocument/2006/relationships" ref="B28" r:id="rId25"/>
    <hyperlink xmlns:r="http://schemas.openxmlformats.org/officeDocument/2006/relationships" ref="B29" r:id="rId26"/>
    <hyperlink xmlns:r="http://schemas.openxmlformats.org/officeDocument/2006/relationships" ref="B30" r:id="rId27"/>
    <hyperlink xmlns:r="http://schemas.openxmlformats.org/officeDocument/2006/relationships" ref="B31" r:id="rId28"/>
    <hyperlink xmlns:r="http://schemas.openxmlformats.org/officeDocument/2006/relationships" ref="B32" r:id="rId29"/>
    <hyperlink xmlns:r="http://schemas.openxmlformats.org/officeDocument/2006/relationships" ref="B33" r:id="rId30"/>
    <hyperlink xmlns:r="http://schemas.openxmlformats.org/officeDocument/2006/relationships" ref="B34" r:id="rId31"/>
    <hyperlink xmlns:r="http://schemas.openxmlformats.org/officeDocument/2006/relationships" ref="B35" r:id="rId32"/>
    <hyperlink xmlns:r="http://schemas.openxmlformats.org/officeDocument/2006/relationships" ref="B36" r:id="rId33"/>
    <hyperlink xmlns:r="http://schemas.openxmlformats.org/officeDocument/2006/relationships" ref="B37" r:id="rId34"/>
    <hyperlink xmlns:r="http://schemas.openxmlformats.org/officeDocument/2006/relationships" ref="B38" r:id="rId35"/>
    <hyperlink xmlns:r="http://schemas.openxmlformats.org/officeDocument/2006/relationships" ref="B39" r:id="rId36"/>
    <hyperlink xmlns:r="http://schemas.openxmlformats.org/officeDocument/2006/relationships" ref="B40" r:id="rId37"/>
    <hyperlink xmlns:r="http://schemas.openxmlformats.org/officeDocument/2006/relationships" ref="B41" r:id="rId38"/>
    <hyperlink xmlns:r="http://schemas.openxmlformats.org/officeDocument/2006/relationships" ref="B42" r:id="rId39"/>
    <hyperlink xmlns:r="http://schemas.openxmlformats.org/officeDocument/2006/relationships" ref="B43" r:id="rId40"/>
    <hyperlink xmlns:r="http://schemas.openxmlformats.org/officeDocument/2006/relationships" ref="B44" r:id="rId41"/>
    <hyperlink xmlns:r="http://schemas.openxmlformats.org/officeDocument/2006/relationships" ref="B45" r:id="rId42"/>
    <hyperlink xmlns:r="http://schemas.openxmlformats.org/officeDocument/2006/relationships" ref="B46" r:id="rId43"/>
    <hyperlink xmlns:r="http://schemas.openxmlformats.org/officeDocument/2006/relationships" ref="B47" r:id="rId44"/>
    <hyperlink xmlns:r="http://schemas.openxmlformats.org/officeDocument/2006/relationships" ref="B48" r:id="rId45"/>
    <hyperlink xmlns:r="http://schemas.openxmlformats.org/officeDocument/2006/relationships" ref="B49" r:id="rId46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14" customWidth="1" min="3" max="3"/>
    <col width="80" customWidth="1" min="4" max="4"/>
    <col width="30" customWidth="1" min="5" max="5"/>
  </cols>
  <sheetData>
    <row r="1">
      <c r="A1" s="1" t="inlineStr">
        <is>
          <t>批判性覆核：規則捉唔到、但會令名單誤導嘅情況</t>
        </is>
      </c>
    </row>
    <row r="3" ht="42" customHeight="1">
      <c r="A3" s="4" t="inlineStr">
        <is>
          <t>代號</t>
        </is>
      </c>
      <c r="B3" s="4" t="inlineStr">
        <is>
          <t>總表排名</t>
        </is>
      </c>
      <c r="C3" s="4" t="inlineStr">
        <is>
          <t>類別</t>
        </is>
      </c>
      <c r="D3" s="4" t="inlineStr">
        <is>
          <t>說明</t>
        </is>
      </c>
      <c r="E3" s="4" t="inlineStr">
        <is>
          <t>處理</t>
        </is>
      </c>
    </row>
    <row r="4">
      <c r="A4" s="5" t="inlineStr">
        <is>
          <t>CLMT</t>
        </is>
      </c>
      <c r="B4" s="14">
        <f>'總表'!A4</f>
        <v/>
      </c>
      <c r="C4" s="2" t="inlineStr">
        <is>
          <t>事件驅動</t>
        </is>
      </c>
      <c r="D4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E4" s="3" t="inlineStr">
        <is>
          <t>保留、標橙底；要當事件交易睇</t>
        </is>
      </c>
    </row>
    <row r="5">
      <c r="A5" s="5" t="inlineStr">
        <is>
          <t>PLSE</t>
        </is>
      </c>
      <c r="B5" s="14">
        <f>'總表'!A9</f>
        <v/>
      </c>
      <c r="C5" s="2" t="inlineStr">
        <is>
          <t>急跌非有序回調</t>
        </is>
      </c>
      <c r="D5" s="3" t="inlineStr">
        <is>
          <t>回調唔係有序回落：期內有一日跌 -10.1%</t>
        </is>
      </c>
      <c r="E5" s="3" t="inlineStr">
        <is>
          <t>保留、標橙底；回調入面有急跌日</t>
        </is>
      </c>
    </row>
    <row r="6">
      <c r="A6" s="5" t="inlineStr">
        <is>
          <t>IRD</t>
        </is>
      </c>
      <c r="B6" s="14">
        <f>'總表'!A10</f>
        <v/>
      </c>
      <c r="C6" s="2" t="inlineStr">
        <is>
          <t>事件驅動</t>
        </is>
      </c>
      <c r="D6" s="3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E6" s="3" t="inlineStr">
        <is>
          <t>保留、標橙底；要當事件交易睇</t>
        </is>
      </c>
    </row>
    <row r="7">
      <c r="A7" s="5" t="inlineStr">
        <is>
          <t>AMWL</t>
        </is>
      </c>
      <c r="B7" s="14">
        <f>'總表'!A11</f>
        <v/>
      </c>
      <c r="C7" s="2" t="inlineStr">
        <is>
          <t>流動性低</t>
        </is>
      </c>
      <c r="D7" s="3" t="inlineStr">
        <is>
          <t>20 日成交額中位數只有 $1.3M（股票池下限 $1M），入市出市都會有滑價</t>
        </is>
      </c>
      <c r="E7" s="3" t="inlineStr">
        <is>
          <t>保留、標橙底；落單注意滑價</t>
        </is>
      </c>
    </row>
    <row r="8">
      <c r="A8" s="5" t="inlineStr">
        <is>
          <t>DHX</t>
        </is>
      </c>
      <c r="B8" s="14">
        <f>'總表'!A14</f>
        <v/>
      </c>
      <c r="C8" s="2" t="inlineStr">
        <is>
          <t>流動性低</t>
        </is>
      </c>
      <c r="D8" s="3" t="inlineStr">
        <is>
          <t>20 日成交額中位數只有 $1.3M（股票池下限 $1M），入市出市都會有滑價</t>
        </is>
      </c>
      <c r="E8" s="3" t="inlineStr">
        <is>
          <t>保留、標橙底；落單注意滑價</t>
        </is>
      </c>
    </row>
    <row r="9">
      <c r="A9" s="5" t="inlineStr">
        <is>
          <t>DINO</t>
        </is>
      </c>
      <c r="B9" s="14">
        <f>'總表'!A16</f>
        <v/>
      </c>
      <c r="C9" s="2" t="inlineStr">
        <is>
          <t>放量跌穿</t>
        </is>
      </c>
      <c r="D9" s="3" t="inlineStr">
        <is>
          <t>今日放量（1.7× 50日均量）收喺 20MA 下面</t>
        </is>
      </c>
      <c r="E9" s="3" t="inlineStr">
        <is>
          <t>保留、標橙底；聽日企唔返 MA20 就當失敗</t>
        </is>
      </c>
    </row>
    <row r="10">
      <c r="A10" s="5" t="inlineStr">
        <is>
          <t>DINO</t>
        </is>
      </c>
      <c r="B10" s="14">
        <f>'總表'!A16</f>
        <v/>
      </c>
      <c r="C10" s="2" t="inlineStr">
        <is>
          <t>事件驅動</t>
        </is>
      </c>
      <c r="D10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E10" s="3" t="inlineStr">
        <is>
          <t>保留、標橙底；要當事件交易睇</t>
        </is>
      </c>
    </row>
    <row r="11">
      <c r="A11" s="5" t="inlineStr">
        <is>
          <t>VLO</t>
        </is>
      </c>
      <c r="B11" s="14">
        <f>'總表'!A18</f>
        <v/>
      </c>
      <c r="C11" s="2" t="inlineStr">
        <is>
          <t>放量跌穿</t>
        </is>
      </c>
      <c r="D11" s="3" t="inlineStr">
        <is>
          <t>今日放量（2.3× 50日均量）收喺 20MA 下面</t>
        </is>
      </c>
      <c r="E11" s="3" t="inlineStr">
        <is>
          <t>保留、標橙底；聽日企唔返 MA20 就當失敗</t>
        </is>
      </c>
    </row>
    <row r="12">
      <c r="A12" s="5" t="inlineStr">
        <is>
          <t>VLO</t>
        </is>
      </c>
      <c r="B12" s="14">
        <f>'總表'!A18</f>
        <v/>
      </c>
      <c r="C12" s="2" t="inlineStr">
        <is>
          <t>事件驅動</t>
        </is>
      </c>
      <c r="D12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E12" s="3" t="inlineStr">
        <is>
          <t>保留、標橙底；要當事件交易睇</t>
        </is>
      </c>
    </row>
    <row r="13">
      <c r="A13" s="5" t="inlineStr">
        <is>
          <t>SABR</t>
        </is>
      </c>
      <c r="B13" s="14">
        <f>'總表'!A19</f>
        <v/>
      </c>
      <c r="C13" s="2" t="inlineStr">
        <is>
          <t>貼近價格下限</t>
        </is>
      </c>
      <c r="D13" s="3" t="inlineStr">
        <is>
          <t>收市 $2.19，貼近股票池 $2 下限；1 個月回報 -3%，靠 2個月 動能上榜</t>
        </is>
      </c>
      <c r="E13" s="3" t="inlineStr">
        <is>
          <t>保留、標橙底</t>
        </is>
      </c>
    </row>
    <row r="14">
      <c r="A14" s="5" t="inlineStr">
        <is>
          <t>MPC</t>
        </is>
      </c>
      <c r="B14" s="14">
        <f>'總表'!A21</f>
        <v/>
      </c>
      <c r="C14" s="2" t="inlineStr">
        <is>
          <t>放量跌穿</t>
        </is>
      </c>
      <c r="D14" s="3" t="inlineStr">
        <is>
          <t>今日放量（1.6× 50日均量）收喺 20MA 下面</t>
        </is>
      </c>
      <c r="E14" s="3" t="inlineStr">
        <is>
          <t>保留、標橙底；聽日企唔返 MA20 就當失敗</t>
        </is>
      </c>
    </row>
    <row r="15">
      <c r="A15" s="5" t="inlineStr">
        <is>
          <t>MPC</t>
        </is>
      </c>
      <c r="B15" s="14">
        <f>'總表'!A21</f>
        <v/>
      </c>
      <c r="C15" s="2" t="inlineStr">
        <is>
          <t>事件驅動</t>
        </is>
      </c>
      <c r="D15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E15" s="3" t="inlineStr">
        <is>
          <t>保留、標橙底；要當事件交易睇</t>
        </is>
      </c>
    </row>
    <row r="16">
      <c r="A16" s="5" t="inlineStr">
        <is>
          <t>SGP</t>
        </is>
      </c>
      <c r="B16" s="14">
        <f>'總表'!A22</f>
        <v/>
      </c>
      <c r="C16" s="2" t="inlineStr">
        <is>
          <t>流動性低</t>
        </is>
      </c>
      <c r="D16" s="3" t="inlineStr">
        <is>
          <t>20 日成交額中位數只有 $3.3M（股票池下限 $1M），入市出市都會有滑價</t>
        </is>
      </c>
      <c r="E16" s="3" t="inlineStr">
        <is>
          <t>保留、標橙底；落單注意滑價</t>
        </is>
      </c>
    </row>
    <row r="17">
      <c r="A17" s="5" t="inlineStr">
        <is>
          <t>PSX</t>
        </is>
      </c>
      <c r="B17" s="14">
        <f>'總表'!A25</f>
        <v/>
      </c>
      <c r="C17" s="2" t="inlineStr">
        <is>
          <t>事件驅動</t>
        </is>
      </c>
      <c r="D17" s="3" t="inlineStr">
        <is>
          <t>09-22 Jefferies 將 VLO、MPC 由買入降至持有（目標 $401／$413，理由係大升後估值偏高）；同日 Bloomberg 報道柴油出口禁令提案獲政治支持，煉油股升勢停頓。回調有明確評級同政策催化，唔係單純技術性回吐。（五隻 21 日相關系數中位數 +0.89，名單其餘 +0.08）</t>
        </is>
      </c>
      <c r="E17" s="3" t="inlineStr">
        <is>
          <t>保留、標橙底；要當事件交易睇</t>
        </is>
      </c>
    </row>
    <row r="19" ht="45" customHeight="1">
      <c r="A19" s="22" t="inlineStr">
        <is>
          <t>F1</t>
        </is>
      </c>
      <c r="B19" s="26" t="inlineStr">
        <is>
          <t>規則轉換：新舊名單幾乎唔重疊（預期之內）</t>
        </is>
      </c>
      <c r="D19" s="3" t="inlineStr">
        <is>
          <t>R20（10MA 上升＋底部遞升）89 隻同 R21.00 28 隻只重疊 5 隻（NUTX、NOW、HPQ、SGP、REPX）。R20 其餘 84 隻今次唔上榜，最常見原因：動能唔入頭 10% 31 隻、S2 近期高位 55 隻、S5 未回到 20MA 49 隻（一隻可以有幾個原因）。舊規則捉築底轉強，新規則捉強勢股回調，兩者本身就係兩批股票。</t>
        </is>
      </c>
      <c r="E19" s="3" t="inlineStr">
        <is>
          <t>逐隻原因列喺「同R20對照」頁</t>
        </is>
      </c>
    </row>
    <row r="20" ht="45" customHeight="1">
      <c r="A20" s="22" t="inlineStr">
        <is>
          <t>F2</t>
        </is>
      </c>
      <c r="B20" s="26" t="inlineStr">
        <is>
          <t>名單每日換手大約一半 —— 呢個係「今日嘅買位」名單，唔係持倉名單</t>
        </is>
      </c>
      <c r="D20" s="3" t="inlineStr">
        <is>
          <t>用同一套規則回算 2026-09-22 收市：33 隻；今日 28 隻，兩日都有 15 隻，新上榜 13、跌出 18。跌出嗰 18 隻入面 12 隻係 S5 唔過（當中 10 隻收市已經跌穿 MA20 超過 3%）。股票回到 20MA 通常只停留幾日，之後一係反彈離開、一係跌穿，所以名單天生換得快；R1–R20 嘅舊名單可以一連幾星期都喺度，兩者唔好比較持續性。</t>
        </is>
      </c>
      <c r="E20" s="3" t="inlineStr">
        <is>
          <t>每隻嘅上日狀態列喺「同上日對照」頁</t>
        </is>
      </c>
    </row>
    <row r="21" ht="45" customHeight="1">
      <c r="A21" s="22" t="inlineStr">
        <is>
          <t>F3</t>
        </is>
      </c>
      <c r="B21" s="26" t="inlineStr">
        <is>
          <t>2026-09-23 全市急跌，部分「觸及 20MA」係大市拖落嚟，唔係個股自己消化</t>
        </is>
      </c>
      <c r="D21" s="3" t="inlineStr">
        <is>
          <t>2026-09-23 合資格股票當日中位數 -1.30%，只有 21.7% 上升（標普 −0.75%、納指 −1.13%，5 年期美債息 2007 年後首次見 5 厘）。8 隻近 3 日入面只有今日嘅最低價去到 MA20（CLMT、NEO、IRD、AMWL、DHX、MGNI、SABR、ANGX；2026-09-22 只有收市價，嗰日日內有冇掂到睇唔到）。不過上榜股當日中位數 -0.62%，跌得比大市少。</t>
        </is>
      </c>
      <c r="E21" s="3" t="inlineStr">
        <is>
          <t>唔改規則；呢 8 隻喺總表「近3日最低價距MA20%」欄睇得到，大市再跌佢哋會最先跌穿</t>
        </is>
      </c>
    </row>
    <row r="22" ht="75" customHeight="1">
      <c r="A22" s="22" t="inlineStr">
        <is>
          <t>F4</t>
        </is>
      </c>
      <c r="B22" s="26" t="inlineStr">
        <is>
          <t>能源集中：7/28 隻係能源股，當中 5 隻煉油股係同一個交易</t>
        </is>
      </c>
      <c r="D22" s="3" t="inlineStr">
        <is>
          <t>能源 7 隻（CLMT、DINO、VLO、MPC、PSX、REPX、APA），佔 25%。煉油股 CLMT、DINO、VLO、MPC、PSX 嘅 21 日相關系數中位數 +0.89（名單其餘 +0.08），今日平均 -0.99%。09-22 Jefferies 將 VLO、MPC 由買入降至持有（目標 $401／$413，理由係大升後估值偏高）；同日 Bloomberg 報道柴油出口禁令提案獲政治支持，煉油股升勢停頓。回調有明確評級同政策催化，唔係單純技術性回吐。 其中 DINO、VLO、MPC 今日放量收喺 MA20 下面。R16–R20 嘅能源集中最後五個交易日內散晒（R20 記錄 16 行剩 1 行），今次形態唔同（今次係回調買位），但同一板塊集中嘅風險一樣。</t>
        </is>
      </c>
      <c r="E22" s="3" t="inlineStr">
        <is>
          <t>保留、標橙底；當一隻股票睇，唔好當五個獨立機會</t>
        </is>
      </c>
    </row>
    <row r="23" ht="30" customHeight="1">
      <c r="A23" s="22" t="inlineStr">
        <is>
          <t>F5</t>
        </is>
      </c>
      <c r="B23" s="26" t="inlineStr">
        <is>
          <t>事件驅動：IRD 嘅升浪同回調都係臨床數據帶動</t>
        </is>
      </c>
      <c r="D23" s="3" t="inlineStr">
        <is>
          <t>升浪同回調都係單一臨床事件：09 月第二個星期公佈 OPGx-BEST1 第一組三個月頂線數據，多間券商將目標價加到 $13–$20，股價高位喺 09-10；之後回吐約兩成。10 月 1–4 日 EURETINA 大會再公佈詳細數據 —— 二元事件風險仲未完。</t>
        </is>
      </c>
      <c r="E23" s="3" t="inlineStr">
        <is>
          <t>保留、標橙底；呢類回調唔係規則想捉嘅有序回吐</t>
        </is>
      </c>
    </row>
    <row r="24" ht="90" customHeight="1">
      <c r="A24" s="22" t="inlineStr">
        <is>
          <t>F6</t>
        </is>
      </c>
      <c r="B24" s="26" t="inlineStr">
        <is>
          <t>數據缺口：Yahoo 冇出 2026-09-22 日線（已修正）</t>
        </is>
      </c>
      <c r="D24" s="3" t="inlineStr">
        <is>
          <t>Yahoo 呢日只有 270 隻：09-24 三次抓取（01:24 UTC 得 209 隻，16:15 同 16:23 UTC 兩次都係 270 隻）都唔齊，09-21 同 2026-09-23 就齊晒。原本嘅程式會將缺日當停牌（沿用前收、成交量 0），咁會造出一日假嘅零波動。改為用 Nasdaq 收市後快照補收市價同成交量；開高低唔知，當收市價。影響：只會令 2026-09-22 嘅「觸及」睇漏、唔會憑空造出；名單上 28 隻全部靠 09-21 或 2026-09-23 嘅真實低位過關。差一項入面只有 GRDN 係收市距離啱、淨係差觸及，佢 2026-09-22 嘅日內低位可能改變結果。 另外 2026-09-22 嘅真實波幅會被低估，所以 ATR5／ATR20（波幅收窄分）對全部股票都略為偏高。</t>
        </is>
      </c>
      <c r="E24" s="3" t="inlineStr">
        <is>
          <t>已修正；Yahoo 補返數據後可以重算</t>
        </is>
      </c>
    </row>
    <row r="25" ht="60" customHeight="1">
      <c r="A25" s="22" t="inlineStr">
        <is>
          <t>F7</t>
        </is>
      </c>
      <c r="B25" s="26" t="inlineStr">
        <is>
          <t>SPAC 空殼期會扮動能（已修正）</t>
        </is>
      </c>
      <c r="D25" s="3" t="inlineStr">
        <is>
          <t>Yahoo 會將同一隻證券改代號前嘅歷史接埋。FRNM（Freenome）7 月 21 日先完成 SPAC 合併，Nasdaq 序列得 42 日，但 Yahoo 有 185 日，前面係 $10–11 嘅信託價。未修正前 FRNM 以第 4 名上榜：過到「≥90 日歷史」，3 個月回報亦由空殼價計。改為：上市日數按 Nasdaq 序列計（同 R1–R20 一樣），回報只計代號上市之後；均線同高位照用全部 Yahoo 日線。共 164 隻 Yahoo 歷史早過 Nasdaq 序列。</t>
        </is>
      </c>
      <c r="E25" s="3" t="inlineStr">
        <is>
          <t>已修正（FRNM 剔走）</t>
        </is>
      </c>
    </row>
    <row r="26" ht="45" customHeight="1">
      <c r="A26" s="22" t="inlineStr">
        <is>
          <t>F8</t>
        </is>
      </c>
      <c r="B26" s="26" t="inlineStr">
        <is>
          <t>修正 F7 時避開嘅第二個陷阱（已修正）</t>
        </is>
      </c>
      <c r="D26" s="3" t="inlineStr">
        <is>
          <t>一刀切將 Yahoo 歷史截到 Nasdaq 序列開始日，會誤傷 24 隻 Nasdaq 序列因鏡像斷檔由 03-19 先開始嘅大型股（ACN、CB、ETN 等，佢哋 Yahoo 歷史先係啱）：ACN 就會因為「期內高位」只計 03-19 之後而錯誤上榜。現行做法只限制上市日數同回報起點，唔截均線同高位。</t>
        </is>
      </c>
      <c r="E26" s="3" t="inlineStr">
        <is>
          <t>已修正（ACN 冇錯誤上榜）</t>
        </is>
      </c>
    </row>
    <row r="27" ht="30" customHeight="1">
      <c r="A27" s="22" t="inlineStr">
        <is>
          <t>F9</t>
        </is>
      </c>
      <c r="B27" s="26" t="inlineStr">
        <is>
          <t>兩源核對嘅假警報（已修正）</t>
        </is>
      </c>
      <c r="D27" s="3" t="inlineStr">
        <is>
          <t>FRNM 初步核對顯示兩源差 3.27%，查落係 Nasdaq 鏡像 08-11 照抄咗前一日收市（R12 只為當時 Yahoo 有覆蓋嘅股票補咗呢啲日子）。核對改為跳過收市同成交量都同前一日一模一樣嘅日子。</t>
        </is>
      </c>
      <c r="E27" s="3" t="inlineStr">
        <is>
          <t>已修正</t>
        </is>
      </c>
    </row>
    <row r="28" ht="30" customHeight="1">
      <c r="A28" s="22" t="inlineStr">
        <is>
          <t>F10</t>
        </is>
      </c>
      <c r="B28" s="26" t="inlineStr">
        <is>
          <t>1 個月頁天生細</t>
        </is>
      </c>
      <c r="D28" s="3" t="inlineStr">
        <is>
          <t>1 個月回報要排頭 10%（今次分界 +7.4%），同時又要已經跌返去 20MA —— 21 日內大升嘅股票通常仲離 MA20 好遠。今次 1 個月頁 15 隻、3 個月頁 22 隻，唔係錯。</t>
        </is>
      </c>
      <c r="E28" s="3" t="inlineStr">
        <is>
          <t>唔改</t>
        </is>
      </c>
    </row>
    <row r="29" ht="60" customHeight="1">
      <c r="A29" s="22" t="inlineStr">
        <is>
          <t>F11</t>
        </is>
      </c>
      <c r="B29" s="26" t="inlineStr">
        <is>
          <t>門檻敏感度：18 個測試入面，只有 10 隻次次都留低</t>
        </is>
      </c>
      <c r="D29" s="3" t="inlineStr">
        <is>
          <t>每次只郁一個門檻，變動最大嘅五個：動能百分位 0.9→0.95：+0／−9；動能百分位 0.9→0.85：+8／−0；距MA20下限 -0.03→-0.05：+7／−0；最淺回調 0.03→0.05：+0／−6；距MA20上限 0.03→0.02：+0／−4。全部測試都留低嘅只有 10 隻（VEEV、NUTX、CLMT、PLSE、IRD、DINO、VLO、MPC、ANGX、PSX）；前 6 名入面 ESTC、NEO、NOW 都會因為收緊某一個門檻而跌出。上唔上榜好靠門檻邊緣，唔好當硬性分界；總表「門檻測試留低」欄列咗每隻喺幾多個測試入面仲喺度。</t>
        </is>
      </c>
      <c r="E29" s="3" t="inlineStr">
        <is>
          <t>逐項列喺「敏感度」頁；總表加欄</t>
        </is>
      </c>
    </row>
    <row r="30" ht="30" customHeight="1">
      <c r="A30" s="22" t="inlineStr">
        <is>
          <t>F12</t>
        </is>
      </c>
      <c r="B30" s="26" t="inlineStr">
        <is>
          <t>今次冇做嘅嘢</t>
        </is>
      </c>
      <c r="D30" s="3" t="inlineStr">
        <is>
          <t>冇查業績日期（回調後即將公佈業績嘅股票風險唔同）；今次新查嘅 15 隻只係快速核查（主要排除併購釘價同單一事件），沿用舊研究嘅 12 隻冇重新核實，APA 未查；HTML 報告冇按新規則重做。</t>
        </is>
      </c>
      <c r="E30" s="3" t="inlineStr">
        <is>
          <t>如有需要下一版補</t>
        </is>
      </c>
    </row>
    <row r="31" ht="30" customHeight="1">
      <c r="A31" s="22" t="inlineStr">
        <is>
          <t>待決1</t>
        </is>
      </c>
      <c r="B31" s="26" t="inlineStr">
        <is>
          <t>待你決定</t>
        </is>
      </c>
      <c r="D31" s="3" t="inlineStr">
        <is>
          <t>動能門檻用頭 10%（百分位 90）定頭 15%（85）？85 會多 8 隻。</t>
        </is>
      </c>
      <c r="E31" s="3" t="inlineStr">
        <is>
          <t>今次未改</t>
        </is>
      </c>
    </row>
    <row r="32" ht="30" customHeight="1">
      <c r="A32" s="22" t="inlineStr">
        <is>
          <t>待決2</t>
        </is>
      </c>
      <c r="B32" s="26" t="inlineStr">
        <is>
          <t>待你決定</t>
        </is>
      </c>
      <c r="D32" s="3" t="inlineStr">
        <is>
          <t>收市可以低過 MA20 最多 3%（插穿都計）。如果只要收市企返 MA20 上面，今日會少 13 隻。</t>
        </is>
      </c>
      <c r="E32" s="3" t="inlineStr">
        <is>
          <t>今次未改</t>
        </is>
      </c>
    </row>
    <row r="33" ht="30" customHeight="1">
      <c r="A33" s="22" t="inlineStr">
        <is>
          <t>待決3</t>
        </is>
      </c>
      <c r="B33" s="26" t="inlineStr">
        <is>
          <t>待你決定</t>
        </is>
      </c>
      <c r="D33" s="3" t="inlineStr">
        <is>
          <t>股票池成交額下限 $1M 係沿用舊規則；做動能交易要唔要升到 $5M？今日會少 3 隻。</t>
        </is>
      </c>
      <c r="E33" s="3" t="inlineStr">
        <is>
          <t>今次未改</t>
        </is>
      </c>
    </row>
    <row r="34" ht="30" customHeight="1">
      <c r="A34" s="22" t="inlineStr">
        <is>
          <t>待決4</t>
        </is>
      </c>
      <c r="B34" s="26" t="inlineStr">
        <is>
          <t>待你決定</t>
        </is>
      </c>
      <c r="D34" s="3" t="inlineStr">
        <is>
          <t>事件驅動（IRD）同放量跌穿 20MA（DINO、VLO、MPC）要唔要直接剔走，定係好似而家咁保留加標記？</t>
        </is>
      </c>
      <c r="E34" s="3" t="inlineStr">
        <is>
          <t>今次未改</t>
        </is>
      </c>
    </row>
  </sheetData>
  <autoFilter ref="A3:E3"/>
  <mergeCells count="16">
    <mergeCell ref="B21:C21"/>
    <mergeCell ref="B24:C24"/>
    <mergeCell ref="B30:C30"/>
    <mergeCell ref="B29:C29"/>
    <mergeCell ref="B33:C33"/>
    <mergeCell ref="B25:C25"/>
    <mergeCell ref="B19:C19"/>
    <mergeCell ref="B20:C20"/>
    <mergeCell ref="B34:C34"/>
    <mergeCell ref="B28:C28"/>
    <mergeCell ref="B23:C23"/>
    <mergeCell ref="B22:C22"/>
    <mergeCell ref="B32:C32"/>
    <mergeCell ref="B31:C31"/>
    <mergeCell ref="B26:C26"/>
    <mergeCell ref="B27:C27"/>
  </mergeCells>
  <hyperlinks>
    <hyperlink xmlns:r="http://schemas.openxmlformats.org/officeDocument/2006/relationships" ref="A4" r:id="rId1"/>
    <hyperlink xmlns:r="http://schemas.openxmlformats.org/officeDocument/2006/relationships" ref="A5" r:id="rId2"/>
    <hyperlink xmlns:r="http://schemas.openxmlformats.org/officeDocument/2006/relationships" ref="A6" r:id="rId3"/>
    <hyperlink xmlns:r="http://schemas.openxmlformats.org/officeDocument/2006/relationships" ref="A7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1" r:id="rId8"/>
    <hyperlink xmlns:r="http://schemas.openxmlformats.org/officeDocument/2006/relationships" ref="A12" r:id="rId9"/>
    <hyperlink xmlns:r="http://schemas.openxmlformats.org/officeDocument/2006/relationships" ref="A13" r:id="rId10"/>
    <hyperlink xmlns:r="http://schemas.openxmlformats.org/officeDocument/2006/relationships" ref="A14" r:id="rId11"/>
    <hyperlink xmlns:r="http://schemas.openxmlformats.org/officeDocument/2006/relationships" ref="A15" r:id="rId12"/>
    <hyperlink xmlns:r="http://schemas.openxmlformats.org/officeDocument/2006/relationships" ref="A16" r:id="rId13"/>
    <hyperlink xmlns:r="http://schemas.openxmlformats.org/officeDocument/2006/relationships" ref="A17" r:id="rId1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xSplit="1" ySplit="9" topLeftCell="B10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6" customWidth="1" min="5" max="5"/>
    <col width="16" customWidth="1" min="6" max="6"/>
  </cols>
  <sheetData>
    <row r="1">
      <c r="A1" s="1" t="inlineStr">
        <is>
          <t>Yahoo 日線 vs Nasdaq 來源（序列 + 收市後快照）</t>
        </is>
      </c>
    </row>
    <row r="3" ht="32" customHeight="1">
      <c r="A3" s="22" t="inlineStr">
        <is>
          <t>2026-09-23 收市</t>
        </is>
      </c>
      <c r="B3" s="3" t="inlineStr">
        <is>
          <t>Yahoo 對 Nasdaq 收市後快照：3,846 隻，100.0% 喺 0.5% 之內</t>
        </is>
      </c>
    </row>
    <row r="4" ht="32" customHeight="1">
      <c r="A4" s="22" t="inlineStr">
        <is>
          <t>2026-09-22 收市</t>
        </is>
      </c>
      <c r="B4" s="3" t="inlineStr">
        <is>
          <t>Yahoo 呢日只出咗 270 隻（約 3,850 隻應有），所以用 Nasdaq 2026-09-22 收市後快照嘅收市價同成交量補（3,578 隻，開高低當收市價）；呢個收市價同 2026-09-23 快照「收市 − 升跌」反推嘅前收對得上：7,081 隻，99.2% 喺 0.5% 之內</t>
        </is>
      </c>
    </row>
    <row r="5" ht="32" customHeight="1">
      <c r="A5" s="22" t="inlineStr">
        <is>
          <t>2026-09-21 收市</t>
        </is>
      </c>
      <c r="B5" s="3" t="inlineStr">
        <is>
          <t>Yahoo 對 2026-09-22 快照反推嘅前收：3,846 隻，99.9% 喺 0.5% 之內</t>
        </is>
      </c>
    </row>
    <row r="6" ht="32" customHeight="1">
      <c r="A6" s="22" t="inlineStr">
        <is>
          <t>名單逐隻</t>
        </is>
      </c>
      <c r="B6" s="3" t="inlineStr">
        <is>
          <t>28 隻上榜股，近 63 個交易日 Yahoo 對 Nasdaq 序列同快照，最大差 0.030%（NEO）；鏡像照抄前日嘅日子（收市同成交量都同前一日一樣）唔計</t>
        </is>
      </c>
    </row>
    <row r="7" ht="32" customHeight="1">
      <c r="A7" s="22" t="inlineStr">
        <is>
          <t>09-18</t>
        </is>
      </c>
      <c r="B7" s="3" t="inlineStr">
        <is>
          <t>冇 Nasdaq 快照，只得 Yahoo 一個來源（09-21 快照反推嘅前收只核對到 09-21）</t>
        </is>
      </c>
    </row>
    <row r="9" ht="42" customHeight="1">
      <c r="A9" s="4" t="inlineStr">
        <is>
          <t>代號</t>
        </is>
      </c>
      <c r="B9" s="4" t="inlineStr">
        <is>
          <t>總表排名</t>
        </is>
      </c>
      <c r="C9" s="4" t="inlineStr">
        <is>
          <t>比較點數</t>
        </is>
      </c>
      <c r="D9" s="4" t="inlineStr">
        <is>
          <t>最大差%</t>
        </is>
      </c>
      <c r="E9" s="4" t="inlineStr">
        <is>
          <t>2026-09-22 收市差%</t>
        </is>
      </c>
      <c r="F9" s="4" t="inlineStr">
        <is>
          <t>2026-09-23 收市差%</t>
        </is>
      </c>
    </row>
    <row r="10">
      <c r="A10" s="5" t="inlineStr">
        <is>
          <t>VEEV</t>
        </is>
      </c>
      <c r="B10" s="14">
        <f>'總表'!A2</f>
        <v/>
      </c>
      <c r="C10" s="14" t="n">
        <v>63</v>
      </c>
      <c r="D10" s="18" t="n">
        <v>0</v>
      </c>
      <c r="E10" s="18" t="n">
        <v>0</v>
      </c>
      <c r="F10" s="18" t="n">
        <v>0</v>
      </c>
    </row>
    <row r="11">
      <c r="A11" s="5" t="inlineStr">
        <is>
          <t>NUTX</t>
        </is>
      </c>
      <c r="B11" s="14">
        <f>'總表'!A3</f>
        <v/>
      </c>
      <c r="C11" s="14" t="n">
        <v>63</v>
      </c>
      <c r="D11" s="18" t="n">
        <v>0</v>
      </c>
      <c r="E11" s="18" t="n">
        <v>0</v>
      </c>
      <c r="F11" s="18" t="n">
        <v>0</v>
      </c>
    </row>
    <row r="12">
      <c r="A12" s="5" t="inlineStr">
        <is>
          <t>CLMT</t>
        </is>
      </c>
      <c r="B12" s="14">
        <f>'總表'!A4</f>
        <v/>
      </c>
      <c r="C12" s="14" t="n">
        <v>63</v>
      </c>
      <c r="D12" s="18" t="n">
        <v>0</v>
      </c>
      <c r="E12" s="18" t="n">
        <v>0</v>
      </c>
      <c r="F12" s="18" t="n">
        <v>0</v>
      </c>
    </row>
    <row r="13">
      <c r="A13" s="5" t="inlineStr">
        <is>
          <t>ESTC</t>
        </is>
      </c>
      <c r="B13" s="14">
        <f>'總表'!A5</f>
        <v/>
      </c>
      <c r="C13" s="14" t="n">
        <v>63</v>
      </c>
      <c r="D13" s="18" t="n">
        <v>0</v>
      </c>
      <c r="E13" s="18" t="n">
        <v>0</v>
      </c>
      <c r="F13" s="18" t="n">
        <v>0</v>
      </c>
    </row>
    <row r="14">
      <c r="A14" s="5" t="inlineStr">
        <is>
          <t>NEO</t>
        </is>
      </c>
      <c r="B14" s="14">
        <f>'總表'!A6</f>
        <v/>
      </c>
      <c r="C14" s="14" t="n">
        <v>63</v>
      </c>
      <c r="D14" s="18" t="n">
        <v>0.0003</v>
      </c>
      <c r="E14" s="18" t="n">
        <v>0</v>
      </c>
      <c r="F14" s="18" t="n">
        <v>0</v>
      </c>
    </row>
    <row r="15">
      <c r="A15" s="5" t="inlineStr">
        <is>
          <t>NOW</t>
        </is>
      </c>
      <c r="B15" s="14">
        <f>'總表'!A7</f>
        <v/>
      </c>
      <c r="C15" s="14" t="n">
        <v>63</v>
      </c>
      <c r="D15" s="18" t="n">
        <v>0</v>
      </c>
      <c r="E15" s="18" t="n">
        <v>0</v>
      </c>
      <c r="F15" s="18" t="n">
        <v>0</v>
      </c>
    </row>
    <row r="16">
      <c r="A16" s="5" t="inlineStr">
        <is>
          <t>HPQ</t>
        </is>
      </c>
      <c r="B16" s="14">
        <f>'總表'!A8</f>
        <v/>
      </c>
      <c r="C16" s="14" t="n">
        <v>63</v>
      </c>
      <c r="D16" s="18" t="n">
        <v>0</v>
      </c>
      <c r="E16" s="18" t="n">
        <v>0</v>
      </c>
      <c r="F16" s="18" t="n">
        <v>0</v>
      </c>
    </row>
    <row r="17">
      <c r="A17" s="5" t="inlineStr">
        <is>
          <t>PLSE</t>
        </is>
      </c>
      <c r="B17" s="14">
        <f>'總表'!A9</f>
        <v/>
      </c>
      <c r="C17" s="14" t="n">
        <v>63</v>
      </c>
      <c r="D17" s="18" t="n">
        <v>0</v>
      </c>
      <c r="E17" s="18" t="n">
        <v>0</v>
      </c>
      <c r="F17" s="18" t="n">
        <v>0</v>
      </c>
    </row>
    <row r="18">
      <c r="A18" s="5" t="inlineStr">
        <is>
          <t>IRD</t>
        </is>
      </c>
      <c r="B18" s="14">
        <f>'總表'!A10</f>
        <v/>
      </c>
      <c r="C18" s="14" t="n">
        <v>63</v>
      </c>
      <c r="D18" s="18" t="n">
        <v>0</v>
      </c>
      <c r="E18" s="18" t="n">
        <v>0</v>
      </c>
      <c r="F18" s="18" t="n">
        <v>0</v>
      </c>
    </row>
    <row r="19">
      <c r="A19" s="5" t="inlineStr">
        <is>
          <t>AMWL</t>
        </is>
      </c>
      <c r="B19" s="14">
        <f>'總表'!A11</f>
        <v/>
      </c>
      <c r="C19" s="14" t="n">
        <v>63</v>
      </c>
      <c r="D19" s="18" t="n">
        <v>0</v>
      </c>
      <c r="E19" s="18" t="n">
        <v>0</v>
      </c>
      <c r="F19" s="18" t="n">
        <v>0</v>
      </c>
    </row>
    <row r="20">
      <c r="A20" s="5" t="inlineStr">
        <is>
          <t>SNOW</t>
        </is>
      </c>
      <c r="B20" s="14">
        <f>'總表'!A12</f>
        <v/>
      </c>
      <c r="C20" s="14" t="n">
        <v>63</v>
      </c>
      <c r="D20" s="18" t="n">
        <v>0</v>
      </c>
      <c r="E20" s="18" t="n">
        <v>0</v>
      </c>
      <c r="F20" s="18" t="n">
        <v>0</v>
      </c>
    </row>
    <row r="21">
      <c r="A21" s="5" t="inlineStr">
        <is>
          <t>AMPL</t>
        </is>
      </c>
      <c r="B21" s="14">
        <f>'總表'!A13</f>
        <v/>
      </c>
      <c r="C21" s="14" t="n">
        <v>63</v>
      </c>
      <c r="D21" s="18" t="n">
        <v>0</v>
      </c>
      <c r="E21" s="18" t="n">
        <v>0</v>
      </c>
      <c r="F21" s="18" t="n">
        <v>0</v>
      </c>
    </row>
    <row r="22">
      <c r="A22" s="5" t="inlineStr">
        <is>
          <t>DHX</t>
        </is>
      </c>
      <c r="B22" s="14">
        <f>'總表'!A14</f>
        <v/>
      </c>
      <c r="C22" s="14" t="n">
        <v>63</v>
      </c>
      <c r="D22" s="18" t="n">
        <v>0</v>
      </c>
      <c r="E22" s="18" t="n">
        <v>0</v>
      </c>
      <c r="F22" s="18" t="n">
        <v>0</v>
      </c>
    </row>
    <row r="23">
      <c r="A23" s="5" t="inlineStr">
        <is>
          <t>ZETA</t>
        </is>
      </c>
      <c r="B23" s="14">
        <f>'總表'!A15</f>
        <v/>
      </c>
      <c r="C23" s="14" t="n">
        <v>63</v>
      </c>
      <c r="D23" s="18" t="n">
        <v>0</v>
      </c>
      <c r="E23" s="18" t="n">
        <v>0</v>
      </c>
      <c r="F23" s="18" t="n">
        <v>0</v>
      </c>
    </row>
    <row r="24">
      <c r="A24" s="5" t="inlineStr">
        <is>
          <t>DINO</t>
        </is>
      </c>
      <c r="B24" s="14">
        <f>'總表'!A16</f>
        <v/>
      </c>
      <c r="C24" s="14" t="n">
        <v>63</v>
      </c>
      <c r="D24" s="18" t="n">
        <v>0</v>
      </c>
      <c r="E24" s="18" t="n">
        <v>0</v>
      </c>
      <c r="F24" s="18" t="n">
        <v>0</v>
      </c>
    </row>
    <row r="25">
      <c r="A25" s="5" t="inlineStr">
        <is>
          <t>MGNI</t>
        </is>
      </c>
      <c r="B25" s="14">
        <f>'總表'!A17</f>
        <v/>
      </c>
      <c r="C25" s="14" t="n">
        <v>63</v>
      </c>
      <c r="D25" s="18" t="n">
        <v>0</v>
      </c>
      <c r="E25" s="18" t="n">
        <v>0</v>
      </c>
      <c r="F25" s="18" t="n">
        <v>0</v>
      </c>
    </row>
    <row r="26">
      <c r="A26" s="5" t="inlineStr">
        <is>
          <t>VLO</t>
        </is>
      </c>
      <c r="B26" s="14">
        <f>'總表'!A18</f>
        <v/>
      </c>
      <c r="C26" s="14" t="n">
        <v>63</v>
      </c>
      <c r="D26" s="18" t="n">
        <v>0</v>
      </c>
      <c r="E26" s="18" t="n">
        <v>0</v>
      </c>
      <c r="F26" s="18" t="n">
        <v>0</v>
      </c>
    </row>
    <row r="27">
      <c r="A27" s="5" t="inlineStr">
        <is>
          <t>SABR</t>
        </is>
      </c>
      <c r="B27" s="14">
        <f>'總表'!A19</f>
        <v/>
      </c>
      <c r="C27" s="14" t="n">
        <v>63</v>
      </c>
      <c r="D27" s="18" t="n">
        <v>0</v>
      </c>
      <c r="E27" s="18" t="n">
        <v>0</v>
      </c>
      <c r="F27" s="18" t="n">
        <v>0</v>
      </c>
    </row>
    <row r="28">
      <c r="A28" s="5" t="inlineStr">
        <is>
          <t>VIR</t>
        </is>
      </c>
      <c r="B28" s="14">
        <f>'總表'!A20</f>
        <v/>
      </c>
      <c r="C28" s="14" t="n">
        <v>63</v>
      </c>
      <c r="D28" s="18" t="n">
        <v>0</v>
      </c>
      <c r="E28" s="18" t="n">
        <v>0</v>
      </c>
      <c r="F28" s="18" t="n">
        <v>0</v>
      </c>
    </row>
    <row r="29">
      <c r="A29" s="5" t="inlineStr">
        <is>
          <t>MPC</t>
        </is>
      </c>
      <c r="B29" s="14">
        <f>'總表'!A21</f>
        <v/>
      </c>
      <c r="C29" s="14" t="n">
        <v>63</v>
      </c>
      <c r="D29" s="18" t="n">
        <v>0</v>
      </c>
      <c r="E29" s="18" t="n">
        <v>0</v>
      </c>
      <c r="F29" s="18" t="n">
        <v>0</v>
      </c>
    </row>
    <row r="30">
      <c r="A30" s="5" t="inlineStr">
        <is>
          <t>SGP</t>
        </is>
      </c>
      <c r="B30" s="14">
        <f>'總表'!A22</f>
        <v/>
      </c>
      <c r="C30" s="14" t="n">
        <v>63</v>
      </c>
      <c r="D30" s="18" t="n">
        <v>0</v>
      </c>
      <c r="E30" s="18" t="n">
        <v>0</v>
      </c>
      <c r="F30" s="18" t="n">
        <v>0</v>
      </c>
    </row>
    <row r="31">
      <c r="A31" s="5" t="inlineStr">
        <is>
          <t>ANGX</t>
        </is>
      </c>
      <c r="B31" s="14">
        <f>'總表'!A23</f>
        <v/>
      </c>
      <c r="C31" s="14" t="n">
        <v>63</v>
      </c>
      <c r="D31" s="18" t="n">
        <v>0</v>
      </c>
      <c r="E31" s="18" t="n">
        <v>0</v>
      </c>
      <c r="F31" s="18" t="n">
        <v>0</v>
      </c>
    </row>
    <row r="32">
      <c r="A32" s="5" t="inlineStr">
        <is>
          <t>DJCO</t>
        </is>
      </c>
      <c r="B32" s="14">
        <f>'總表'!A24</f>
        <v/>
      </c>
      <c r="C32" s="14" t="n">
        <v>63</v>
      </c>
      <c r="D32" s="18" t="n">
        <v>1e-05</v>
      </c>
      <c r="E32" s="18" t="n">
        <v>0</v>
      </c>
      <c r="F32" s="18" t="n">
        <v>0</v>
      </c>
    </row>
    <row r="33">
      <c r="A33" s="5" t="inlineStr">
        <is>
          <t>PSX</t>
        </is>
      </c>
      <c r="B33" s="14">
        <f>'總表'!A25</f>
        <v/>
      </c>
      <c r="C33" s="14" t="n">
        <v>63</v>
      </c>
      <c r="D33" s="18" t="n">
        <v>0</v>
      </c>
      <c r="E33" s="18" t="n">
        <v>0</v>
      </c>
      <c r="F33" s="18" t="n">
        <v>0</v>
      </c>
    </row>
    <row r="34">
      <c r="A34" s="5" t="inlineStr">
        <is>
          <t>LPG</t>
        </is>
      </c>
      <c r="B34" s="14">
        <f>'總表'!A26</f>
        <v/>
      </c>
      <c r="C34" s="14" t="n">
        <v>63</v>
      </c>
      <c r="D34" s="18" t="n">
        <v>0</v>
      </c>
      <c r="E34" s="18" t="n">
        <v>0</v>
      </c>
      <c r="F34" s="18" t="n">
        <v>0</v>
      </c>
    </row>
    <row r="35">
      <c r="A35" s="5" t="inlineStr">
        <is>
          <t>REPX</t>
        </is>
      </c>
      <c r="B35" s="14">
        <f>'總表'!A27</f>
        <v/>
      </c>
      <c r="C35" s="14" t="n">
        <v>63</v>
      </c>
      <c r="D35" s="18" t="n">
        <v>0</v>
      </c>
      <c r="E35" s="18" t="n">
        <v>0</v>
      </c>
      <c r="F35" s="18" t="n">
        <v>0</v>
      </c>
    </row>
    <row r="36">
      <c r="A36" s="5" t="inlineStr">
        <is>
          <t>APA</t>
        </is>
      </c>
      <c r="B36" s="14">
        <f>'總表'!A28</f>
        <v/>
      </c>
      <c r="C36" s="14" t="n">
        <v>63</v>
      </c>
      <c r="D36" s="18" t="n">
        <v>0.00012</v>
      </c>
      <c r="E36" s="18" t="n">
        <v>0</v>
      </c>
      <c r="F36" s="18" t="n">
        <v>0</v>
      </c>
    </row>
    <row r="37">
      <c r="A37" s="5" t="inlineStr">
        <is>
          <t>CBLL</t>
        </is>
      </c>
      <c r="B37" s="14">
        <f>'總表'!A29</f>
        <v/>
      </c>
      <c r="C37" s="14" t="n">
        <v>63</v>
      </c>
      <c r="D37" s="18" t="n">
        <v>0</v>
      </c>
      <c r="E37" s="18" t="n">
        <v>0</v>
      </c>
      <c r="F37" s="18" t="n">
        <v>0</v>
      </c>
    </row>
  </sheetData>
  <autoFilter ref="A9:F9"/>
  <mergeCells count="5">
    <mergeCell ref="B4:F4"/>
    <mergeCell ref="B7:F7"/>
    <mergeCell ref="B6:F6"/>
    <mergeCell ref="B3:F3"/>
    <mergeCell ref="B5:F5"/>
  </mergeCells>
  <hyperlinks>
    <hyperlink xmlns:r="http://schemas.openxmlformats.org/officeDocument/2006/relationships" ref="A10" r:id="rId1"/>
    <hyperlink xmlns:r="http://schemas.openxmlformats.org/officeDocument/2006/relationships" ref="A11" r:id="rId2"/>
    <hyperlink xmlns:r="http://schemas.openxmlformats.org/officeDocument/2006/relationships" ref="A12" r:id="rId3"/>
    <hyperlink xmlns:r="http://schemas.openxmlformats.org/officeDocument/2006/relationships" ref="A13" r:id="rId4"/>
    <hyperlink xmlns:r="http://schemas.openxmlformats.org/officeDocument/2006/relationships" ref="A14" r:id="rId5"/>
    <hyperlink xmlns:r="http://schemas.openxmlformats.org/officeDocument/2006/relationships" ref="A15" r:id="rId6"/>
    <hyperlink xmlns:r="http://schemas.openxmlformats.org/officeDocument/2006/relationships" ref="A16" r:id="rId7"/>
    <hyperlink xmlns:r="http://schemas.openxmlformats.org/officeDocument/2006/relationships" ref="A17" r:id="rId8"/>
    <hyperlink xmlns:r="http://schemas.openxmlformats.org/officeDocument/2006/relationships" ref="A18" r:id="rId9"/>
    <hyperlink xmlns:r="http://schemas.openxmlformats.org/officeDocument/2006/relationships" ref="A19" r:id="rId10"/>
    <hyperlink xmlns:r="http://schemas.openxmlformats.org/officeDocument/2006/relationships" ref="A20" r:id="rId11"/>
    <hyperlink xmlns:r="http://schemas.openxmlformats.org/officeDocument/2006/relationships" ref="A21" r:id="rId12"/>
    <hyperlink xmlns:r="http://schemas.openxmlformats.org/officeDocument/2006/relationships" ref="A22" r:id="rId13"/>
    <hyperlink xmlns:r="http://schemas.openxmlformats.org/officeDocument/2006/relationships" ref="A23" r:id="rId14"/>
    <hyperlink xmlns:r="http://schemas.openxmlformats.org/officeDocument/2006/relationships" ref="A24" r:id="rId15"/>
    <hyperlink xmlns:r="http://schemas.openxmlformats.org/officeDocument/2006/relationships" ref="A25" r:id="rId16"/>
    <hyperlink xmlns:r="http://schemas.openxmlformats.org/officeDocument/2006/relationships" ref="A26" r:id="rId17"/>
    <hyperlink xmlns:r="http://schemas.openxmlformats.org/officeDocument/2006/relationships" ref="A27" r:id="rId18"/>
    <hyperlink xmlns:r="http://schemas.openxmlformats.org/officeDocument/2006/relationships" ref="A28" r:id="rId19"/>
    <hyperlink xmlns:r="http://schemas.openxmlformats.org/officeDocument/2006/relationships" ref="A29" r:id="rId20"/>
    <hyperlink xmlns:r="http://schemas.openxmlformats.org/officeDocument/2006/relationships" ref="A30" r:id="rId21"/>
    <hyperlink xmlns:r="http://schemas.openxmlformats.org/officeDocument/2006/relationships" ref="A31" r:id="rId22"/>
    <hyperlink xmlns:r="http://schemas.openxmlformats.org/officeDocument/2006/relationships" ref="A32" r:id="rId23"/>
    <hyperlink xmlns:r="http://schemas.openxmlformats.org/officeDocument/2006/relationships" ref="A33" r:id="rId24"/>
    <hyperlink xmlns:r="http://schemas.openxmlformats.org/officeDocument/2006/relationships" ref="A34" r:id="rId25"/>
    <hyperlink xmlns:r="http://schemas.openxmlformats.org/officeDocument/2006/relationships" ref="A35" r:id="rId26"/>
    <hyperlink xmlns:r="http://schemas.openxmlformats.org/officeDocument/2006/relationships" ref="A36" r:id="rId27"/>
    <hyperlink xmlns:r="http://schemas.openxmlformats.org/officeDocument/2006/relationships" ref="A37" r:id="rId28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18" customWidth="1" min="1" max="1"/>
    <col width="100" customWidth="1" min="2" max="2"/>
    <col width="10" customWidth="1" min="3" max="3"/>
    <col width="10" customWidth="1" min="4" max="4"/>
  </cols>
  <sheetData>
    <row r="1">
      <c r="A1" s="1" t="inlineStr">
        <is>
          <t>市況（2026-09-23 收市）</t>
        </is>
      </c>
    </row>
    <row r="3" ht="18" customHeight="1">
      <c r="A3" s="22" t="inlineStr">
        <is>
          <t>09-18（五）</t>
        </is>
      </c>
      <c r="B3" s="3" t="inlineStr">
        <is>
          <t>標普 +0.2% 至 7,650.50、道指 −0.2%、納指 +0.4%；大部分股票下跌，10 年期美債息升至 5.00%。（AP）</t>
        </is>
      </c>
    </row>
    <row r="4" ht="18" customHeight="1">
      <c r="A4" s="22" t="inlineStr">
        <is>
          <t>09-21（一）</t>
        </is>
      </c>
      <c r="B4" s="3" t="inlineStr">
        <is>
          <t>標普 +1.5%、納指 +2.3%；油價同債息回落（WTI 約 $96.8、Brent 約 $100.9、10 年期約 4.97%），科技同通訊帶動，能源股跌。（Quartz）</t>
        </is>
      </c>
    </row>
    <row r="5" ht="30" customHeight="1">
      <c r="A5" s="22" t="inlineStr">
        <is>
          <t>09-22（二）</t>
        </is>
      </c>
      <c r="B5" s="3" t="inlineStr">
        <is>
          <t>標普 7,764.64（持平，距 8 月歷史高位 0.4%）、道指 −0.4%、納指 +0.5% 創新高 27,244.28；Brent 收 $99.25。煉油股被 Jefferies 降級、柴油出口禁令提案拖累。（AP、Bloomberg）</t>
        </is>
      </c>
    </row>
    <row r="6" ht="30" customHeight="1">
      <c r="A6" s="22" t="inlineStr">
        <is>
          <t>09-23（三）</t>
        </is>
      </c>
      <c r="B6" s="3" t="inlineStr">
        <is>
          <t>標普 −0.75% 至 7,706.03、納指 −1.13% 至 26,936.04、道指 −0.68% 至 51,511.59；5 年期美債息 2007 年後首次見 5 厘，市場憂慮聯儲再加息；Oracle 因數據中心項目發不可抗力通知跌 3%，拖累納指。（TheStreet、CNBC）</t>
        </is>
      </c>
    </row>
    <row r="7" ht="18" customHeight="1">
      <c r="A7" s="22" t="inlineStr">
        <is>
          <t>背景</t>
        </is>
      </c>
      <c r="B7" s="3" t="inlineStr">
        <is>
          <t>聯儲 09-16 加息 25 點子至 3.75%–4.00%（2023 年 7 月以來首次），點陣圖顯示今年可能再加（R19 記錄）。</t>
        </is>
      </c>
    </row>
    <row r="8" ht="30" customHeight="1">
      <c r="A8" s="22" t="inlineStr">
        <is>
          <t>大市闊度</t>
        </is>
      </c>
      <c r="B8" s="3" t="inlineStr">
        <is>
          <t>合資格股票每日中位數：09-18 -0.53%（34% 上升）；09-21 +0.25%（56% 上升）；09-22 +0.28%（56% 上升）；09-23 -1.30%（22% 上升）。09-21 標普升 1.5%，但中位數只 +0.25% —— 係科技股帶動嘅窄升市。</t>
        </is>
      </c>
    </row>
    <row r="10">
      <c r="A10" s="24" t="inlineStr">
        <is>
          <t>日期</t>
        </is>
      </c>
      <c r="B10" s="24" t="inlineStr">
        <is>
          <t>合資格股票當日中位數</t>
        </is>
      </c>
      <c r="C10" s="24" t="inlineStr">
        <is>
          <t>上升比例</t>
        </is>
      </c>
      <c r="D10" s="24" t="inlineStr">
        <is>
          <t>股票數</t>
        </is>
      </c>
    </row>
    <row r="11">
      <c r="A11" s="2" t="inlineStr">
        <is>
          <t>2026-09-16</t>
        </is>
      </c>
      <c r="B11" s="12" t="n">
        <v>-0.005675009541898812</v>
      </c>
      <c r="C11" s="11" t="n">
        <v>0.3543022415039769</v>
      </c>
      <c r="D11" s="27" t="n">
        <v>2766</v>
      </c>
    </row>
    <row r="12">
      <c r="A12" s="2" t="inlineStr">
        <is>
          <t>2026-09-17</t>
        </is>
      </c>
      <c r="B12" s="12" t="n">
        <v>0.002402755141465263</v>
      </c>
      <c r="C12" s="11" t="n">
        <v>0.5676066522053507</v>
      </c>
      <c r="D12" s="27" t="n">
        <v>2766</v>
      </c>
    </row>
    <row r="13">
      <c r="A13" s="2" t="inlineStr">
        <is>
          <t>2026-09-18</t>
        </is>
      </c>
      <c r="B13" s="12" t="n">
        <v>-0.005333564940173952</v>
      </c>
      <c r="C13" s="11" t="n">
        <v>0.3362255965292842</v>
      </c>
      <c r="D13" s="27" t="n">
        <v>2766</v>
      </c>
    </row>
    <row r="14">
      <c r="A14" s="2" t="inlineStr">
        <is>
          <t>2026-09-21</t>
        </is>
      </c>
      <c r="B14" s="12" t="n">
        <v>0.002466547909769079</v>
      </c>
      <c r="C14" s="11" t="n">
        <v>0.5621836587129428</v>
      </c>
      <c r="D14" s="27" t="n">
        <v>2766</v>
      </c>
    </row>
    <row r="15">
      <c r="A15" s="2" t="inlineStr">
        <is>
          <t>2026-09-22</t>
        </is>
      </c>
      <c r="B15" s="12" t="n">
        <v>0.002820211671633266</v>
      </c>
      <c r="C15" s="11" t="n">
        <v>0.5574837310195228</v>
      </c>
      <c r="D15" s="27" t="n">
        <v>2766</v>
      </c>
    </row>
    <row r="16">
      <c r="A16" s="2" t="inlineStr">
        <is>
          <t>2026-09-23</t>
        </is>
      </c>
      <c r="B16" s="12" t="n">
        <v>-0.01295463645136474</v>
      </c>
      <c r="C16" s="11" t="n">
        <v>0.2169197396963124</v>
      </c>
      <c r="D16" s="27" t="n">
        <v>2766</v>
      </c>
    </row>
    <row r="18">
      <c r="A18" s="22" t="inlineStr">
        <is>
          <t>名單板塊分佈</t>
        </is>
      </c>
    </row>
    <row r="19">
      <c r="A19" s="2" t="inlineStr">
        <is>
          <t>科技</t>
        </is>
      </c>
      <c r="B19" s="14">
        <f>COUNTIF('總表'!E2:E29,A19)</f>
        <v/>
      </c>
    </row>
    <row r="20">
      <c r="A20" s="2" t="inlineStr">
        <is>
          <t>醫療保健</t>
        </is>
      </c>
      <c r="B20" s="14">
        <f>COUNTIF('總表'!E2:E29,A20)</f>
        <v/>
      </c>
    </row>
    <row r="21">
      <c r="A21" s="2" t="inlineStr">
        <is>
          <t>能源</t>
        </is>
      </c>
      <c r="B21" s="14">
        <f>COUNTIF('總表'!E2:E29,A21)</f>
        <v/>
      </c>
    </row>
    <row r="22">
      <c r="A22" s="2" t="inlineStr">
        <is>
          <t>非必需消費</t>
        </is>
      </c>
      <c r="B22" s="14">
        <f>COUNTIF('總表'!E2:E29,A22)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8" customWidth="1" min="2" max="2"/>
    <col width="26" customWidth="1" min="3" max="3"/>
    <col width="14" customWidth="1" min="4" max="4"/>
    <col width="90" customWidth="1" min="5" max="5"/>
    <col width="40" customWidth="1" min="6" max="6"/>
  </cols>
  <sheetData>
    <row r="1">
      <c r="A1" s="1" t="inlineStr">
        <is>
          <t>升浪原因（今次快速核查，或者沿用舊版研究）</t>
        </is>
      </c>
    </row>
    <row r="3" ht="42" customHeight="1">
      <c r="A3" s="4" t="inlineStr">
        <is>
          <t>總表排名</t>
        </is>
      </c>
      <c r="B3" s="4" t="inlineStr">
        <is>
          <t>代號</t>
        </is>
      </c>
      <c r="C3" s="4" t="inlineStr">
        <is>
          <t>公司</t>
        </is>
      </c>
      <c r="D3" s="4" t="inlineStr">
        <is>
          <t>來源</t>
        </is>
      </c>
      <c r="E3" s="4" t="inlineStr">
        <is>
          <t>內容</t>
        </is>
      </c>
      <c r="F3" s="4" t="inlineStr">
        <is>
          <t>連結</t>
        </is>
      </c>
    </row>
    <row r="4" ht="30" customHeight="1">
      <c r="A4" s="14">
        <f>'總表'!A2</f>
        <v/>
      </c>
      <c r="B4" s="5" t="inlineStr">
        <is>
          <t>VEEV</t>
        </is>
      </c>
      <c r="C4" s="2" t="inlineStr">
        <is>
          <t>Veeva Systems Inc. Class A</t>
        </is>
      </c>
      <c r="D4" s="2" t="inlineStr">
        <is>
          <t>沿用 R20 或更早（未重新核實）</t>
        </is>
      </c>
      <c r="E4" s="3" t="inlineStr">
        <is>
          <t>8/26 Q2勝預期兼升指引 → 翌日+15.2%；8/26收市後公布Q2 FY27收入9.28億美元按年+18%、非GAAP每股2.35美元，並上調全年指引；翌日(8/27)單日+15.2%。</t>
        </is>
      </c>
      <c r="F4" s="28" t="inlineStr">
        <is>
          <t>https://www.investing.com/news/company-news/veeva-q227-slides-revenue-beats-drive-raised-guidance-margins-hold-93CH-4878052</t>
        </is>
      </c>
    </row>
    <row r="5" ht="30" customHeight="1">
      <c r="A5" s="14">
        <f>'總表'!A3</f>
        <v/>
      </c>
      <c r="B5" s="5" t="inlineStr">
        <is>
          <t>NUTX</t>
        </is>
      </c>
      <c r="C5" s="2" t="inlineStr">
        <is>
          <t>Nutex Health Inc.</t>
        </is>
      </c>
      <c r="D5" s="2" t="inlineStr">
        <is>
          <t>沿用 R20 或更早（未重新核實）</t>
        </is>
      </c>
      <c r="E5" s="3" t="inlineStr">
        <is>
          <t>8/6 Q2 EPS $9.38遠勝預期 → 8/10單日升21.9%；8/6公布Q2：攤薄EPS 9.38美元遠勝預期4.88、純利6580萬美元；與HaloMD重議協議令仲裁開支減5230萬美元，8/10股價再升近21%。</t>
        </is>
      </c>
      <c r="F5" s="28" t="inlineStr">
        <is>
          <t>https://www.investing.com/news/transcripts/earnings-call-transcript-nutex-health-tops-q2-2026-profit-estimates-93CH-4847159</t>
        </is>
      </c>
    </row>
    <row r="6" ht="30" customHeight="1">
      <c r="A6" s="14">
        <f>'總表'!A4</f>
        <v/>
      </c>
      <c r="B6" s="5" t="inlineStr">
        <is>
          <t>CLMT</t>
        </is>
      </c>
      <c r="C6" s="2" t="inlineStr">
        <is>
          <t>Calumet Inc.</t>
        </is>
      </c>
      <c r="D6" s="2" t="inlineStr">
        <is>
          <t>R21.00 快速核查</t>
        </is>
      </c>
      <c r="E6" s="3" t="inlineStr">
        <is>
          <t>煉油／特種產品；循環信貸額增至 $6 億、能源部貸款最後 $3,400 萬到位（Montana Renewables 可持續航空燃料擴產）；分析員共識「持有」、目標 $51.75，低過現價。屬煉油股群組。</t>
        </is>
      </c>
      <c r="F6" s="28" t="inlineStr">
        <is>
          <t>https://finance.yahoo.com/markets/stocks/articles/calumet-clmt-stock-may-trade-011303325.html</t>
        </is>
      </c>
    </row>
    <row r="7" ht="30" customHeight="1">
      <c r="A7" s="14">
        <f>'總表'!A5</f>
        <v/>
      </c>
      <c r="B7" s="5" t="inlineStr">
        <is>
          <t>ESTC</t>
        </is>
      </c>
      <c r="C7" s="2" t="inlineStr">
        <is>
          <t>Elastic N.V.</t>
        </is>
      </c>
      <c r="D7" s="2" t="inlineStr">
        <is>
          <t>沿用 R20 或更早（未重新核實）</t>
        </is>
      </c>
      <c r="E7" s="3" t="inlineStr">
        <is>
          <t>8/28 Q2收入升15.1%、EPS $0.70超預期 → 單日飆19.3%；8月28日Q2收入升15.1%、EPS 0.70美元超預期，上調全年收入至20億美元，單日飆23%。</t>
        </is>
      </c>
      <c r="F7" s="28" t="inlineStr">
        <is>
          <t>https://markets.financialcontent.com/stocks/article/stockstory-2026-7-21-why-elastic-estc-shares-are-trading-lower-today</t>
        </is>
      </c>
    </row>
    <row r="8" ht="30" customHeight="1">
      <c r="A8" s="14">
        <f>'總表'!A6</f>
        <v/>
      </c>
      <c r="B8" s="5" t="inlineStr">
        <is>
          <t>NEO</t>
        </is>
      </c>
      <c r="C8" s="2" t="inlineStr">
        <is>
          <t>NeoGenomics Inc.</t>
        </is>
      </c>
      <c r="D8" s="2" t="inlineStr">
        <is>
          <t>沿用 R20 或更早（未重新核實）</t>
        </is>
      </c>
      <c r="E8" s="3" t="inlineStr">
        <is>
          <t>7/28 Q2勝預期兼上調指引 → 翌日收市+14.0%；7/28收市後公布Q2（收入$2.017億、按年+11%，經調整EPS $0.05勝預期$0.03，NGS收入+26%）並上調全年收入指引至$8.02–8.06億、EBITDA至$5,600–5,800萬，7/29股價盤中抽升14.0%（媒體引用盤中數字）；Needham目標價由$15升至$19、Craig-Hallum由$17升至$19，其後連環創52週新高，9/15收$18.89，較7/27底升43.8%。</t>
        </is>
      </c>
      <c r="F8" s="28" t="inlineStr">
        <is>
          <t>https://ir.neogenomics.com/news-events/press-releases/detail/333/neogenomics-to-report-second-quarter-2026-financial-results-on-july-28-2026</t>
        </is>
      </c>
    </row>
    <row r="9" ht="30" customHeight="1">
      <c r="A9" s="14">
        <f>'總表'!A7</f>
        <v/>
      </c>
      <c r="B9" s="5" t="inlineStr">
        <is>
          <t>NOW</t>
        </is>
      </c>
      <c r="C9" s="2" t="inlineStr">
        <is>
          <t>ServiceNow Inc.</t>
        </is>
      </c>
      <c r="D9" s="2" t="inlineStr">
        <is>
          <t>沿用 R20 或更早（未重新核實）</t>
        </is>
      </c>
      <c r="E9" s="3" t="inlineStr">
        <is>
          <t>7/22 Q2 EPS超預期18%、AI年合約值破$10億 → 兩日後抽7.4%；7月22日Q2 EPS超預期18%、AI年合約值破$10億，翌日先跌3.7%見底、再翌日抽7.4%；8月27日Salesforce勁績再飆9%。</t>
        </is>
      </c>
      <c r="F9" s="28" t="inlineStr">
        <is>
          <t>https://www.timothysykes.com/news/servicenow-inc-now-news-2026_07_23/</t>
        </is>
      </c>
    </row>
    <row r="10" ht="30" customHeight="1">
      <c r="A10" s="14">
        <f>'總表'!A8</f>
        <v/>
      </c>
      <c r="B10" s="5" t="inlineStr">
        <is>
          <t>HPQ</t>
        </is>
      </c>
      <c r="C10" s="2" t="inlineStr">
        <is>
          <t>HP Inc.</t>
        </is>
      </c>
      <c r="D10" s="2" t="inlineStr">
        <is>
          <t>沿用 R20 或更早（未重新核實）</t>
        </is>
      </c>
      <c r="E10" s="3" t="inlineStr">
        <is>
          <t>8/28 Q3勝預期後多行升目標價 → 單日升3%；8/26 Q3 EPS $0.83勝預期，全年EPS指引升至$3.19–3.29；翌日因PC出貨跌16%跌2.9%，8/28多行升目標價、單日升3%。</t>
        </is>
      </c>
      <c r="F10" s="28" t="inlineStr">
        <is>
          <t>https://www.fool.com/investing/2026/08/28/why-hp-stock-topped-the-market-today/</t>
        </is>
      </c>
    </row>
    <row r="11" ht="30" customHeight="1">
      <c r="A11" s="14">
        <f>'總表'!A9</f>
        <v/>
      </c>
      <c r="B11" s="5" t="inlineStr">
        <is>
          <t>PLSE</t>
        </is>
      </c>
      <c r="C11" s="2" t="inlineStr">
        <is>
          <t>Pulse Biosciences Inc</t>
        </is>
      </c>
      <c r="D11" s="2" t="inlineStr">
        <is>
          <t>沿用 R20 或更早（未重新核實）</t>
        </is>
      </c>
      <c r="E11" s="3" t="inlineStr">
        <is>
          <t>7/29 NANOPULSE-AF入組過半 → 事件日−3.4%；7月29日NANOPULSE-AF入組過半、提前3個月完成，升6.4%；Canaccord升目標價至$43，創5年新高</t>
        </is>
      </c>
      <c r="F11" s="28" t="inlineStr">
        <is>
          <t>https://simplywall.st/stocks/us/healthcare/nasdaq-plse/pulse-biosciences/news/why-pulse-biosciences-plse-is-up-64-after-nanopulse-af-trial</t>
        </is>
      </c>
    </row>
    <row r="12" ht="30" customHeight="1">
      <c r="A12" s="14">
        <f>'總表'!A10</f>
        <v/>
      </c>
      <c r="B12" s="5" t="inlineStr">
        <is>
          <t>IRD</t>
        </is>
      </c>
      <c r="C12" s="2" t="inlineStr">
        <is>
          <t>Opus Genetics Inc.</t>
        </is>
      </c>
      <c r="D12" s="2" t="inlineStr">
        <is>
          <t>R21.00 快速核查</t>
        </is>
      </c>
      <c r="E12" s="3" t="inlineStr">
        <is>
          <t>OPGx-BEST1 第一組數據（09 月第二個星期）後多間券商加目標價；10 月 1–4 日 EURETINA 大會再公佈。</t>
        </is>
      </c>
      <c r="F12" s="28" t="inlineStr">
        <is>
          <t>https://www.stocktitan.net/news/IRD/opus-genetics-provides-best1-program-update-with-detailed-timeline-c1zyafhv8w60.html</t>
        </is>
      </c>
    </row>
    <row r="13" ht="30" customHeight="1">
      <c r="A13" s="14">
        <f>'總表'!A11</f>
        <v/>
      </c>
      <c r="B13" s="5" t="inlineStr">
        <is>
          <t>AMWL</t>
        </is>
      </c>
      <c r="C13" s="2" t="inlineStr">
        <is>
          <t>American Well Corporation Class A</t>
        </is>
      </c>
      <c r="D13" s="2" t="inlineStr">
        <is>
          <t>R21.00 快速核查</t>
        </is>
      </c>
      <c r="E13" s="3" t="inlineStr">
        <is>
          <t>遠程醫療；六個月升約 157%，虧損收窄；分析員平均「持有」、目標 $7.5 遠低過現價。未見併購消息。（來源為報價聚合網站，質素一般）</t>
        </is>
      </c>
      <c r="F13" s="28" t="inlineStr">
        <is>
          <t>https://upstox.com/us-stocks/amwl-share-price/</t>
        </is>
      </c>
    </row>
    <row r="14" ht="30" customHeight="1">
      <c r="A14" s="14">
        <f>'總表'!A12</f>
        <v/>
      </c>
      <c r="B14" s="5" t="inlineStr">
        <is>
          <t>SNOW</t>
        </is>
      </c>
      <c r="C14" s="2" t="inlineStr">
        <is>
          <t>Snowflake Inc.</t>
        </is>
      </c>
      <c r="D14" s="2" t="inlineStr">
        <is>
          <t>沿用 R20 或更早（未重新核實）</t>
        </is>
      </c>
      <c r="E14" s="3" t="inlineStr">
        <is>
          <t>9/2 Q2收入升35%+上調指引→翌日升17.4%；9/2 Q2產品收入$14.9億升37%（加速）、EPS $0.62勝預期，全年產品收入指引上調至$60.7億；翌日(9/3)單日升17.4%。</t>
        </is>
      </c>
      <c r="F14" s="28" t="inlineStr">
        <is>
          <t>https://www.cnbc.com/2026/09/02/snowflake-snow-q2-earnings-report-2027.html</t>
        </is>
      </c>
    </row>
    <row r="15" ht="30" customHeight="1">
      <c r="A15" s="14">
        <f>'總表'!A13</f>
        <v/>
      </c>
      <c r="B15" s="5" t="inlineStr">
        <is>
          <t>AMPL</t>
        </is>
      </c>
      <c r="C15" s="2" t="inlineStr">
        <is>
          <t>Amplitude Inc. Class A</t>
        </is>
      </c>
      <c r="D15" s="2" t="inlineStr">
        <is>
          <t>R21.00 快速核查</t>
        </is>
      </c>
      <c r="E15" s="3" t="inlineStr">
        <is>
          <t>9 月初公佈 Q2：收入 $1.01 億（+21%）、ARR $4.1 億（+22%），上調全年收入指引至 $4.07–4.11 億，AI 原生客戶帶動 → 股價急升。</t>
        </is>
      </c>
      <c r="F15" s="28" t="inlineStr">
        <is>
          <t>https://simplywall.st/stocks/us/software/nasdaq-ampl/amplitude/news/amplitude-ampl-is-up-268-after-raising-2026-revenue-outlook</t>
        </is>
      </c>
    </row>
    <row r="16" ht="30" customHeight="1">
      <c r="A16" s="14">
        <f>'總表'!A14</f>
        <v/>
      </c>
      <c r="B16" s="5" t="inlineStr">
        <is>
          <t>DHX</t>
        </is>
      </c>
      <c r="C16" s="2" t="inlineStr">
        <is>
          <t>DHI Group Inc.</t>
        </is>
      </c>
      <c r="D16" s="2" t="inlineStr">
        <is>
          <t>R21.00 快速核查</t>
        </is>
      </c>
      <c r="E16" s="3" t="inlineStr">
        <is>
          <t>冇搵到近期個股催化劑；六個月升約 72%。（來源為報價聚合網站）</t>
        </is>
      </c>
      <c r="F16" s="28" t="inlineStr">
        <is>
          <t>https://upstox.com/us-stocks/dhx-share-price/</t>
        </is>
      </c>
    </row>
    <row r="17" ht="30" customHeight="1">
      <c r="A17" s="14">
        <f>'總表'!A15</f>
        <v/>
      </c>
      <c r="B17" s="5" t="inlineStr">
        <is>
          <t>ZETA</t>
        </is>
      </c>
      <c r="C17" s="2" t="inlineStr">
        <is>
          <t>Zeta Global Holdings Corp. Class A</t>
        </is>
      </c>
      <c r="D17" s="2" t="inlineStr">
        <is>
          <t>沿用 R20 或更早（未重新核實）</t>
        </is>
      </c>
      <c r="E17" s="3" t="inlineStr">
        <is>
          <t>8/4 Q2收入+44%第20季Beat&amp;Raise → 翌日+11.6%；8/4收市後公布Q2（收入$4.428億、按年+44%，GAAP EPS $0.03勝預期虧$0.03，經調整EBITDA $9,200萬、margin 20.7%，第20季連續Beat &amp; Raise，全年收入指引上調至$18.11–18.24億），盤後升5.14%、8/5盤中抽升11.9%（兩者均非收市價）；Citi目標價由$26升至$35、美銀由$29升至$34，加上6/23公布嘅Palantir七年合作、OpenAI及Snowflake合作持續發酵，9/15收$31.04，較7/24底升62.3%。</t>
        </is>
      </c>
      <c r="F17" s="28" t="inlineStr">
        <is>
          <t>https://stockstory.org/us/stocks/nyse/zeta/news/why-up-down/why-are-zeta-global-zeta-shares-soaring-today</t>
        </is>
      </c>
    </row>
    <row r="18" ht="30" customHeight="1">
      <c r="A18" s="14">
        <f>'總表'!A16</f>
        <v/>
      </c>
      <c r="B18" s="5" t="inlineStr">
        <is>
          <t>DINO</t>
        </is>
      </c>
      <c r="C18" s="2" t="inlineStr">
        <is>
          <t>HF Sinclair Corporation</t>
        </is>
      </c>
      <c r="D18" s="2" t="inlineStr">
        <is>
          <t>R21.00 快速核查</t>
        </is>
      </c>
      <c r="E18" s="3" t="inlineStr">
        <is>
          <t>煉油股（HF Sinclair）；柴油零售價破 $6.50，煉油毛利大升；09-22 行業被降級同柴油出口禁令消息拖累。</t>
        </is>
      </c>
      <c r="F18" s="28" t="inlineStr">
        <is>
          <t>https://www.benzinga.com/markets/commodities/26/09/61881898/diesel-squeeze-oil-refiners-stocks-four-top-performing-six-weeks-of-gains</t>
        </is>
      </c>
    </row>
    <row r="19" ht="30" customHeight="1">
      <c r="A19" s="14">
        <f>'總表'!A17</f>
        <v/>
      </c>
      <c r="B19" s="5" t="inlineStr">
        <is>
          <t>MGNI</t>
        </is>
      </c>
      <c r="C19" s="2" t="inlineStr">
        <is>
          <t>Magnite Inc.</t>
        </is>
      </c>
      <c r="D19" s="2" t="inlineStr">
        <is>
          <t>R21.00 快速核查</t>
        </is>
      </c>
      <c r="E19" s="3" t="inlineStr">
        <is>
          <t>9 月中 Craig-Hallum 目標 $28→$32、StoneX $33→$43；CTV 業務增長 30%；CFO 09-30 退休。</t>
        </is>
      </c>
      <c r="F19" s="28" t="inlineStr">
        <is>
          <t>https://simplywall.st/stocks/us/media/nasdaq-mgni/magnite/news/magnite-mgni-stock-may-be-11-undervalued-following-fresh-ai</t>
        </is>
      </c>
    </row>
    <row r="20" ht="30" customHeight="1">
      <c r="A20" s="14">
        <f>'總表'!A18</f>
        <v/>
      </c>
      <c r="B20" s="5" t="inlineStr">
        <is>
          <t>VLO</t>
        </is>
      </c>
      <c r="C20" s="2" t="inlineStr">
        <is>
          <t>Valero Energy Corporation</t>
        </is>
      </c>
      <c r="D20" s="2" t="inlineStr">
        <is>
          <t>R21.00 快速核查</t>
        </is>
      </c>
      <c r="E20" s="3" t="inlineStr">
        <is>
          <t>煉油股；09-22 Jefferies 降至持有（目標 $401）；今年升幅超過 80%。</t>
        </is>
      </c>
      <c r="F20" s="28" t="inlineStr">
        <is>
          <t>https://seekingalpha.com/news/4645636-valero-marathon-cut-at-jefferies-supporting-less-refining-exposure-after-big-gains</t>
        </is>
      </c>
    </row>
    <row r="21" ht="30" customHeight="1">
      <c r="A21" s="14">
        <f>'總表'!A19</f>
        <v/>
      </c>
      <c r="B21" s="5" t="inlineStr">
        <is>
          <t>SABR</t>
        </is>
      </c>
      <c r="C21" s="2" t="inlineStr">
        <is>
          <t>Sabre Corporation</t>
        </is>
      </c>
      <c r="D21" s="2" t="inlineStr">
        <is>
          <t>R21.00 快速核查</t>
        </is>
      </c>
      <c r="E21" s="3" t="inlineStr">
        <is>
          <t>09-14 發 $13.5 億有抵押債券再融資高息債；09-21 公佈約 80 個旅遊客戶試用佢嘅 MCP 伺服器，當日升 3.3%；美銀目標 $2.60。</t>
        </is>
      </c>
      <c r="F21" s="28" t="inlineStr">
        <is>
          <t>https://markets.financialcontent.com/stocks/article/stockstory-2026-9-21-why-sabre-sabr-stock-is-trading-up-today</t>
        </is>
      </c>
    </row>
    <row r="22" ht="30" customHeight="1">
      <c r="A22" s="14">
        <f>'總表'!A20</f>
        <v/>
      </c>
      <c r="B22" s="5" t="inlineStr">
        <is>
          <t>VIR</t>
        </is>
      </c>
      <c r="C22" s="2" t="inlineStr">
        <is>
          <t>Vir Biotechnology Inc.</t>
        </is>
      </c>
      <c r="D22" s="2" t="inlineStr">
        <is>
          <t>R21.00 快速核查</t>
        </is>
      </c>
      <c r="E22" s="3" t="inlineStr">
        <is>
          <t>冇搵到 9 月個股催化劑；下次業績 10-29。（2 月 $8.50 增發早已完成，同今次回調無關）</t>
        </is>
      </c>
      <c r="F22" s="28" t="inlineStr">
        <is>
          <t>https://www.investing.com/equities/vir-biotechnology-inc</t>
        </is>
      </c>
    </row>
    <row r="23" ht="30" customHeight="1">
      <c r="A23" s="14">
        <f>'總表'!A21</f>
        <v/>
      </c>
      <c r="B23" s="5" t="inlineStr">
        <is>
          <t>MPC</t>
        </is>
      </c>
      <c r="C23" s="2" t="inlineStr">
        <is>
          <t>Marathon Petroleum Corporation</t>
        </is>
      </c>
      <c r="D23" s="2" t="inlineStr">
        <is>
          <t>R21.00 快速核查</t>
        </is>
      </c>
      <c r="E23" s="3" t="inlineStr">
        <is>
          <t>煉油股；09-22 Jefferies 降至持有（目標 $413）；今年升幅超過 80%。</t>
        </is>
      </c>
      <c r="F23" s="28" t="inlineStr">
        <is>
          <t>https://seekingalpha.com/news/4645636-valero-marathon-cut-at-jefferies-supporting-less-refining-exposure-after-big-gains</t>
        </is>
      </c>
    </row>
    <row r="24" ht="30" customHeight="1">
      <c r="A24" s="14">
        <f>'總表'!A22</f>
        <v/>
      </c>
      <c r="B24" s="5" t="inlineStr">
        <is>
          <t>SGP</t>
        </is>
      </c>
      <c r="C24" s="2" t="inlineStr">
        <is>
          <t>SpyGlass Pharma Inc.</t>
        </is>
      </c>
      <c r="D24" s="2" t="inlineStr">
        <is>
          <t>沿用 R20 或更早（未重新核實）</t>
        </is>
      </c>
      <c r="E24" s="3" t="inlineStr">
        <is>
          <t>8/14 Raymond James首覆蓋跑贏大市，目標$39；8/6公布Q2（淨虧$1,990萬、每股蝕$0.59，6月底現金$2.342億可營運至2028年，BIM-IOL兩項註冊性三期SGP-005／006招募照計劃2027年完成）；8/14 Raymond James首次覆蓋、給予Outperform兼$39目標價，成為最清晰嘅催化；9/10出席Citi生物製藥會議，9/15收$28.96，較7/17底升46.5%。</t>
        </is>
      </c>
      <c r="F24" s="28" t="inlineStr">
        <is>
          <t>https://www.investing.com/news/analyst-ratings/raymond-james-initiates-spyglass-pharma-stock-coverage-with-outperform-rating-93CH-4860312</t>
        </is>
      </c>
    </row>
    <row r="25" ht="30" customHeight="1">
      <c r="A25" s="14">
        <f>'總表'!A23</f>
        <v/>
      </c>
      <c r="B25" s="5" t="inlineStr">
        <is>
          <t>ANGX</t>
        </is>
      </c>
      <c r="C25" s="2" t="inlineStr">
        <is>
          <t>Angel Studios Inc. Class A</t>
        </is>
      </c>
      <c r="D25" s="2" t="inlineStr">
        <is>
          <t>R21.00 快速核查</t>
        </is>
      </c>
      <c r="E25" s="3" t="inlineStr">
        <is>
          <t>新片上映帶動；B. Riley 09-18 目標 $8→$9；資產負債表係負股東權益、流動性緊。</t>
        </is>
      </c>
      <c r="F25" s="28" t="inlineStr">
        <is>
          <t>https://www.timothysykes.com/news/angelstudiosinc-angx-news-2026_09_20/</t>
        </is>
      </c>
    </row>
    <row r="26" ht="30" customHeight="1">
      <c r="A26" s="14">
        <f>'總表'!A24</f>
        <v/>
      </c>
      <c r="B26" s="5" t="inlineStr">
        <is>
          <t>DJCO</t>
        </is>
      </c>
      <c r="C26" s="2" t="inlineStr">
        <is>
          <t>Daily Journal Corp. (S.C.)</t>
        </is>
      </c>
      <c r="D26" s="2" t="inlineStr">
        <is>
          <t>R21.00 快速核查</t>
        </is>
      </c>
      <c r="E26" s="3" t="inlineStr">
        <is>
          <t>軟件業務（Journal Technologies，法院案件管理）收入按年增 15–25%；市盈率約 7 倍。</t>
        </is>
      </c>
      <c r="F26" s="28" t="inlineStr">
        <is>
          <t>https://simplywall.st/stocks/us/software/nasdaq-djco/daily-journal</t>
        </is>
      </c>
    </row>
    <row r="27" ht="30" customHeight="1">
      <c r="A27" s="14">
        <f>'總表'!A25</f>
        <v/>
      </c>
      <c r="B27" s="5" t="inlineStr">
        <is>
          <t>PSX</t>
        </is>
      </c>
      <c r="C27" s="2" t="inlineStr">
        <is>
          <t>Phillips 66</t>
        </is>
      </c>
      <c r="D27" s="2" t="inlineStr">
        <is>
          <t>R21.00 快速核查</t>
        </is>
      </c>
      <c r="E27" s="3" t="inlineStr">
        <is>
          <t>煉油股；柴油價格帶動季度每股盈利按年接近四倍；09-22 同組受柴油出口禁令提案拖累。</t>
        </is>
      </c>
      <c r="F27" s="28" t="inlineStr">
        <is>
          <t>https://www.benzinga.com/markets/commodities/26/09/61881898/diesel-squeeze-oil-refiners-stocks-four-top-performing-six-weeks-of-gains</t>
        </is>
      </c>
    </row>
    <row r="28" ht="30" customHeight="1">
      <c r="A28" s="14">
        <f>'總表'!A26</f>
        <v/>
      </c>
      <c r="B28" s="5" t="inlineStr">
        <is>
          <t>LPG</t>
        </is>
      </c>
      <c r="C28" s="2" t="inlineStr">
        <is>
          <t>Dorian LPG Ltd.</t>
        </is>
      </c>
      <c r="D28" s="2" t="inlineStr">
        <is>
          <t>R21.00 快速核查</t>
        </is>
      </c>
      <c r="E28" s="3" t="inlineStr">
        <is>
          <t>超大型液化氣船運費高企：截至 09-30 季度 99% 營運日鎖定每日 $88,000 以上；訂三艘新船共 $3.45 億。</t>
        </is>
      </c>
      <c r="F28" s="28" t="inlineStr">
        <is>
          <t>https://www.stocktitan.net/news/LPG/dorian-lpg-ltd-announces-vlgc-newbuilding-contracts-forward-9zhz9yb9avle.html</t>
        </is>
      </c>
    </row>
    <row r="29" ht="30" customHeight="1">
      <c r="A29" s="14">
        <f>'總表'!A27</f>
        <v/>
      </c>
      <c r="B29" s="5" t="inlineStr">
        <is>
          <t>REPX</t>
        </is>
      </c>
      <c r="C29" s="2" t="inlineStr">
        <is>
          <t>Riley Exploration Permian Inc.</t>
        </is>
      </c>
      <c r="D29" s="2" t="inlineStr">
        <is>
          <t>沿用 R20 或更早（未重新核實）</t>
        </is>
      </c>
      <c r="E29" s="3" t="inlineStr">
        <is>
          <t>8/6 Q2產量+41%兼上調指引，油價助攻；8月6日公布Q2：產量按年增41%，全年產量指引上調至22,500–23,500桶/日（按年約+30%），並派每股0.40美元季息（8月12日派發）；9月油價急升（WTI 9月11日約104美元）再助攻，9月14日收43.22美元，較7月28日升31.0%。</t>
        </is>
      </c>
      <c r="F29" s="28" t="inlineStr">
        <is>
          <t>https://www.rileypermian.com/investors/press-releases/news-details/2026/Riley-Permian-Declares-Quarterly-Dividend-and-Schedules-Second-Quarter-2026-Earnings-Release-and-Conference-Call/default.aspx</t>
        </is>
      </c>
    </row>
    <row r="30" ht="30" customHeight="1">
      <c r="A30" s="14">
        <f>'總表'!A28</f>
        <v/>
      </c>
      <c r="B30" s="5" t="inlineStr">
        <is>
          <t>APA</t>
        </is>
      </c>
      <c r="C30" s="2" t="inlineStr">
        <is>
          <t>APA Corporation</t>
        </is>
      </c>
      <c r="D30" s="2" t="inlineStr">
        <is>
          <t>未查</t>
        </is>
      </c>
      <c r="E30" s="2" t="inlineStr"/>
    </row>
    <row r="31" ht="30" customHeight="1">
      <c r="A31" s="14">
        <f>'總表'!A29</f>
        <v/>
      </c>
      <c r="B31" s="5" t="inlineStr">
        <is>
          <t>CBLL</t>
        </is>
      </c>
      <c r="C31" s="2" t="inlineStr">
        <is>
          <t>CeriBell Inc.</t>
        </is>
      </c>
      <c r="D31" s="2" t="inlineStr">
        <is>
          <t>沿用 R20 或更早（未重新核實）</t>
        </is>
      </c>
      <c r="E31" s="3" t="inlineStr">
        <is>
          <t>8/10 Q2收入+33%兼上調全年指引；8月10日收市後公布Q2：收入2,810萬美元按年增33%，毛利率創92%新高，全年收入指引上調至1.14–1.17億美元（按年+28%至31%），股價翌日抽升；TD Cowen目標價由20美元上調至29美元。9月14日收24.33美元，較7月23日升49.4%。</t>
        </is>
      </c>
      <c r="F31" s="28" t="inlineStr">
        <is>
          <t>https://investors.ceribell.com/news-releases/news-release-details/ceribell-reports-second-quarter-2026-financial-results</t>
        </is>
      </c>
    </row>
    <row r="33">
      <c r="A33" s="22" t="inlineStr">
        <is>
          <t>市況來源</t>
        </is>
      </c>
    </row>
    <row r="34">
      <c r="E34" s="28" t="inlineStr">
        <is>
          <t>https://wtop.com/national/2026/09/how-major-us-stock-indexes-fared-friday-9-18-2026</t>
        </is>
      </c>
    </row>
    <row r="35">
      <c r="E35" s="28" t="inlineStr">
        <is>
          <t>https://qz.com/sp500-nasdaq-dow-oil-yields-market-update-092126</t>
        </is>
      </c>
    </row>
    <row r="36">
      <c r="E36" s="28" t="inlineStr">
        <is>
          <t>https://wtop.com/national/2026/09/how-major-us-stock-indexes-fared-tuesday-9-22-2026</t>
        </is>
      </c>
    </row>
    <row r="37">
      <c r="E37" s="28" t="inlineStr">
        <is>
          <t>https://www.thestreet.com/stock-market-today/stock-market-today-dow-jones-sp-500-nasdaq-updates-sept-23-2026</t>
        </is>
      </c>
    </row>
    <row r="38">
      <c r="E38" s="28" t="inlineStr">
        <is>
          <t>https://www.cnbc.com/2026/09/23/stock-market-today-live-updates.html</t>
        </is>
      </c>
    </row>
    <row r="39">
      <c r="E39" s="28" t="inlineStr">
        <is>
          <t>https://seekingalpha.com/news/4645636-valero-marathon-cut-at-jefferies-supporting-less-refining-exposure-after-big-gains</t>
        </is>
      </c>
    </row>
    <row r="40">
      <c r="E40" s="28" t="inlineStr">
        <is>
          <t>https://www.bloomberg.com/news/articles/2026-09-22/refining-stocks-rally-stalls-as-talk-of-diesel-export-ban-swirls</t>
        </is>
      </c>
    </row>
  </sheetData>
  <autoFilter ref="A3:F3"/>
  <hyperlinks>
    <hyperlink xmlns:r="http://schemas.openxmlformats.org/officeDocument/2006/relationships" ref="B4" r:id="rId1"/>
    <hyperlink xmlns:r="http://schemas.openxmlformats.org/officeDocument/2006/relationships" ref="F4" r:id="rId2"/>
    <hyperlink xmlns:r="http://schemas.openxmlformats.org/officeDocument/2006/relationships" ref="B5" r:id="rId3"/>
    <hyperlink xmlns:r="http://schemas.openxmlformats.org/officeDocument/2006/relationships" ref="F5" r:id="rId4"/>
    <hyperlink xmlns:r="http://schemas.openxmlformats.org/officeDocument/2006/relationships" ref="B6" r:id="rId5"/>
    <hyperlink xmlns:r="http://schemas.openxmlformats.org/officeDocument/2006/relationships" ref="F6" r:id="rId6"/>
    <hyperlink xmlns:r="http://schemas.openxmlformats.org/officeDocument/2006/relationships" ref="B7" r:id="rId7"/>
    <hyperlink xmlns:r="http://schemas.openxmlformats.org/officeDocument/2006/relationships" ref="F7" r:id="rId8"/>
    <hyperlink xmlns:r="http://schemas.openxmlformats.org/officeDocument/2006/relationships" ref="B8" r:id="rId9"/>
    <hyperlink xmlns:r="http://schemas.openxmlformats.org/officeDocument/2006/relationships" ref="F8" r:id="rId10"/>
    <hyperlink xmlns:r="http://schemas.openxmlformats.org/officeDocument/2006/relationships" ref="B9" r:id="rId11"/>
    <hyperlink xmlns:r="http://schemas.openxmlformats.org/officeDocument/2006/relationships" ref="F9" r:id="rId12"/>
    <hyperlink xmlns:r="http://schemas.openxmlformats.org/officeDocument/2006/relationships" ref="B10" r:id="rId13"/>
    <hyperlink xmlns:r="http://schemas.openxmlformats.org/officeDocument/2006/relationships" ref="F10" r:id="rId14"/>
    <hyperlink xmlns:r="http://schemas.openxmlformats.org/officeDocument/2006/relationships" ref="B11" r:id="rId15"/>
    <hyperlink xmlns:r="http://schemas.openxmlformats.org/officeDocument/2006/relationships" ref="F11" r:id="rId16"/>
    <hyperlink xmlns:r="http://schemas.openxmlformats.org/officeDocument/2006/relationships" ref="B12" r:id="rId17"/>
    <hyperlink xmlns:r="http://schemas.openxmlformats.org/officeDocument/2006/relationships" ref="F12" r:id="rId18"/>
    <hyperlink xmlns:r="http://schemas.openxmlformats.org/officeDocument/2006/relationships" ref="B13" r:id="rId19"/>
    <hyperlink xmlns:r="http://schemas.openxmlformats.org/officeDocument/2006/relationships" ref="F13" r:id="rId20"/>
    <hyperlink xmlns:r="http://schemas.openxmlformats.org/officeDocument/2006/relationships" ref="B14" r:id="rId21"/>
    <hyperlink xmlns:r="http://schemas.openxmlformats.org/officeDocument/2006/relationships" ref="F14" r:id="rId22"/>
    <hyperlink xmlns:r="http://schemas.openxmlformats.org/officeDocument/2006/relationships" ref="B15" r:id="rId23"/>
    <hyperlink xmlns:r="http://schemas.openxmlformats.org/officeDocument/2006/relationships" ref="F15" r:id="rId24"/>
    <hyperlink xmlns:r="http://schemas.openxmlformats.org/officeDocument/2006/relationships" ref="B16" r:id="rId25"/>
    <hyperlink xmlns:r="http://schemas.openxmlformats.org/officeDocument/2006/relationships" ref="F16" r:id="rId26"/>
    <hyperlink xmlns:r="http://schemas.openxmlformats.org/officeDocument/2006/relationships" ref="B17" r:id="rId27"/>
    <hyperlink xmlns:r="http://schemas.openxmlformats.org/officeDocument/2006/relationships" ref="F17" r:id="rId28"/>
    <hyperlink xmlns:r="http://schemas.openxmlformats.org/officeDocument/2006/relationships" ref="B18" r:id="rId29"/>
    <hyperlink xmlns:r="http://schemas.openxmlformats.org/officeDocument/2006/relationships" ref="F18" r:id="rId30"/>
    <hyperlink xmlns:r="http://schemas.openxmlformats.org/officeDocument/2006/relationships" ref="B19" r:id="rId31"/>
    <hyperlink xmlns:r="http://schemas.openxmlformats.org/officeDocument/2006/relationships" ref="F19" r:id="rId32"/>
    <hyperlink xmlns:r="http://schemas.openxmlformats.org/officeDocument/2006/relationships" ref="B20" r:id="rId33"/>
    <hyperlink xmlns:r="http://schemas.openxmlformats.org/officeDocument/2006/relationships" ref="F20" r:id="rId34"/>
    <hyperlink xmlns:r="http://schemas.openxmlformats.org/officeDocument/2006/relationships" ref="B21" r:id="rId35"/>
    <hyperlink xmlns:r="http://schemas.openxmlformats.org/officeDocument/2006/relationships" ref="F21" r:id="rId36"/>
    <hyperlink xmlns:r="http://schemas.openxmlformats.org/officeDocument/2006/relationships" ref="B22" r:id="rId37"/>
    <hyperlink xmlns:r="http://schemas.openxmlformats.org/officeDocument/2006/relationships" ref="F22" r:id="rId38"/>
    <hyperlink xmlns:r="http://schemas.openxmlformats.org/officeDocument/2006/relationships" ref="B23" r:id="rId39"/>
    <hyperlink xmlns:r="http://schemas.openxmlformats.org/officeDocument/2006/relationships" ref="F23" r:id="rId40"/>
    <hyperlink xmlns:r="http://schemas.openxmlformats.org/officeDocument/2006/relationships" ref="B24" r:id="rId41"/>
    <hyperlink xmlns:r="http://schemas.openxmlformats.org/officeDocument/2006/relationships" ref="F24" r:id="rId42"/>
    <hyperlink xmlns:r="http://schemas.openxmlformats.org/officeDocument/2006/relationships" ref="B25" r:id="rId43"/>
    <hyperlink xmlns:r="http://schemas.openxmlformats.org/officeDocument/2006/relationships" ref="F25" r:id="rId44"/>
    <hyperlink xmlns:r="http://schemas.openxmlformats.org/officeDocument/2006/relationships" ref="B26" r:id="rId45"/>
    <hyperlink xmlns:r="http://schemas.openxmlformats.org/officeDocument/2006/relationships" ref="F26" r:id="rId46"/>
    <hyperlink xmlns:r="http://schemas.openxmlformats.org/officeDocument/2006/relationships" ref="B27" r:id="rId47"/>
    <hyperlink xmlns:r="http://schemas.openxmlformats.org/officeDocument/2006/relationships" ref="F27" r:id="rId48"/>
    <hyperlink xmlns:r="http://schemas.openxmlformats.org/officeDocument/2006/relationships" ref="B28" r:id="rId49"/>
    <hyperlink xmlns:r="http://schemas.openxmlformats.org/officeDocument/2006/relationships" ref="F28" r:id="rId50"/>
    <hyperlink xmlns:r="http://schemas.openxmlformats.org/officeDocument/2006/relationships" ref="B29" r:id="rId51"/>
    <hyperlink xmlns:r="http://schemas.openxmlformats.org/officeDocument/2006/relationships" ref="F29" r:id="rId52"/>
    <hyperlink xmlns:r="http://schemas.openxmlformats.org/officeDocument/2006/relationships" ref="B30" r:id="rId53"/>
    <hyperlink xmlns:r="http://schemas.openxmlformats.org/officeDocument/2006/relationships" ref="B31" r:id="rId54"/>
    <hyperlink xmlns:r="http://schemas.openxmlformats.org/officeDocument/2006/relationships" ref="F31" r:id="rId55"/>
    <hyperlink xmlns:r="http://schemas.openxmlformats.org/officeDocument/2006/relationships" ref="E34" r:id="rId56"/>
    <hyperlink xmlns:r="http://schemas.openxmlformats.org/officeDocument/2006/relationships" ref="E35" r:id="rId57"/>
    <hyperlink xmlns:r="http://schemas.openxmlformats.org/officeDocument/2006/relationships" ref="E36" r:id="rId58"/>
    <hyperlink xmlns:r="http://schemas.openxmlformats.org/officeDocument/2006/relationships" ref="E37" r:id="rId59"/>
    <hyperlink xmlns:r="http://schemas.openxmlformats.org/officeDocument/2006/relationships" ref="E38" r:id="rId60"/>
    <hyperlink xmlns:r="http://schemas.openxmlformats.org/officeDocument/2006/relationships" ref="E39" r:id="rId61"/>
    <hyperlink xmlns:r="http://schemas.openxmlformats.org/officeDocument/2006/relationships" ref="E40" r:id="rId6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2026-09-24T16:36:47Z</dcterms:created>
  <dcterms:modified xmlns:dcterms="http://purl.org/dc/terms/" xmlns:xsi="http://www.w3.org/2001/XMLSchema-instance" xsi:type="dcterms:W3CDTF">2026-09-24T16:36:47Z</dcterms:modified>
</cp:coreProperties>
</file>